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inkgo\Desktop\ginkgo_tshirt\"/>
    </mc:Choice>
  </mc:AlternateContent>
  <xr:revisionPtr revIDLastSave="0" documentId="13_ncr:1_{003370CB-526D-49B9-A01A-D2369EB09DAD}" xr6:coauthVersionLast="47" xr6:coauthVersionMax="47" xr10:uidLastSave="{00000000-0000-0000-0000-000000000000}"/>
  <bookViews>
    <workbookView xWindow="28680" yWindow="-120" windowWidth="29040" windowHeight="15720" xr2:uid="{5D3BE42E-91F3-4D68-B602-CC8A64846D47}"/>
  </bookViews>
  <sheets>
    <sheet name="Inventory" sheetId="1" r:id="rId1"/>
    <sheet name="Fabric" sheetId="4" r:id="rId2"/>
    <sheet name="Category" sheetId="6" r:id="rId3"/>
    <sheet name="Style" sheetId="7" r:id="rId4"/>
    <sheet name="Gender" sheetId="5" r:id="rId5"/>
    <sheet name="Design" sheetId="3" r:id="rId6"/>
    <sheet name="Color" sheetId="8" r:id="rId7"/>
    <sheet name="Size" sheetId="9" r:id="rId8"/>
    <sheet name="Hướng dẫn" sheetId="2" r:id="rId9"/>
  </sheets>
  <externalReferences>
    <externalReference r:id="rId10"/>
  </externalReferences>
  <definedNames>
    <definedName name="_xlnm._FilterDatabase" localSheetId="2" hidden="1">Category!$A$1:$B$34</definedName>
    <definedName name="_xlnm._FilterDatabase" localSheetId="5" hidden="1">Design!$A$1:$B$539</definedName>
    <definedName name="_xlnm._FilterDatabase" localSheetId="8" hidden="1">'Hướng dẫn'!$AH$25:$AK$396</definedName>
    <definedName name="_xlnm._FilterDatabase" localSheetId="0" hidden="1">Inventory!$A$1:$N$1610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7" i="1"/>
  <c r="N2" i="1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2" i="8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2" i="3"/>
  <c r="B3" i="7" l="1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722" i="7"/>
  <c r="B723" i="7"/>
  <c r="B724" i="7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B781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B795" i="7"/>
  <c r="B796" i="7"/>
  <c r="B797" i="7"/>
  <c r="B798" i="7"/>
  <c r="B799" i="7"/>
  <c r="B800" i="7"/>
  <c r="B801" i="7"/>
  <c r="B802" i="7"/>
  <c r="B803" i="7"/>
  <c r="B804" i="7"/>
  <c r="B805" i="7"/>
  <c r="B806" i="7"/>
  <c r="B807" i="7"/>
  <c r="B808" i="7"/>
  <c r="B809" i="7"/>
  <c r="B810" i="7"/>
  <c r="B811" i="7"/>
  <c r="B812" i="7"/>
  <c r="B813" i="7"/>
  <c r="B814" i="7"/>
  <c r="B815" i="7"/>
  <c r="B816" i="7"/>
  <c r="B817" i="7"/>
  <c r="B818" i="7"/>
  <c r="B819" i="7"/>
  <c r="B820" i="7"/>
  <c r="B821" i="7"/>
  <c r="B822" i="7"/>
  <c r="B823" i="7"/>
  <c r="B824" i="7"/>
  <c r="B825" i="7"/>
  <c r="B826" i="7"/>
  <c r="B827" i="7"/>
  <c r="B828" i="7"/>
  <c r="B829" i="7"/>
  <c r="B830" i="7"/>
  <c r="B831" i="7"/>
  <c r="B832" i="7"/>
  <c r="B833" i="7"/>
  <c r="B834" i="7"/>
  <c r="B835" i="7"/>
  <c r="B836" i="7"/>
  <c r="B837" i="7"/>
  <c r="B838" i="7"/>
  <c r="B839" i="7"/>
  <c r="B840" i="7"/>
  <c r="B841" i="7"/>
  <c r="B842" i="7"/>
  <c r="B843" i="7"/>
  <c r="B844" i="7"/>
  <c r="B845" i="7"/>
  <c r="B846" i="7"/>
  <c r="B847" i="7"/>
  <c r="B848" i="7"/>
  <c r="B849" i="7"/>
  <c r="B850" i="7"/>
  <c r="B851" i="7"/>
  <c r="B852" i="7"/>
  <c r="B853" i="7"/>
  <c r="B854" i="7"/>
  <c r="B855" i="7"/>
  <c r="B856" i="7"/>
  <c r="B857" i="7"/>
  <c r="B858" i="7"/>
  <c r="B859" i="7"/>
  <c r="B860" i="7"/>
  <c r="B861" i="7"/>
  <c r="B862" i="7"/>
  <c r="B863" i="7"/>
  <c r="B864" i="7"/>
  <c r="B865" i="7"/>
  <c r="B866" i="7"/>
  <c r="B867" i="7"/>
  <c r="B868" i="7"/>
  <c r="B869" i="7"/>
  <c r="B870" i="7"/>
  <c r="B871" i="7"/>
  <c r="B872" i="7"/>
  <c r="B873" i="7"/>
  <c r="B874" i="7"/>
  <c r="B875" i="7"/>
  <c r="B876" i="7"/>
  <c r="B877" i="7"/>
  <c r="B878" i="7"/>
  <c r="B879" i="7"/>
  <c r="B880" i="7"/>
  <c r="B881" i="7"/>
  <c r="B882" i="7"/>
  <c r="B883" i="7"/>
  <c r="B884" i="7"/>
  <c r="B885" i="7"/>
  <c r="B886" i="7"/>
  <c r="B887" i="7"/>
  <c r="B888" i="7"/>
  <c r="B889" i="7"/>
  <c r="B890" i="7"/>
  <c r="B891" i="7"/>
  <c r="B892" i="7"/>
  <c r="B893" i="7"/>
  <c r="B894" i="7"/>
  <c r="B895" i="7"/>
  <c r="B896" i="7"/>
  <c r="B897" i="7"/>
  <c r="B898" i="7"/>
  <c r="B899" i="7"/>
  <c r="B900" i="7"/>
  <c r="B901" i="7"/>
  <c r="B902" i="7"/>
  <c r="B903" i="7"/>
  <c r="B904" i="7"/>
  <c r="B905" i="7"/>
  <c r="B906" i="7"/>
  <c r="B907" i="7"/>
  <c r="B908" i="7"/>
  <c r="B909" i="7"/>
  <c r="B910" i="7"/>
  <c r="B911" i="7"/>
  <c r="B912" i="7"/>
  <c r="B913" i="7"/>
  <c r="B914" i="7"/>
  <c r="B915" i="7"/>
  <c r="B916" i="7"/>
  <c r="B917" i="7"/>
  <c r="B918" i="7"/>
  <c r="B919" i="7"/>
  <c r="B920" i="7"/>
  <c r="B921" i="7"/>
  <c r="B922" i="7"/>
  <c r="B923" i="7"/>
  <c r="B924" i="7"/>
  <c r="B925" i="7"/>
  <c r="B926" i="7"/>
  <c r="B927" i="7"/>
  <c r="B928" i="7"/>
  <c r="B929" i="7"/>
  <c r="B930" i="7"/>
  <c r="B931" i="7"/>
  <c r="B932" i="7"/>
  <c r="B933" i="7"/>
  <c r="B934" i="7"/>
  <c r="B935" i="7"/>
  <c r="B936" i="7"/>
  <c r="B937" i="7"/>
  <c r="B938" i="7"/>
  <c r="B939" i="7"/>
  <c r="B940" i="7"/>
  <c r="B941" i="7"/>
  <c r="B942" i="7"/>
  <c r="B943" i="7"/>
  <c r="B944" i="7"/>
  <c r="B945" i="7"/>
  <c r="B946" i="7"/>
  <c r="B947" i="7"/>
  <c r="B948" i="7"/>
  <c r="B949" i="7"/>
  <c r="B950" i="7"/>
  <c r="B951" i="7"/>
  <c r="B952" i="7"/>
  <c r="B953" i="7"/>
  <c r="B954" i="7"/>
  <c r="B955" i="7"/>
  <c r="B956" i="7"/>
  <c r="B957" i="7"/>
  <c r="B958" i="7"/>
  <c r="B959" i="7"/>
  <c r="B960" i="7"/>
  <c r="B961" i="7"/>
  <c r="B962" i="7"/>
  <c r="B963" i="7"/>
  <c r="B964" i="7"/>
  <c r="B965" i="7"/>
  <c r="B966" i="7"/>
  <c r="B967" i="7"/>
  <c r="B968" i="7"/>
  <c r="B969" i="7"/>
  <c r="B970" i="7"/>
  <c r="B971" i="7"/>
  <c r="B972" i="7"/>
  <c r="B973" i="7"/>
  <c r="B974" i="7"/>
  <c r="B975" i="7"/>
  <c r="B976" i="7"/>
  <c r="B977" i="7"/>
  <c r="B978" i="7"/>
  <c r="B979" i="7"/>
  <c r="B980" i="7"/>
  <c r="B981" i="7"/>
  <c r="B982" i="7"/>
  <c r="B983" i="7"/>
  <c r="B984" i="7"/>
  <c r="B985" i="7"/>
  <c r="B986" i="7"/>
  <c r="B987" i="7"/>
  <c r="B988" i="7"/>
  <c r="B989" i="7"/>
  <c r="B990" i="7"/>
  <c r="B991" i="7"/>
  <c r="B992" i="7"/>
  <c r="B993" i="7"/>
  <c r="B994" i="7"/>
  <c r="B995" i="7"/>
  <c r="B996" i="7"/>
  <c r="B997" i="7"/>
  <c r="B998" i="7"/>
  <c r="B999" i="7"/>
  <c r="B1000" i="7"/>
  <c r="B1001" i="7"/>
  <c r="B1002" i="7"/>
  <c r="B1003" i="7"/>
  <c r="B1004" i="7"/>
  <c r="B1005" i="7"/>
  <c r="B1006" i="7"/>
  <c r="B1007" i="7"/>
  <c r="B1008" i="7"/>
  <c r="B1009" i="7"/>
  <c r="B1010" i="7"/>
  <c r="B1011" i="7"/>
  <c r="B1012" i="7"/>
  <c r="B1013" i="7"/>
  <c r="B1014" i="7"/>
  <c r="B1015" i="7"/>
  <c r="B1016" i="7"/>
  <c r="B1017" i="7"/>
  <c r="B1018" i="7"/>
  <c r="B1019" i="7"/>
  <c r="B1020" i="7"/>
  <c r="B1021" i="7"/>
  <c r="B1022" i="7"/>
  <c r="B1023" i="7"/>
  <c r="B1024" i="7"/>
  <c r="B1025" i="7"/>
  <c r="B1026" i="7"/>
  <c r="B1027" i="7"/>
  <c r="B1028" i="7"/>
  <c r="B1029" i="7"/>
  <c r="B1030" i="7"/>
  <c r="B1031" i="7"/>
  <c r="B1032" i="7"/>
  <c r="B1033" i="7"/>
  <c r="B1034" i="7"/>
  <c r="B1035" i="7"/>
  <c r="B1036" i="7"/>
  <c r="B1037" i="7"/>
  <c r="B1038" i="7"/>
  <c r="B1039" i="7"/>
  <c r="B1040" i="7"/>
  <c r="B1041" i="7"/>
  <c r="B1042" i="7"/>
  <c r="B1043" i="7"/>
  <c r="B1044" i="7"/>
  <c r="B1045" i="7"/>
  <c r="B1046" i="7"/>
  <c r="B1047" i="7"/>
  <c r="B1048" i="7"/>
  <c r="B1049" i="7"/>
  <c r="B1050" i="7"/>
  <c r="B1051" i="7"/>
  <c r="B1052" i="7"/>
  <c r="B1053" i="7"/>
  <c r="B1054" i="7"/>
  <c r="B1055" i="7"/>
  <c r="B1056" i="7"/>
  <c r="B1057" i="7"/>
  <c r="B1058" i="7"/>
  <c r="B1059" i="7"/>
  <c r="B1060" i="7"/>
  <c r="B1061" i="7"/>
  <c r="B1062" i="7"/>
  <c r="B1063" i="7"/>
  <c r="B1064" i="7"/>
  <c r="B1065" i="7"/>
  <c r="B1066" i="7"/>
  <c r="B1067" i="7"/>
  <c r="B1068" i="7"/>
  <c r="B1069" i="7"/>
  <c r="B1070" i="7"/>
  <c r="B1071" i="7"/>
  <c r="B1072" i="7"/>
  <c r="B1073" i="7"/>
  <c r="B1074" i="7"/>
  <c r="B1075" i="7"/>
  <c r="B1076" i="7"/>
  <c r="B1077" i="7"/>
  <c r="B1078" i="7"/>
  <c r="B1079" i="7"/>
  <c r="B1080" i="7"/>
  <c r="B1081" i="7"/>
  <c r="B1082" i="7"/>
  <c r="B1083" i="7"/>
  <c r="B1084" i="7"/>
  <c r="B1085" i="7"/>
  <c r="B1086" i="7"/>
  <c r="B1087" i="7"/>
  <c r="B1088" i="7"/>
  <c r="B1089" i="7"/>
  <c r="B1090" i="7"/>
  <c r="B1091" i="7"/>
  <c r="B1092" i="7"/>
  <c r="B1093" i="7"/>
  <c r="B1094" i="7"/>
  <c r="B1095" i="7"/>
  <c r="B1096" i="7"/>
  <c r="B1097" i="7"/>
  <c r="B1098" i="7"/>
  <c r="B1099" i="7"/>
  <c r="B1100" i="7"/>
  <c r="B1101" i="7"/>
  <c r="B1102" i="7"/>
  <c r="B1103" i="7"/>
  <c r="B1104" i="7"/>
  <c r="B1105" i="7"/>
  <c r="B1106" i="7"/>
  <c r="B1107" i="7"/>
  <c r="B1108" i="7"/>
  <c r="B1109" i="7"/>
  <c r="B1110" i="7"/>
  <c r="B1111" i="7"/>
  <c r="B1112" i="7"/>
  <c r="B1113" i="7"/>
  <c r="B1114" i="7"/>
  <c r="B1115" i="7"/>
  <c r="B1116" i="7"/>
  <c r="B1117" i="7"/>
  <c r="B1118" i="7"/>
  <c r="B1119" i="7"/>
  <c r="B1120" i="7"/>
  <c r="B1121" i="7"/>
  <c r="B1122" i="7"/>
  <c r="B1123" i="7"/>
  <c r="B1124" i="7"/>
  <c r="B1125" i="7"/>
  <c r="B1126" i="7"/>
  <c r="B1127" i="7"/>
  <c r="B1128" i="7"/>
  <c r="B1129" i="7"/>
  <c r="B1130" i="7"/>
  <c r="B1131" i="7"/>
  <c r="B1132" i="7"/>
  <c r="B1133" i="7"/>
  <c r="B1134" i="7"/>
  <c r="B1135" i="7"/>
  <c r="B1136" i="7"/>
  <c r="B1137" i="7"/>
  <c r="B1138" i="7"/>
  <c r="B1139" i="7"/>
  <c r="B1140" i="7"/>
  <c r="B1141" i="7"/>
  <c r="B1142" i="7"/>
  <c r="B1143" i="7"/>
  <c r="B1144" i="7"/>
  <c r="B1145" i="7"/>
  <c r="B1146" i="7"/>
  <c r="B1147" i="7"/>
  <c r="B1148" i="7"/>
  <c r="B1149" i="7"/>
  <c r="B1150" i="7"/>
  <c r="B1151" i="7"/>
  <c r="B1152" i="7"/>
  <c r="B1153" i="7"/>
  <c r="B1154" i="7"/>
  <c r="B1155" i="7"/>
  <c r="B1156" i="7"/>
  <c r="B1157" i="7"/>
  <c r="B1158" i="7"/>
  <c r="B1159" i="7"/>
  <c r="B1160" i="7"/>
  <c r="B1161" i="7"/>
  <c r="B1162" i="7"/>
  <c r="B1163" i="7"/>
  <c r="B1164" i="7"/>
  <c r="B1165" i="7"/>
  <c r="B1166" i="7"/>
  <c r="B1167" i="7"/>
  <c r="B1168" i="7"/>
  <c r="B1169" i="7"/>
  <c r="B1170" i="7"/>
  <c r="B1171" i="7"/>
  <c r="B1172" i="7"/>
  <c r="B1173" i="7"/>
  <c r="B1174" i="7"/>
  <c r="B1175" i="7"/>
  <c r="B1176" i="7"/>
  <c r="B1177" i="7"/>
  <c r="B1178" i="7"/>
  <c r="B1179" i="7"/>
  <c r="B1180" i="7"/>
  <c r="B1181" i="7"/>
  <c r="B1182" i="7"/>
  <c r="B1183" i="7"/>
  <c r="B1184" i="7"/>
  <c r="B1185" i="7"/>
  <c r="B1186" i="7"/>
  <c r="B1187" i="7"/>
  <c r="B1188" i="7"/>
  <c r="B1189" i="7"/>
  <c r="B1190" i="7"/>
  <c r="B1191" i="7"/>
  <c r="B1192" i="7"/>
  <c r="B1193" i="7"/>
  <c r="B1194" i="7"/>
  <c r="B1195" i="7"/>
  <c r="B1196" i="7"/>
  <c r="B1197" i="7"/>
  <c r="B1198" i="7"/>
  <c r="B1199" i="7"/>
  <c r="B1200" i="7"/>
  <c r="B1201" i="7"/>
  <c r="B1202" i="7"/>
  <c r="B1203" i="7"/>
  <c r="B1204" i="7"/>
  <c r="B1205" i="7"/>
  <c r="B1206" i="7"/>
  <c r="B1207" i="7"/>
  <c r="B1208" i="7"/>
  <c r="B1209" i="7"/>
  <c r="B1210" i="7"/>
  <c r="B1211" i="7"/>
  <c r="B1212" i="7"/>
  <c r="B1213" i="7"/>
  <c r="B1214" i="7"/>
  <c r="B1215" i="7"/>
  <c r="B1216" i="7"/>
  <c r="B1217" i="7"/>
  <c r="B1218" i="7"/>
  <c r="B1219" i="7"/>
  <c r="B1220" i="7"/>
  <c r="B1221" i="7"/>
  <c r="B1222" i="7"/>
  <c r="B1223" i="7"/>
  <c r="B1224" i="7"/>
  <c r="B1225" i="7"/>
  <c r="B1226" i="7"/>
  <c r="B1227" i="7"/>
  <c r="B1228" i="7"/>
  <c r="B1229" i="7"/>
  <c r="B1230" i="7"/>
  <c r="B1231" i="7"/>
  <c r="B1232" i="7"/>
  <c r="B1233" i="7"/>
  <c r="B1234" i="7"/>
  <c r="B1235" i="7"/>
  <c r="B1236" i="7"/>
  <c r="B1237" i="7"/>
  <c r="B1238" i="7"/>
  <c r="B1239" i="7"/>
  <c r="B1240" i="7"/>
  <c r="B1241" i="7"/>
  <c r="B1242" i="7"/>
  <c r="B1243" i="7"/>
  <c r="B1244" i="7"/>
  <c r="B1245" i="7"/>
  <c r="B1246" i="7"/>
  <c r="B1247" i="7"/>
  <c r="B1248" i="7"/>
  <c r="B1249" i="7"/>
  <c r="B1250" i="7"/>
  <c r="B1251" i="7"/>
  <c r="B1252" i="7"/>
  <c r="B1253" i="7"/>
  <c r="B1254" i="7"/>
  <c r="B1255" i="7"/>
  <c r="B1256" i="7"/>
  <c r="B1257" i="7"/>
  <c r="B1258" i="7"/>
  <c r="B1259" i="7"/>
  <c r="B1260" i="7"/>
  <c r="B1261" i="7"/>
  <c r="B1262" i="7"/>
  <c r="B1263" i="7"/>
  <c r="B1264" i="7"/>
  <c r="B1265" i="7"/>
  <c r="B1266" i="7"/>
  <c r="B1267" i="7"/>
  <c r="B1268" i="7"/>
  <c r="B1269" i="7"/>
  <c r="B1270" i="7"/>
  <c r="B1271" i="7"/>
  <c r="B1272" i="7"/>
  <c r="B1273" i="7"/>
  <c r="B1274" i="7"/>
  <c r="B1275" i="7"/>
  <c r="B1276" i="7"/>
  <c r="B1277" i="7"/>
  <c r="B1278" i="7"/>
  <c r="B1279" i="7"/>
  <c r="B1280" i="7"/>
  <c r="B1281" i="7"/>
  <c r="B1282" i="7"/>
  <c r="B1283" i="7"/>
  <c r="B1284" i="7"/>
  <c r="B1285" i="7"/>
  <c r="B1286" i="7"/>
  <c r="B1287" i="7"/>
  <c r="B1288" i="7"/>
  <c r="B1289" i="7"/>
  <c r="B1290" i="7"/>
  <c r="B1291" i="7"/>
  <c r="B1292" i="7"/>
  <c r="B1293" i="7"/>
  <c r="B1294" i="7"/>
  <c r="B1295" i="7"/>
  <c r="B1296" i="7"/>
  <c r="B1297" i="7"/>
  <c r="B1298" i="7"/>
  <c r="B1299" i="7"/>
  <c r="B1300" i="7"/>
  <c r="B1301" i="7"/>
  <c r="B1302" i="7"/>
  <c r="B1303" i="7"/>
  <c r="B1304" i="7"/>
  <c r="B1305" i="7"/>
  <c r="B1306" i="7"/>
  <c r="B1307" i="7"/>
  <c r="B1308" i="7"/>
  <c r="B1309" i="7"/>
  <c r="B1310" i="7"/>
  <c r="B1311" i="7"/>
  <c r="B1312" i="7"/>
  <c r="B1313" i="7"/>
  <c r="B1314" i="7"/>
  <c r="B1315" i="7"/>
  <c r="B1316" i="7"/>
  <c r="B1317" i="7"/>
  <c r="B1318" i="7"/>
  <c r="B1319" i="7"/>
  <c r="B1320" i="7"/>
  <c r="B1321" i="7"/>
  <c r="B1322" i="7"/>
  <c r="B1323" i="7"/>
  <c r="B1324" i="7"/>
  <c r="B1325" i="7"/>
  <c r="B1326" i="7"/>
  <c r="B1327" i="7"/>
  <c r="B1328" i="7"/>
  <c r="B1329" i="7"/>
  <c r="B1330" i="7"/>
  <c r="B1331" i="7"/>
  <c r="B1332" i="7"/>
  <c r="B1333" i="7"/>
  <c r="B1334" i="7"/>
  <c r="B1335" i="7"/>
  <c r="B1336" i="7"/>
  <c r="B1337" i="7"/>
  <c r="B1338" i="7"/>
  <c r="B1339" i="7"/>
  <c r="B1340" i="7"/>
  <c r="B1341" i="7"/>
  <c r="B1342" i="7"/>
  <c r="B1343" i="7"/>
  <c r="B1344" i="7"/>
  <c r="B1345" i="7"/>
  <c r="B1346" i="7"/>
  <c r="B1347" i="7"/>
  <c r="B1348" i="7"/>
  <c r="B1349" i="7"/>
  <c r="B1350" i="7"/>
  <c r="B1351" i="7"/>
  <c r="B1352" i="7"/>
  <c r="B1353" i="7"/>
  <c r="B1354" i="7"/>
  <c r="B1355" i="7"/>
  <c r="B1356" i="7"/>
  <c r="B1357" i="7"/>
  <c r="B1358" i="7"/>
  <c r="B1359" i="7"/>
  <c r="B1360" i="7"/>
  <c r="B1361" i="7"/>
  <c r="B1362" i="7"/>
  <c r="B1363" i="7"/>
  <c r="B1364" i="7"/>
  <c r="B1365" i="7"/>
  <c r="B1366" i="7"/>
  <c r="B1367" i="7"/>
  <c r="B1368" i="7"/>
  <c r="B1369" i="7"/>
  <c r="B1370" i="7"/>
  <c r="B1371" i="7"/>
  <c r="B1372" i="7"/>
  <c r="B1373" i="7"/>
  <c r="B1374" i="7"/>
  <c r="B1375" i="7"/>
  <c r="B1376" i="7"/>
  <c r="B1377" i="7"/>
  <c r="B1378" i="7"/>
  <c r="B1379" i="7"/>
  <c r="B1380" i="7"/>
  <c r="B1381" i="7"/>
  <c r="B1382" i="7"/>
  <c r="B1383" i="7"/>
  <c r="B1384" i="7"/>
  <c r="B1385" i="7"/>
  <c r="B1386" i="7"/>
  <c r="B1387" i="7"/>
  <c r="B1388" i="7"/>
  <c r="B1389" i="7"/>
  <c r="B1390" i="7"/>
  <c r="B1391" i="7"/>
  <c r="B1392" i="7"/>
  <c r="B1393" i="7"/>
  <c r="B1394" i="7"/>
  <c r="B1395" i="7"/>
  <c r="B1396" i="7"/>
  <c r="B1397" i="7"/>
  <c r="B1398" i="7"/>
  <c r="B1399" i="7"/>
  <c r="B1400" i="7"/>
  <c r="B1401" i="7"/>
  <c r="B1402" i="7"/>
  <c r="B1403" i="7"/>
  <c r="B1404" i="7"/>
  <c r="B1405" i="7"/>
  <c r="B1406" i="7"/>
  <c r="B1407" i="7"/>
  <c r="B1408" i="7"/>
  <c r="B1409" i="7"/>
  <c r="B1410" i="7"/>
  <c r="B1411" i="7"/>
  <c r="B1412" i="7"/>
  <c r="B1413" i="7"/>
  <c r="B1414" i="7"/>
  <c r="B1415" i="7"/>
  <c r="B1416" i="7"/>
  <c r="B1417" i="7"/>
  <c r="B1418" i="7"/>
  <c r="B1419" i="7"/>
  <c r="B1420" i="7"/>
  <c r="B1421" i="7"/>
  <c r="B1422" i="7"/>
  <c r="B1423" i="7"/>
  <c r="B1424" i="7"/>
  <c r="B1425" i="7"/>
  <c r="B1426" i="7"/>
  <c r="B1427" i="7"/>
  <c r="B1428" i="7"/>
  <c r="B1429" i="7"/>
  <c r="B1430" i="7"/>
  <c r="B1431" i="7"/>
  <c r="B1432" i="7"/>
  <c r="B1433" i="7"/>
  <c r="B1434" i="7"/>
  <c r="B1435" i="7"/>
  <c r="B1436" i="7"/>
  <c r="B1437" i="7"/>
  <c r="B1438" i="7"/>
  <c r="B1439" i="7"/>
  <c r="B1440" i="7"/>
  <c r="B1441" i="7"/>
  <c r="B1442" i="7"/>
  <c r="B1443" i="7"/>
  <c r="B1444" i="7"/>
  <c r="B1445" i="7"/>
  <c r="B1446" i="7"/>
  <c r="B1447" i="7"/>
  <c r="B1448" i="7"/>
  <c r="B1449" i="7"/>
  <c r="B1450" i="7"/>
  <c r="B1451" i="7"/>
  <c r="B1452" i="7"/>
  <c r="B1453" i="7"/>
  <c r="B1454" i="7"/>
  <c r="B1455" i="7"/>
  <c r="B1456" i="7"/>
  <c r="B1457" i="7"/>
  <c r="B1458" i="7"/>
  <c r="B1459" i="7"/>
  <c r="B1460" i="7"/>
  <c r="B1461" i="7"/>
  <c r="B1462" i="7"/>
  <c r="B1463" i="7"/>
  <c r="B1464" i="7"/>
  <c r="B1465" i="7"/>
  <c r="B1466" i="7"/>
  <c r="B1467" i="7"/>
  <c r="B1468" i="7"/>
  <c r="B1469" i="7"/>
  <c r="B1470" i="7"/>
  <c r="B1471" i="7"/>
  <c r="B1472" i="7"/>
  <c r="B1473" i="7"/>
  <c r="B1474" i="7"/>
  <c r="B1475" i="7"/>
  <c r="B1476" i="7"/>
  <c r="B1477" i="7"/>
  <c r="B1478" i="7"/>
  <c r="B1479" i="7"/>
  <c r="B1480" i="7"/>
  <c r="B1481" i="7"/>
  <c r="B1482" i="7"/>
  <c r="B1483" i="7"/>
  <c r="B1484" i="7"/>
  <c r="B1485" i="7"/>
  <c r="B1486" i="7"/>
  <c r="B1487" i="7"/>
  <c r="B1488" i="7"/>
  <c r="B1489" i="7"/>
  <c r="B1490" i="7"/>
  <c r="B1491" i="7"/>
  <c r="B1492" i="7"/>
  <c r="B1493" i="7"/>
  <c r="B1494" i="7"/>
  <c r="B1495" i="7"/>
  <c r="B1496" i="7"/>
  <c r="B1497" i="7"/>
  <c r="B1498" i="7"/>
  <c r="B1499" i="7"/>
  <c r="B1500" i="7"/>
  <c r="B1501" i="7"/>
  <c r="B1502" i="7"/>
  <c r="B1503" i="7"/>
  <c r="B1504" i="7"/>
  <c r="B1505" i="7"/>
  <c r="B1506" i="7"/>
  <c r="B1507" i="7"/>
  <c r="B1508" i="7"/>
  <c r="B1509" i="7"/>
  <c r="B1510" i="7"/>
  <c r="B1511" i="7"/>
  <c r="B1512" i="7"/>
  <c r="B1513" i="7"/>
  <c r="B1514" i="7"/>
  <c r="B1515" i="7"/>
  <c r="B1516" i="7"/>
  <c r="B1517" i="7"/>
  <c r="B1518" i="7"/>
  <c r="B1519" i="7"/>
  <c r="B1520" i="7"/>
  <c r="B1521" i="7"/>
  <c r="B1522" i="7"/>
  <c r="B1523" i="7"/>
  <c r="B1524" i="7"/>
  <c r="B1525" i="7"/>
  <c r="B1526" i="7"/>
  <c r="B1527" i="7"/>
  <c r="B1528" i="7"/>
  <c r="B1529" i="7"/>
  <c r="B1530" i="7"/>
  <c r="B1531" i="7"/>
  <c r="B1532" i="7"/>
  <c r="B1533" i="7"/>
  <c r="B1534" i="7"/>
  <c r="B1535" i="7"/>
  <c r="B1536" i="7"/>
  <c r="B1537" i="7"/>
  <c r="B1538" i="7"/>
  <c r="B1539" i="7"/>
  <c r="B1540" i="7"/>
  <c r="B1541" i="7"/>
  <c r="B1542" i="7"/>
  <c r="B1543" i="7"/>
  <c r="B1544" i="7"/>
  <c r="B1545" i="7"/>
  <c r="B1546" i="7"/>
  <c r="B1547" i="7"/>
  <c r="B1548" i="7"/>
  <c r="B1549" i="7"/>
  <c r="B1550" i="7"/>
  <c r="B1551" i="7"/>
  <c r="B1552" i="7"/>
  <c r="B1553" i="7"/>
  <c r="B1554" i="7"/>
  <c r="B1555" i="7"/>
  <c r="B1556" i="7"/>
  <c r="B1557" i="7"/>
  <c r="B1558" i="7"/>
  <c r="B1559" i="7"/>
  <c r="B1560" i="7"/>
  <c r="B1561" i="7"/>
  <c r="B1562" i="7"/>
  <c r="B1563" i="7"/>
  <c r="B1564" i="7"/>
  <c r="B1565" i="7"/>
  <c r="B1566" i="7"/>
  <c r="B1567" i="7"/>
  <c r="B1568" i="7"/>
  <c r="B1569" i="7"/>
  <c r="B1570" i="7"/>
  <c r="B1571" i="7"/>
  <c r="B1572" i="7"/>
  <c r="B1573" i="7"/>
  <c r="B1574" i="7"/>
  <c r="B1575" i="7"/>
  <c r="B1576" i="7"/>
  <c r="B1577" i="7"/>
  <c r="B1578" i="7"/>
  <c r="B1579" i="7"/>
  <c r="B1580" i="7"/>
  <c r="B1581" i="7"/>
  <c r="B1582" i="7"/>
  <c r="B1583" i="7"/>
  <c r="B1584" i="7"/>
  <c r="B1585" i="7"/>
  <c r="B1586" i="7"/>
  <c r="B1587" i="7"/>
  <c r="B1588" i="7"/>
  <c r="B1589" i="7"/>
  <c r="B1590" i="7"/>
  <c r="B1591" i="7"/>
  <c r="B1592" i="7"/>
  <c r="B1593" i="7"/>
  <c r="B1594" i="7"/>
  <c r="B1595" i="7"/>
  <c r="B1596" i="7"/>
  <c r="B1597" i="7"/>
  <c r="B1598" i="7"/>
  <c r="B1599" i="7"/>
  <c r="B1600" i="7"/>
  <c r="B1601" i="7"/>
  <c r="B1602" i="7"/>
  <c r="B1603" i="7"/>
  <c r="B1604" i="7"/>
  <c r="B1605" i="7"/>
  <c r="B1606" i="7"/>
  <c r="B1607" i="7"/>
  <c r="B1608" i="7"/>
  <c r="B1609" i="7"/>
  <c r="B1610" i="7"/>
  <c r="B2" i="7"/>
  <c r="B3" i="6" l="1"/>
  <c r="B4" i="6"/>
  <c r="B6" i="6"/>
  <c r="B9" i="6"/>
  <c r="B11" i="6"/>
  <c r="B13" i="6"/>
  <c r="B15" i="6"/>
  <c r="B16" i="6"/>
  <c r="B17" i="6"/>
  <c r="B19" i="6"/>
  <c r="B20" i="6"/>
  <c r="B21" i="6"/>
  <c r="B23" i="6"/>
  <c r="B24" i="6"/>
  <c r="B25" i="6"/>
  <c r="B26" i="6"/>
  <c r="B28" i="6"/>
  <c r="B29" i="6"/>
  <c r="B30" i="6"/>
  <c r="B31" i="6"/>
  <c r="B32" i="6"/>
  <c r="B34" i="6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2" i="4"/>
  <c r="E732" i="1"/>
  <c r="F732" i="1"/>
  <c r="G732" i="1"/>
  <c r="H732" i="1"/>
  <c r="I732" i="1"/>
  <c r="J732" i="1"/>
  <c r="K732" i="1"/>
  <c r="E733" i="1"/>
  <c r="F733" i="1"/>
  <c r="G733" i="1"/>
  <c r="H733" i="1"/>
  <c r="I733" i="1"/>
  <c r="J733" i="1"/>
  <c r="K733" i="1"/>
  <c r="E734" i="1"/>
  <c r="F734" i="1"/>
  <c r="G734" i="1"/>
  <c r="H734" i="1"/>
  <c r="I734" i="1"/>
  <c r="J734" i="1"/>
  <c r="K734" i="1"/>
  <c r="E735" i="1"/>
  <c r="F735" i="1"/>
  <c r="G735" i="1"/>
  <c r="H735" i="1"/>
  <c r="I735" i="1"/>
  <c r="J735" i="1"/>
  <c r="K735" i="1"/>
  <c r="E736" i="1"/>
  <c r="F736" i="1"/>
  <c r="G736" i="1"/>
  <c r="H736" i="1"/>
  <c r="I736" i="1"/>
  <c r="J736" i="1"/>
  <c r="K736" i="1"/>
  <c r="E737" i="1"/>
  <c r="F737" i="1"/>
  <c r="G737" i="1"/>
  <c r="H737" i="1"/>
  <c r="I737" i="1"/>
  <c r="J737" i="1"/>
  <c r="K737" i="1"/>
  <c r="E738" i="1"/>
  <c r="F738" i="1"/>
  <c r="G738" i="1"/>
  <c r="H738" i="1"/>
  <c r="I738" i="1"/>
  <c r="J738" i="1"/>
  <c r="K738" i="1"/>
  <c r="E739" i="1"/>
  <c r="F739" i="1"/>
  <c r="G739" i="1"/>
  <c r="H739" i="1"/>
  <c r="I739" i="1"/>
  <c r="J739" i="1"/>
  <c r="K739" i="1"/>
  <c r="E740" i="1"/>
  <c r="F740" i="1"/>
  <c r="G740" i="1"/>
  <c r="H740" i="1"/>
  <c r="I740" i="1"/>
  <c r="J740" i="1"/>
  <c r="K740" i="1"/>
  <c r="E741" i="1"/>
  <c r="F741" i="1"/>
  <c r="G741" i="1"/>
  <c r="H741" i="1"/>
  <c r="I741" i="1"/>
  <c r="J741" i="1"/>
  <c r="K741" i="1"/>
  <c r="E742" i="1"/>
  <c r="F742" i="1"/>
  <c r="G742" i="1"/>
  <c r="H742" i="1"/>
  <c r="I742" i="1"/>
  <c r="J742" i="1"/>
  <c r="K742" i="1"/>
  <c r="E743" i="1"/>
  <c r="F743" i="1"/>
  <c r="G743" i="1"/>
  <c r="H743" i="1"/>
  <c r="I743" i="1"/>
  <c r="J743" i="1"/>
  <c r="K743" i="1"/>
  <c r="E744" i="1"/>
  <c r="F744" i="1"/>
  <c r="G744" i="1"/>
  <c r="H744" i="1"/>
  <c r="I744" i="1"/>
  <c r="J744" i="1"/>
  <c r="K744" i="1"/>
  <c r="E745" i="1"/>
  <c r="F745" i="1"/>
  <c r="G745" i="1"/>
  <c r="H745" i="1"/>
  <c r="I745" i="1"/>
  <c r="J745" i="1"/>
  <c r="K745" i="1"/>
  <c r="E746" i="1"/>
  <c r="F746" i="1"/>
  <c r="G746" i="1"/>
  <c r="H746" i="1"/>
  <c r="I746" i="1"/>
  <c r="J746" i="1"/>
  <c r="K746" i="1"/>
  <c r="E747" i="1"/>
  <c r="F747" i="1"/>
  <c r="G747" i="1"/>
  <c r="H747" i="1"/>
  <c r="I747" i="1"/>
  <c r="J747" i="1"/>
  <c r="K747" i="1"/>
  <c r="E748" i="1"/>
  <c r="F748" i="1"/>
  <c r="G748" i="1"/>
  <c r="H748" i="1"/>
  <c r="I748" i="1"/>
  <c r="J748" i="1"/>
  <c r="K748" i="1"/>
  <c r="E749" i="1"/>
  <c r="F749" i="1"/>
  <c r="G749" i="1"/>
  <c r="H749" i="1"/>
  <c r="I749" i="1"/>
  <c r="J749" i="1"/>
  <c r="K749" i="1"/>
  <c r="E750" i="1"/>
  <c r="F750" i="1"/>
  <c r="G750" i="1"/>
  <c r="H750" i="1"/>
  <c r="I750" i="1"/>
  <c r="J750" i="1"/>
  <c r="K750" i="1"/>
  <c r="E751" i="1"/>
  <c r="F751" i="1"/>
  <c r="G751" i="1"/>
  <c r="H751" i="1"/>
  <c r="I751" i="1"/>
  <c r="J751" i="1"/>
  <c r="K751" i="1"/>
  <c r="E752" i="1"/>
  <c r="F752" i="1"/>
  <c r="G752" i="1"/>
  <c r="H752" i="1"/>
  <c r="I752" i="1"/>
  <c r="J752" i="1"/>
  <c r="K752" i="1"/>
  <c r="E753" i="1"/>
  <c r="F753" i="1"/>
  <c r="G753" i="1"/>
  <c r="H753" i="1"/>
  <c r="I753" i="1"/>
  <c r="J753" i="1"/>
  <c r="K753" i="1"/>
  <c r="E754" i="1"/>
  <c r="F754" i="1"/>
  <c r="G754" i="1"/>
  <c r="H754" i="1"/>
  <c r="I754" i="1"/>
  <c r="J754" i="1"/>
  <c r="K754" i="1"/>
  <c r="E755" i="1"/>
  <c r="F755" i="1"/>
  <c r="G755" i="1"/>
  <c r="H755" i="1"/>
  <c r="I755" i="1"/>
  <c r="J755" i="1"/>
  <c r="K755" i="1"/>
  <c r="E756" i="1"/>
  <c r="F756" i="1"/>
  <c r="G756" i="1"/>
  <c r="H756" i="1"/>
  <c r="I756" i="1"/>
  <c r="J756" i="1"/>
  <c r="K756" i="1"/>
  <c r="E757" i="1"/>
  <c r="F757" i="1"/>
  <c r="G757" i="1"/>
  <c r="H757" i="1"/>
  <c r="I757" i="1"/>
  <c r="J757" i="1"/>
  <c r="K757" i="1"/>
  <c r="E758" i="1"/>
  <c r="F758" i="1"/>
  <c r="G758" i="1"/>
  <c r="H758" i="1"/>
  <c r="I758" i="1"/>
  <c r="J758" i="1"/>
  <c r="K758" i="1"/>
  <c r="E759" i="1"/>
  <c r="F759" i="1"/>
  <c r="G759" i="1"/>
  <c r="H759" i="1"/>
  <c r="I759" i="1"/>
  <c r="J759" i="1"/>
  <c r="K759" i="1"/>
  <c r="E760" i="1"/>
  <c r="F760" i="1"/>
  <c r="G760" i="1"/>
  <c r="H760" i="1"/>
  <c r="I760" i="1"/>
  <c r="J760" i="1"/>
  <c r="K760" i="1"/>
  <c r="E761" i="1"/>
  <c r="F761" i="1"/>
  <c r="G761" i="1"/>
  <c r="H761" i="1"/>
  <c r="I761" i="1"/>
  <c r="J761" i="1"/>
  <c r="K761" i="1"/>
  <c r="E762" i="1"/>
  <c r="F762" i="1"/>
  <c r="G762" i="1"/>
  <c r="H762" i="1"/>
  <c r="I762" i="1"/>
  <c r="J762" i="1"/>
  <c r="K762" i="1"/>
  <c r="E763" i="1"/>
  <c r="F763" i="1"/>
  <c r="G763" i="1"/>
  <c r="H763" i="1"/>
  <c r="I763" i="1"/>
  <c r="J763" i="1"/>
  <c r="K763" i="1"/>
  <c r="E764" i="1"/>
  <c r="F764" i="1"/>
  <c r="G764" i="1"/>
  <c r="H764" i="1"/>
  <c r="I764" i="1"/>
  <c r="J764" i="1"/>
  <c r="K764" i="1"/>
  <c r="E765" i="1"/>
  <c r="F765" i="1"/>
  <c r="G765" i="1"/>
  <c r="H765" i="1"/>
  <c r="I765" i="1"/>
  <c r="J765" i="1"/>
  <c r="K765" i="1"/>
  <c r="E766" i="1"/>
  <c r="F766" i="1"/>
  <c r="G766" i="1"/>
  <c r="H766" i="1"/>
  <c r="I766" i="1"/>
  <c r="J766" i="1"/>
  <c r="K766" i="1"/>
  <c r="E767" i="1"/>
  <c r="F767" i="1"/>
  <c r="G767" i="1"/>
  <c r="H767" i="1"/>
  <c r="I767" i="1"/>
  <c r="J767" i="1"/>
  <c r="K767" i="1"/>
  <c r="E768" i="1"/>
  <c r="F768" i="1"/>
  <c r="G768" i="1"/>
  <c r="H768" i="1"/>
  <c r="I768" i="1"/>
  <c r="J768" i="1"/>
  <c r="K768" i="1"/>
  <c r="E769" i="1"/>
  <c r="F769" i="1"/>
  <c r="G769" i="1"/>
  <c r="H769" i="1"/>
  <c r="I769" i="1"/>
  <c r="J769" i="1"/>
  <c r="K769" i="1"/>
  <c r="E770" i="1"/>
  <c r="F770" i="1"/>
  <c r="G770" i="1"/>
  <c r="H770" i="1"/>
  <c r="I770" i="1"/>
  <c r="J770" i="1"/>
  <c r="K770" i="1"/>
  <c r="E771" i="1"/>
  <c r="F771" i="1"/>
  <c r="G771" i="1"/>
  <c r="H771" i="1"/>
  <c r="I771" i="1"/>
  <c r="J771" i="1"/>
  <c r="K771" i="1"/>
  <c r="E772" i="1"/>
  <c r="F772" i="1"/>
  <c r="G772" i="1"/>
  <c r="H772" i="1"/>
  <c r="I772" i="1"/>
  <c r="J772" i="1"/>
  <c r="K772" i="1"/>
  <c r="E773" i="1"/>
  <c r="F773" i="1"/>
  <c r="G773" i="1"/>
  <c r="H773" i="1"/>
  <c r="I773" i="1"/>
  <c r="J773" i="1"/>
  <c r="K773" i="1"/>
  <c r="E774" i="1"/>
  <c r="F774" i="1"/>
  <c r="G774" i="1"/>
  <c r="H774" i="1"/>
  <c r="I774" i="1"/>
  <c r="J774" i="1"/>
  <c r="K774" i="1"/>
  <c r="E775" i="1"/>
  <c r="F775" i="1"/>
  <c r="G775" i="1"/>
  <c r="H775" i="1"/>
  <c r="I775" i="1"/>
  <c r="J775" i="1"/>
  <c r="K775" i="1"/>
  <c r="E776" i="1"/>
  <c r="F776" i="1"/>
  <c r="G776" i="1"/>
  <c r="H776" i="1"/>
  <c r="I776" i="1"/>
  <c r="J776" i="1"/>
  <c r="K776" i="1"/>
  <c r="E777" i="1"/>
  <c r="F777" i="1"/>
  <c r="G777" i="1"/>
  <c r="H777" i="1"/>
  <c r="I777" i="1"/>
  <c r="J777" i="1"/>
  <c r="K777" i="1"/>
  <c r="E778" i="1"/>
  <c r="F778" i="1"/>
  <c r="G778" i="1"/>
  <c r="H778" i="1"/>
  <c r="I778" i="1"/>
  <c r="J778" i="1"/>
  <c r="K778" i="1"/>
  <c r="E779" i="1"/>
  <c r="F779" i="1"/>
  <c r="G779" i="1"/>
  <c r="H779" i="1"/>
  <c r="I779" i="1"/>
  <c r="J779" i="1"/>
  <c r="K779" i="1"/>
  <c r="E780" i="1"/>
  <c r="F780" i="1"/>
  <c r="G780" i="1"/>
  <c r="H780" i="1"/>
  <c r="I780" i="1"/>
  <c r="J780" i="1"/>
  <c r="K780" i="1"/>
  <c r="E781" i="1"/>
  <c r="F781" i="1"/>
  <c r="G781" i="1"/>
  <c r="H781" i="1"/>
  <c r="I781" i="1"/>
  <c r="J781" i="1"/>
  <c r="K781" i="1"/>
  <c r="E782" i="1"/>
  <c r="F782" i="1"/>
  <c r="G782" i="1"/>
  <c r="H782" i="1"/>
  <c r="I782" i="1"/>
  <c r="J782" i="1"/>
  <c r="K782" i="1"/>
  <c r="E783" i="1"/>
  <c r="F783" i="1"/>
  <c r="G783" i="1"/>
  <c r="H783" i="1"/>
  <c r="I783" i="1"/>
  <c r="J783" i="1"/>
  <c r="K783" i="1"/>
  <c r="E784" i="1"/>
  <c r="F784" i="1"/>
  <c r="G784" i="1"/>
  <c r="H784" i="1"/>
  <c r="I784" i="1"/>
  <c r="J784" i="1"/>
  <c r="K784" i="1"/>
  <c r="E785" i="1"/>
  <c r="F785" i="1"/>
  <c r="G785" i="1"/>
  <c r="H785" i="1"/>
  <c r="I785" i="1"/>
  <c r="J785" i="1"/>
  <c r="K785" i="1"/>
  <c r="E786" i="1"/>
  <c r="F786" i="1"/>
  <c r="G786" i="1"/>
  <c r="H786" i="1"/>
  <c r="I786" i="1"/>
  <c r="J786" i="1"/>
  <c r="K786" i="1"/>
  <c r="E787" i="1"/>
  <c r="F787" i="1"/>
  <c r="G787" i="1"/>
  <c r="H787" i="1"/>
  <c r="I787" i="1"/>
  <c r="J787" i="1"/>
  <c r="K787" i="1"/>
  <c r="E788" i="1"/>
  <c r="F788" i="1"/>
  <c r="G788" i="1"/>
  <c r="H788" i="1"/>
  <c r="I788" i="1"/>
  <c r="J788" i="1"/>
  <c r="K788" i="1"/>
  <c r="E789" i="1"/>
  <c r="F789" i="1"/>
  <c r="G789" i="1"/>
  <c r="H789" i="1"/>
  <c r="I789" i="1"/>
  <c r="J789" i="1"/>
  <c r="K789" i="1"/>
  <c r="E790" i="1"/>
  <c r="F790" i="1"/>
  <c r="G790" i="1"/>
  <c r="H790" i="1"/>
  <c r="I790" i="1"/>
  <c r="J790" i="1"/>
  <c r="K790" i="1"/>
  <c r="E791" i="1"/>
  <c r="F791" i="1"/>
  <c r="G791" i="1"/>
  <c r="H791" i="1"/>
  <c r="I791" i="1"/>
  <c r="J791" i="1"/>
  <c r="K791" i="1"/>
  <c r="E792" i="1"/>
  <c r="F792" i="1"/>
  <c r="G792" i="1"/>
  <c r="H792" i="1"/>
  <c r="I792" i="1"/>
  <c r="J792" i="1"/>
  <c r="K792" i="1"/>
  <c r="E793" i="1"/>
  <c r="F793" i="1"/>
  <c r="G793" i="1"/>
  <c r="H793" i="1"/>
  <c r="I793" i="1"/>
  <c r="J793" i="1"/>
  <c r="K793" i="1"/>
  <c r="E794" i="1"/>
  <c r="F794" i="1"/>
  <c r="G794" i="1"/>
  <c r="H794" i="1"/>
  <c r="I794" i="1"/>
  <c r="J794" i="1"/>
  <c r="K794" i="1"/>
  <c r="E795" i="1"/>
  <c r="F795" i="1"/>
  <c r="G795" i="1"/>
  <c r="H795" i="1"/>
  <c r="I795" i="1"/>
  <c r="J795" i="1"/>
  <c r="K795" i="1"/>
  <c r="E796" i="1"/>
  <c r="F796" i="1"/>
  <c r="G796" i="1"/>
  <c r="H796" i="1"/>
  <c r="I796" i="1"/>
  <c r="J796" i="1"/>
  <c r="K796" i="1"/>
  <c r="E797" i="1"/>
  <c r="F797" i="1"/>
  <c r="G797" i="1"/>
  <c r="H797" i="1"/>
  <c r="I797" i="1"/>
  <c r="J797" i="1"/>
  <c r="K797" i="1"/>
  <c r="E798" i="1"/>
  <c r="F798" i="1"/>
  <c r="G798" i="1"/>
  <c r="H798" i="1"/>
  <c r="I798" i="1"/>
  <c r="J798" i="1"/>
  <c r="K798" i="1"/>
  <c r="E799" i="1"/>
  <c r="F799" i="1"/>
  <c r="G799" i="1"/>
  <c r="H799" i="1"/>
  <c r="I799" i="1"/>
  <c r="J799" i="1"/>
  <c r="K799" i="1"/>
  <c r="E800" i="1"/>
  <c r="F800" i="1"/>
  <c r="G800" i="1"/>
  <c r="H800" i="1"/>
  <c r="I800" i="1"/>
  <c r="J800" i="1"/>
  <c r="K800" i="1"/>
  <c r="E801" i="1"/>
  <c r="F801" i="1"/>
  <c r="G801" i="1"/>
  <c r="H801" i="1"/>
  <c r="I801" i="1"/>
  <c r="J801" i="1"/>
  <c r="K801" i="1"/>
  <c r="E802" i="1"/>
  <c r="F802" i="1"/>
  <c r="G802" i="1"/>
  <c r="H802" i="1"/>
  <c r="I802" i="1"/>
  <c r="J802" i="1"/>
  <c r="K802" i="1"/>
  <c r="E803" i="1"/>
  <c r="F803" i="1"/>
  <c r="G803" i="1"/>
  <c r="H803" i="1"/>
  <c r="I803" i="1"/>
  <c r="J803" i="1"/>
  <c r="K803" i="1"/>
  <c r="E804" i="1"/>
  <c r="F804" i="1"/>
  <c r="G804" i="1"/>
  <c r="H804" i="1"/>
  <c r="I804" i="1"/>
  <c r="J804" i="1"/>
  <c r="K804" i="1"/>
  <c r="E805" i="1"/>
  <c r="F805" i="1"/>
  <c r="G805" i="1"/>
  <c r="H805" i="1"/>
  <c r="I805" i="1"/>
  <c r="J805" i="1"/>
  <c r="K805" i="1"/>
  <c r="E806" i="1"/>
  <c r="F806" i="1"/>
  <c r="G806" i="1"/>
  <c r="H806" i="1"/>
  <c r="I806" i="1"/>
  <c r="J806" i="1"/>
  <c r="K806" i="1"/>
  <c r="E807" i="1"/>
  <c r="F807" i="1"/>
  <c r="G807" i="1"/>
  <c r="H807" i="1"/>
  <c r="I807" i="1"/>
  <c r="J807" i="1"/>
  <c r="K807" i="1"/>
  <c r="E808" i="1"/>
  <c r="F808" i="1"/>
  <c r="G808" i="1"/>
  <c r="H808" i="1"/>
  <c r="I808" i="1"/>
  <c r="J808" i="1"/>
  <c r="K808" i="1"/>
  <c r="E809" i="1"/>
  <c r="F809" i="1"/>
  <c r="G809" i="1"/>
  <c r="H809" i="1"/>
  <c r="I809" i="1"/>
  <c r="J809" i="1"/>
  <c r="K809" i="1"/>
  <c r="E810" i="1"/>
  <c r="F810" i="1"/>
  <c r="G810" i="1"/>
  <c r="H810" i="1"/>
  <c r="I810" i="1"/>
  <c r="J810" i="1"/>
  <c r="K810" i="1"/>
  <c r="E811" i="1"/>
  <c r="F811" i="1"/>
  <c r="G811" i="1"/>
  <c r="H811" i="1"/>
  <c r="I811" i="1"/>
  <c r="J811" i="1"/>
  <c r="K811" i="1"/>
  <c r="E812" i="1"/>
  <c r="F812" i="1"/>
  <c r="G812" i="1"/>
  <c r="H812" i="1"/>
  <c r="I812" i="1"/>
  <c r="J812" i="1"/>
  <c r="K812" i="1"/>
  <c r="E813" i="1"/>
  <c r="F813" i="1"/>
  <c r="G813" i="1"/>
  <c r="H813" i="1"/>
  <c r="I813" i="1"/>
  <c r="J813" i="1"/>
  <c r="K813" i="1"/>
  <c r="E814" i="1"/>
  <c r="F814" i="1"/>
  <c r="G814" i="1"/>
  <c r="H814" i="1"/>
  <c r="I814" i="1"/>
  <c r="J814" i="1"/>
  <c r="K814" i="1"/>
  <c r="E815" i="1"/>
  <c r="F815" i="1"/>
  <c r="G815" i="1"/>
  <c r="H815" i="1"/>
  <c r="I815" i="1"/>
  <c r="J815" i="1"/>
  <c r="K815" i="1"/>
  <c r="E816" i="1"/>
  <c r="F816" i="1"/>
  <c r="G816" i="1"/>
  <c r="H816" i="1"/>
  <c r="I816" i="1"/>
  <c r="J816" i="1"/>
  <c r="K816" i="1"/>
  <c r="E817" i="1"/>
  <c r="F817" i="1"/>
  <c r="G817" i="1"/>
  <c r="H817" i="1"/>
  <c r="I817" i="1"/>
  <c r="J817" i="1"/>
  <c r="K817" i="1"/>
  <c r="E818" i="1"/>
  <c r="F818" i="1"/>
  <c r="G818" i="1"/>
  <c r="H818" i="1"/>
  <c r="I818" i="1"/>
  <c r="J818" i="1"/>
  <c r="K818" i="1"/>
  <c r="E819" i="1"/>
  <c r="F819" i="1"/>
  <c r="G819" i="1"/>
  <c r="H819" i="1"/>
  <c r="I819" i="1"/>
  <c r="J819" i="1"/>
  <c r="K819" i="1"/>
  <c r="E820" i="1"/>
  <c r="F820" i="1"/>
  <c r="G820" i="1"/>
  <c r="H820" i="1"/>
  <c r="I820" i="1"/>
  <c r="J820" i="1"/>
  <c r="K820" i="1"/>
  <c r="E821" i="1"/>
  <c r="F821" i="1"/>
  <c r="G821" i="1"/>
  <c r="H821" i="1"/>
  <c r="I821" i="1"/>
  <c r="J821" i="1"/>
  <c r="K821" i="1"/>
  <c r="E822" i="1"/>
  <c r="F822" i="1"/>
  <c r="G822" i="1"/>
  <c r="H822" i="1"/>
  <c r="I822" i="1"/>
  <c r="J822" i="1"/>
  <c r="K822" i="1"/>
  <c r="E823" i="1"/>
  <c r="F823" i="1"/>
  <c r="G823" i="1"/>
  <c r="H823" i="1"/>
  <c r="I823" i="1"/>
  <c r="J823" i="1"/>
  <c r="K823" i="1"/>
  <c r="E824" i="1"/>
  <c r="F824" i="1"/>
  <c r="G824" i="1"/>
  <c r="H824" i="1"/>
  <c r="I824" i="1"/>
  <c r="J824" i="1"/>
  <c r="K824" i="1"/>
  <c r="E825" i="1"/>
  <c r="F825" i="1"/>
  <c r="G825" i="1"/>
  <c r="H825" i="1"/>
  <c r="I825" i="1"/>
  <c r="J825" i="1"/>
  <c r="K825" i="1"/>
  <c r="E826" i="1"/>
  <c r="F826" i="1"/>
  <c r="G826" i="1"/>
  <c r="H826" i="1"/>
  <c r="I826" i="1"/>
  <c r="J826" i="1"/>
  <c r="K826" i="1"/>
  <c r="E827" i="1"/>
  <c r="F827" i="1"/>
  <c r="G827" i="1"/>
  <c r="H827" i="1"/>
  <c r="I827" i="1"/>
  <c r="J827" i="1"/>
  <c r="K827" i="1"/>
  <c r="E828" i="1"/>
  <c r="F828" i="1"/>
  <c r="G828" i="1"/>
  <c r="H828" i="1"/>
  <c r="I828" i="1"/>
  <c r="J828" i="1"/>
  <c r="K828" i="1"/>
  <c r="E829" i="1"/>
  <c r="F829" i="1"/>
  <c r="G829" i="1"/>
  <c r="H829" i="1"/>
  <c r="I829" i="1"/>
  <c r="J829" i="1"/>
  <c r="K829" i="1"/>
  <c r="E830" i="1"/>
  <c r="F830" i="1"/>
  <c r="G830" i="1"/>
  <c r="H830" i="1"/>
  <c r="I830" i="1"/>
  <c r="J830" i="1"/>
  <c r="K830" i="1"/>
  <c r="E831" i="1"/>
  <c r="F831" i="1"/>
  <c r="G831" i="1"/>
  <c r="H831" i="1"/>
  <c r="I831" i="1"/>
  <c r="J831" i="1"/>
  <c r="K831" i="1"/>
  <c r="E832" i="1"/>
  <c r="F832" i="1"/>
  <c r="G832" i="1"/>
  <c r="H832" i="1"/>
  <c r="I832" i="1"/>
  <c r="J832" i="1"/>
  <c r="K832" i="1"/>
  <c r="E833" i="1"/>
  <c r="F833" i="1"/>
  <c r="G833" i="1"/>
  <c r="H833" i="1"/>
  <c r="I833" i="1"/>
  <c r="J833" i="1"/>
  <c r="K833" i="1"/>
  <c r="E834" i="1"/>
  <c r="F834" i="1"/>
  <c r="G834" i="1"/>
  <c r="H834" i="1"/>
  <c r="I834" i="1"/>
  <c r="J834" i="1"/>
  <c r="K834" i="1"/>
  <c r="E835" i="1"/>
  <c r="F835" i="1"/>
  <c r="G835" i="1"/>
  <c r="H835" i="1"/>
  <c r="I835" i="1"/>
  <c r="J835" i="1"/>
  <c r="K835" i="1"/>
  <c r="E836" i="1"/>
  <c r="F836" i="1"/>
  <c r="G836" i="1"/>
  <c r="H836" i="1"/>
  <c r="I836" i="1"/>
  <c r="J836" i="1"/>
  <c r="K836" i="1"/>
  <c r="E837" i="1"/>
  <c r="F837" i="1"/>
  <c r="G837" i="1"/>
  <c r="H837" i="1"/>
  <c r="I837" i="1"/>
  <c r="J837" i="1"/>
  <c r="K837" i="1"/>
  <c r="E838" i="1"/>
  <c r="F838" i="1"/>
  <c r="G838" i="1"/>
  <c r="H838" i="1"/>
  <c r="I838" i="1"/>
  <c r="J838" i="1"/>
  <c r="K838" i="1"/>
  <c r="E839" i="1"/>
  <c r="F839" i="1"/>
  <c r="G839" i="1"/>
  <c r="H839" i="1"/>
  <c r="I839" i="1"/>
  <c r="J839" i="1"/>
  <c r="K839" i="1"/>
  <c r="E840" i="1"/>
  <c r="F840" i="1"/>
  <c r="G840" i="1"/>
  <c r="H840" i="1"/>
  <c r="I840" i="1"/>
  <c r="J840" i="1"/>
  <c r="K840" i="1"/>
  <c r="E841" i="1"/>
  <c r="F841" i="1"/>
  <c r="G841" i="1"/>
  <c r="H841" i="1"/>
  <c r="I841" i="1"/>
  <c r="J841" i="1"/>
  <c r="K841" i="1"/>
  <c r="E842" i="1"/>
  <c r="F842" i="1"/>
  <c r="G842" i="1"/>
  <c r="H842" i="1"/>
  <c r="I842" i="1"/>
  <c r="J842" i="1"/>
  <c r="K842" i="1"/>
  <c r="E843" i="1"/>
  <c r="F843" i="1"/>
  <c r="G843" i="1"/>
  <c r="H843" i="1"/>
  <c r="I843" i="1"/>
  <c r="J843" i="1"/>
  <c r="K843" i="1"/>
  <c r="E844" i="1"/>
  <c r="F844" i="1"/>
  <c r="G844" i="1"/>
  <c r="H844" i="1"/>
  <c r="I844" i="1"/>
  <c r="J844" i="1"/>
  <c r="K844" i="1"/>
  <c r="E845" i="1"/>
  <c r="F845" i="1"/>
  <c r="G845" i="1"/>
  <c r="H845" i="1"/>
  <c r="I845" i="1"/>
  <c r="J845" i="1"/>
  <c r="K845" i="1"/>
  <c r="E846" i="1"/>
  <c r="F846" i="1"/>
  <c r="G846" i="1"/>
  <c r="H846" i="1"/>
  <c r="I846" i="1"/>
  <c r="J846" i="1"/>
  <c r="K846" i="1"/>
  <c r="E847" i="1"/>
  <c r="F847" i="1"/>
  <c r="G847" i="1"/>
  <c r="H847" i="1"/>
  <c r="I847" i="1"/>
  <c r="J847" i="1"/>
  <c r="K847" i="1"/>
  <c r="E848" i="1"/>
  <c r="F848" i="1"/>
  <c r="G848" i="1"/>
  <c r="H848" i="1"/>
  <c r="I848" i="1"/>
  <c r="J848" i="1"/>
  <c r="K848" i="1"/>
  <c r="E849" i="1"/>
  <c r="F849" i="1"/>
  <c r="G849" i="1"/>
  <c r="H849" i="1"/>
  <c r="I849" i="1"/>
  <c r="J849" i="1"/>
  <c r="K849" i="1"/>
  <c r="E850" i="1"/>
  <c r="F850" i="1"/>
  <c r="G850" i="1"/>
  <c r="H850" i="1"/>
  <c r="I850" i="1"/>
  <c r="J850" i="1"/>
  <c r="K850" i="1"/>
  <c r="E851" i="1"/>
  <c r="F851" i="1"/>
  <c r="G851" i="1"/>
  <c r="H851" i="1"/>
  <c r="I851" i="1"/>
  <c r="J851" i="1"/>
  <c r="K851" i="1"/>
  <c r="E852" i="1"/>
  <c r="F852" i="1"/>
  <c r="G852" i="1"/>
  <c r="H852" i="1"/>
  <c r="I852" i="1"/>
  <c r="J852" i="1"/>
  <c r="K852" i="1"/>
  <c r="E853" i="1"/>
  <c r="F853" i="1"/>
  <c r="G853" i="1"/>
  <c r="H853" i="1"/>
  <c r="I853" i="1"/>
  <c r="J853" i="1"/>
  <c r="K853" i="1"/>
  <c r="E854" i="1"/>
  <c r="F854" i="1"/>
  <c r="G854" i="1"/>
  <c r="H854" i="1"/>
  <c r="I854" i="1"/>
  <c r="J854" i="1"/>
  <c r="K854" i="1"/>
  <c r="E855" i="1"/>
  <c r="F855" i="1"/>
  <c r="G855" i="1"/>
  <c r="H855" i="1"/>
  <c r="I855" i="1"/>
  <c r="J855" i="1"/>
  <c r="K855" i="1"/>
  <c r="E856" i="1"/>
  <c r="F856" i="1"/>
  <c r="G856" i="1"/>
  <c r="H856" i="1"/>
  <c r="I856" i="1"/>
  <c r="J856" i="1"/>
  <c r="K856" i="1"/>
  <c r="E857" i="1"/>
  <c r="F857" i="1"/>
  <c r="G857" i="1"/>
  <c r="H857" i="1"/>
  <c r="I857" i="1"/>
  <c r="J857" i="1"/>
  <c r="K857" i="1"/>
  <c r="E858" i="1"/>
  <c r="F858" i="1"/>
  <c r="G858" i="1"/>
  <c r="H858" i="1"/>
  <c r="I858" i="1"/>
  <c r="J858" i="1"/>
  <c r="K858" i="1"/>
  <c r="E859" i="1"/>
  <c r="F859" i="1"/>
  <c r="G859" i="1"/>
  <c r="H859" i="1"/>
  <c r="I859" i="1"/>
  <c r="J859" i="1"/>
  <c r="K859" i="1"/>
  <c r="E860" i="1"/>
  <c r="F860" i="1"/>
  <c r="G860" i="1"/>
  <c r="H860" i="1"/>
  <c r="I860" i="1"/>
  <c r="J860" i="1"/>
  <c r="K860" i="1"/>
  <c r="E861" i="1"/>
  <c r="F861" i="1"/>
  <c r="G861" i="1"/>
  <c r="H861" i="1"/>
  <c r="I861" i="1"/>
  <c r="J861" i="1"/>
  <c r="K861" i="1"/>
  <c r="E862" i="1"/>
  <c r="F862" i="1"/>
  <c r="G862" i="1"/>
  <c r="H862" i="1"/>
  <c r="I862" i="1"/>
  <c r="J862" i="1"/>
  <c r="K862" i="1"/>
  <c r="E863" i="1"/>
  <c r="F863" i="1"/>
  <c r="G863" i="1"/>
  <c r="H863" i="1"/>
  <c r="I863" i="1"/>
  <c r="J863" i="1"/>
  <c r="K863" i="1"/>
  <c r="E864" i="1"/>
  <c r="F864" i="1"/>
  <c r="G864" i="1"/>
  <c r="H864" i="1"/>
  <c r="I864" i="1"/>
  <c r="J864" i="1"/>
  <c r="K864" i="1"/>
  <c r="E865" i="1"/>
  <c r="F865" i="1"/>
  <c r="G865" i="1"/>
  <c r="H865" i="1"/>
  <c r="I865" i="1"/>
  <c r="J865" i="1"/>
  <c r="K865" i="1"/>
  <c r="E866" i="1"/>
  <c r="F866" i="1"/>
  <c r="G866" i="1"/>
  <c r="H866" i="1"/>
  <c r="I866" i="1"/>
  <c r="J866" i="1"/>
  <c r="K866" i="1"/>
  <c r="E867" i="1"/>
  <c r="F867" i="1"/>
  <c r="G867" i="1"/>
  <c r="H867" i="1"/>
  <c r="I867" i="1"/>
  <c r="J867" i="1"/>
  <c r="K867" i="1"/>
  <c r="E868" i="1"/>
  <c r="F868" i="1"/>
  <c r="G868" i="1"/>
  <c r="H868" i="1"/>
  <c r="I868" i="1"/>
  <c r="J868" i="1"/>
  <c r="K868" i="1"/>
  <c r="E869" i="1"/>
  <c r="F869" i="1"/>
  <c r="G869" i="1"/>
  <c r="H869" i="1"/>
  <c r="I869" i="1"/>
  <c r="J869" i="1"/>
  <c r="K869" i="1"/>
  <c r="E870" i="1"/>
  <c r="F870" i="1"/>
  <c r="G870" i="1"/>
  <c r="H870" i="1"/>
  <c r="I870" i="1"/>
  <c r="J870" i="1"/>
  <c r="K870" i="1"/>
  <c r="E871" i="1"/>
  <c r="F871" i="1"/>
  <c r="G871" i="1"/>
  <c r="H871" i="1"/>
  <c r="I871" i="1"/>
  <c r="J871" i="1"/>
  <c r="K871" i="1"/>
  <c r="E872" i="1"/>
  <c r="F872" i="1"/>
  <c r="G872" i="1"/>
  <c r="H872" i="1"/>
  <c r="I872" i="1"/>
  <c r="J872" i="1"/>
  <c r="K872" i="1"/>
  <c r="E873" i="1"/>
  <c r="F873" i="1"/>
  <c r="G873" i="1"/>
  <c r="H873" i="1"/>
  <c r="I873" i="1"/>
  <c r="J873" i="1"/>
  <c r="K873" i="1"/>
  <c r="E874" i="1"/>
  <c r="F874" i="1"/>
  <c r="G874" i="1"/>
  <c r="H874" i="1"/>
  <c r="I874" i="1"/>
  <c r="J874" i="1"/>
  <c r="K874" i="1"/>
  <c r="E875" i="1"/>
  <c r="F875" i="1"/>
  <c r="G875" i="1"/>
  <c r="H875" i="1"/>
  <c r="I875" i="1"/>
  <c r="J875" i="1"/>
  <c r="K875" i="1"/>
  <c r="E876" i="1"/>
  <c r="F876" i="1"/>
  <c r="G876" i="1"/>
  <c r="H876" i="1"/>
  <c r="I876" i="1"/>
  <c r="J876" i="1"/>
  <c r="K876" i="1"/>
  <c r="E877" i="1"/>
  <c r="F877" i="1"/>
  <c r="G877" i="1"/>
  <c r="H877" i="1"/>
  <c r="I877" i="1"/>
  <c r="J877" i="1"/>
  <c r="K877" i="1"/>
  <c r="E878" i="1"/>
  <c r="F878" i="1"/>
  <c r="G878" i="1"/>
  <c r="H878" i="1"/>
  <c r="I878" i="1"/>
  <c r="J878" i="1"/>
  <c r="K878" i="1"/>
  <c r="E879" i="1"/>
  <c r="F879" i="1"/>
  <c r="G879" i="1"/>
  <c r="H879" i="1"/>
  <c r="I879" i="1"/>
  <c r="J879" i="1"/>
  <c r="K879" i="1"/>
  <c r="E880" i="1"/>
  <c r="F880" i="1"/>
  <c r="G880" i="1"/>
  <c r="H880" i="1"/>
  <c r="I880" i="1"/>
  <c r="J880" i="1"/>
  <c r="K880" i="1"/>
  <c r="E881" i="1"/>
  <c r="F881" i="1"/>
  <c r="G881" i="1"/>
  <c r="H881" i="1"/>
  <c r="I881" i="1"/>
  <c r="J881" i="1"/>
  <c r="K881" i="1"/>
  <c r="E882" i="1"/>
  <c r="F882" i="1"/>
  <c r="G882" i="1"/>
  <c r="H882" i="1"/>
  <c r="I882" i="1"/>
  <c r="J882" i="1"/>
  <c r="K882" i="1"/>
  <c r="E883" i="1"/>
  <c r="F883" i="1"/>
  <c r="G883" i="1"/>
  <c r="H883" i="1"/>
  <c r="I883" i="1"/>
  <c r="J883" i="1"/>
  <c r="K883" i="1"/>
  <c r="E884" i="1"/>
  <c r="F884" i="1"/>
  <c r="G884" i="1"/>
  <c r="H884" i="1"/>
  <c r="I884" i="1"/>
  <c r="J884" i="1"/>
  <c r="K884" i="1"/>
  <c r="E885" i="1"/>
  <c r="F885" i="1"/>
  <c r="G885" i="1"/>
  <c r="H885" i="1"/>
  <c r="I885" i="1"/>
  <c r="J885" i="1"/>
  <c r="K885" i="1"/>
  <c r="E886" i="1"/>
  <c r="F886" i="1"/>
  <c r="G886" i="1"/>
  <c r="H886" i="1"/>
  <c r="I886" i="1"/>
  <c r="J886" i="1"/>
  <c r="K886" i="1"/>
  <c r="E887" i="1"/>
  <c r="F887" i="1"/>
  <c r="G887" i="1"/>
  <c r="H887" i="1"/>
  <c r="I887" i="1"/>
  <c r="J887" i="1"/>
  <c r="K887" i="1"/>
  <c r="E888" i="1"/>
  <c r="F888" i="1"/>
  <c r="G888" i="1"/>
  <c r="H888" i="1"/>
  <c r="I888" i="1"/>
  <c r="J888" i="1"/>
  <c r="K888" i="1"/>
  <c r="E889" i="1"/>
  <c r="F889" i="1"/>
  <c r="G889" i="1"/>
  <c r="H889" i="1"/>
  <c r="I889" i="1"/>
  <c r="J889" i="1"/>
  <c r="K889" i="1"/>
  <c r="E890" i="1"/>
  <c r="F890" i="1"/>
  <c r="G890" i="1"/>
  <c r="H890" i="1"/>
  <c r="I890" i="1"/>
  <c r="J890" i="1"/>
  <c r="K890" i="1"/>
  <c r="E891" i="1"/>
  <c r="F891" i="1"/>
  <c r="G891" i="1"/>
  <c r="H891" i="1"/>
  <c r="I891" i="1"/>
  <c r="J891" i="1"/>
  <c r="K891" i="1"/>
  <c r="E892" i="1"/>
  <c r="F892" i="1"/>
  <c r="G892" i="1"/>
  <c r="H892" i="1"/>
  <c r="I892" i="1"/>
  <c r="J892" i="1"/>
  <c r="K892" i="1"/>
  <c r="E893" i="1"/>
  <c r="F893" i="1"/>
  <c r="G893" i="1"/>
  <c r="H893" i="1"/>
  <c r="I893" i="1"/>
  <c r="J893" i="1"/>
  <c r="K893" i="1"/>
  <c r="E894" i="1"/>
  <c r="F894" i="1"/>
  <c r="G894" i="1"/>
  <c r="H894" i="1"/>
  <c r="I894" i="1"/>
  <c r="J894" i="1"/>
  <c r="K894" i="1"/>
  <c r="E895" i="1"/>
  <c r="F895" i="1"/>
  <c r="G895" i="1"/>
  <c r="H895" i="1"/>
  <c r="I895" i="1"/>
  <c r="J895" i="1"/>
  <c r="K895" i="1"/>
  <c r="E896" i="1"/>
  <c r="F896" i="1"/>
  <c r="G896" i="1"/>
  <c r="H896" i="1"/>
  <c r="I896" i="1"/>
  <c r="J896" i="1"/>
  <c r="K896" i="1"/>
  <c r="E897" i="1"/>
  <c r="F897" i="1"/>
  <c r="G897" i="1"/>
  <c r="H897" i="1"/>
  <c r="I897" i="1"/>
  <c r="J897" i="1"/>
  <c r="K897" i="1"/>
  <c r="E898" i="1"/>
  <c r="F898" i="1"/>
  <c r="G898" i="1"/>
  <c r="H898" i="1"/>
  <c r="I898" i="1"/>
  <c r="J898" i="1"/>
  <c r="K898" i="1"/>
  <c r="E899" i="1"/>
  <c r="F899" i="1"/>
  <c r="G899" i="1"/>
  <c r="H899" i="1"/>
  <c r="I899" i="1"/>
  <c r="J899" i="1"/>
  <c r="K899" i="1"/>
  <c r="E900" i="1"/>
  <c r="F900" i="1"/>
  <c r="G900" i="1"/>
  <c r="H900" i="1"/>
  <c r="I900" i="1"/>
  <c r="J900" i="1"/>
  <c r="K900" i="1"/>
  <c r="E901" i="1"/>
  <c r="F901" i="1"/>
  <c r="G901" i="1"/>
  <c r="H901" i="1"/>
  <c r="I901" i="1"/>
  <c r="J901" i="1"/>
  <c r="K901" i="1"/>
  <c r="E902" i="1"/>
  <c r="F902" i="1"/>
  <c r="G902" i="1"/>
  <c r="H902" i="1"/>
  <c r="I902" i="1"/>
  <c r="J902" i="1"/>
  <c r="K902" i="1"/>
  <c r="E903" i="1"/>
  <c r="F903" i="1"/>
  <c r="G903" i="1"/>
  <c r="H903" i="1"/>
  <c r="I903" i="1"/>
  <c r="J903" i="1"/>
  <c r="K903" i="1"/>
  <c r="E904" i="1"/>
  <c r="F904" i="1"/>
  <c r="G904" i="1"/>
  <c r="H904" i="1"/>
  <c r="I904" i="1"/>
  <c r="J904" i="1"/>
  <c r="K904" i="1"/>
  <c r="E905" i="1"/>
  <c r="F905" i="1"/>
  <c r="G905" i="1"/>
  <c r="H905" i="1"/>
  <c r="I905" i="1"/>
  <c r="J905" i="1"/>
  <c r="K905" i="1"/>
  <c r="E906" i="1"/>
  <c r="F906" i="1"/>
  <c r="G906" i="1"/>
  <c r="H906" i="1"/>
  <c r="I906" i="1"/>
  <c r="J906" i="1"/>
  <c r="K906" i="1"/>
  <c r="E907" i="1"/>
  <c r="F907" i="1"/>
  <c r="G907" i="1"/>
  <c r="H907" i="1"/>
  <c r="I907" i="1"/>
  <c r="J907" i="1"/>
  <c r="K907" i="1"/>
  <c r="E908" i="1"/>
  <c r="F908" i="1"/>
  <c r="G908" i="1"/>
  <c r="H908" i="1"/>
  <c r="I908" i="1"/>
  <c r="J908" i="1"/>
  <c r="K908" i="1"/>
  <c r="E909" i="1"/>
  <c r="F909" i="1"/>
  <c r="G909" i="1"/>
  <c r="H909" i="1"/>
  <c r="I909" i="1"/>
  <c r="J909" i="1"/>
  <c r="K909" i="1"/>
  <c r="E910" i="1"/>
  <c r="F910" i="1"/>
  <c r="G910" i="1"/>
  <c r="H910" i="1"/>
  <c r="I910" i="1"/>
  <c r="J910" i="1"/>
  <c r="K910" i="1"/>
  <c r="E911" i="1"/>
  <c r="F911" i="1"/>
  <c r="G911" i="1"/>
  <c r="H911" i="1"/>
  <c r="I911" i="1"/>
  <c r="J911" i="1"/>
  <c r="K911" i="1"/>
  <c r="E912" i="1"/>
  <c r="F912" i="1"/>
  <c r="G912" i="1"/>
  <c r="H912" i="1"/>
  <c r="I912" i="1"/>
  <c r="J912" i="1"/>
  <c r="K912" i="1"/>
  <c r="E913" i="1"/>
  <c r="F913" i="1"/>
  <c r="G913" i="1"/>
  <c r="H913" i="1"/>
  <c r="I913" i="1"/>
  <c r="J913" i="1"/>
  <c r="K913" i="1"/>
  <c r="E914" i="1"/>
  <c r="F914" i="1"/>
  <c r="G914" i="1"/>
  <c r="H914" i="1"/>
  <c r="I914" i="1"/>
  <c r="J914" i="1"/>
  <c r="K914" i="1"/>
  <c r="E915" i="1"/>
  <c r="F915" i="1"/>
  <c r="G915" i="1"/>
  <c r="H915" i="1"/>
  <c r="I915" i="1"/>
  <c r="J915" i="1"/>
  <c r="K915" i="1"/>
  <c r="E916" i="1"/>
  <c r="F916" i="1"/>
  <c r="G916" i="1"/>
  <c r="H916" i="1"/>
  <c r="I916" i="1"/>
  <c r="J916" i="1"/>
  <c r="K916" i="1"/>
  <c r="E917" i="1"/>
  <c r="F917" i="1"/>
  <c r="G917" i="1"/>
  <c r="H917" i="1"/>
  <c r="I917" i="1"/>
  <c r="J917" i="1"/>
  <c r="K917" i="1"/>
  <c r="E918" i="1"/>
  <c r="F918" i="1"/>
  <c r="G918" i="1"/>
  <c r="H918" i="1"/>
  <c r="I918" i="1"/>
  <c r="J918" i="1"/>
  <c r="K918" i="1"/>
  <c r="E919" i="1"/>
  <c r="F919" i="1"/>
  <c r="G919" i="1"/>
  <c r="H919" i="1"/>
  <c r="I919" i="1"/>
  <c r="J919" i="1"/>
  <c r="K919" i="1"/>
  <c r="E920" i="1"/>
  <c r="F920" i="1"/>
  <c r="G920" i="1"/>
  <c r="H920" i="1"/>
  <c r="I920" i="1"/>
  <c r="J920" i="1"/>
  <c r="K920" i="1"/>
  <c r="E921" i="1"/>
  <c r="F921" i="1"/>
  <c r="G921" i="1"/>
  <c r="H921" i="1"/>
  <c r="I921" i="1"/>
  <c r="J921" i="1"/>
  <c r="K921" i="1"/>
  <c r="E922" i="1"/>
  <c r="F922" i="1"/>
  <c r="G922" i="1"/>
  <c r="H922" i="1"/>
  <c r="I922" i="1"/>
  <c r="J922" i="1"/>
  <c r="K922" i="1"/>
  <c r="E923" i="1"/>
  <c r="F923" i="1"/>
  <c r="G923" i="1"/>
  <c r="H923" i="1"/>
  <c r="I923" i="1"/>
  <c r="J923" i="1"/>
  <c r="K923" i="1"/>
  <c r="E924" i="1"/>
  <c r="F924" i="1"/>
  <c r="G924" i="1"/>
  <c r="H924" i="1"/>
  <c r="I924" i="1"/>
  <c r="J924" i="1"/>
  <c r="K924" i="1"/>
  <c r="E925" i="1"/>
  <c r="F925" i="1"/>
  <c r="G925" i="1"/>
  <c r="H925" i="1"/>
  <c r="I925" i="1"/>
  <c r="J925" i="1"/>
  <c r="K925" i="1"/>
  <c r="E926" i="1"/>
  <c r="F926" i="1"/>
  <c r="G926" i="1"/>
  <c r="H926" i="1"/>
  <c r="I926" i="1"/>
  <c r="J926" i="1"/>
  <c r="K926" i="1"/>
  <c r="E927" i="1"/>
  <c r="F927" i="1"/>
  <c r="G927" i="1"/>
  <c r="H927" i="1"/>
  <c r="I927" i="1"/>
  <c r="J927" i="1"/>
  <c r="K927" i="1"/>
  <c r="E928" i="1"/>
  <c r="F928" i="1"/>
  <c r="G928" i="1"/>
  <c r="H928" i="1"/>
  <c r="I928" i="1"/>
  <c r="J928" i="1"/>
  <c r="K928" i="1"/>
  <c r="E929" i="1"/>
  <c r="F929" i="1"/>
  <c r="G929" i="1"/>
  <c r="H929" i="1"/>
  <c r="I929" i="1"/>
  <c r="J929" i="1"/>
  <c r="K929" i="1"/>
  <c r="E930" i="1"/>
  <c r="F930" i="1"/>
  <c r="G930" i="1"/>
  <c r="H930" i="1"/>
  <c r="I930" i="1"/>
  <c r="J930" i="1"/>
  <c r="K930" i="1"/>
  <c r="E931" i="1"/>
  <c r="F931" i="1"/>
  <c r="G931" i="1"/>
  <c r="H931" i="1"/>
  <c r="I931" i="1"/>
  <c r="J931" i="1"/>
  <c r="K931" i="1"/>
  <c r="E932" i="1"/>
  <c r="F932" i="1"/>
  <c r="G932" i="1"/>
  <c r="H932" i="1"/>
  <c r="I932" i="1"/>
  <c r="J932" i="1"/>
  <c r="K932" i="1"/>
  <c r="E933" i="1"/>
  <c r="F933" i="1"/>
  <c r="G933" i="1"/>
  <c r="H933" i="1"/>
  <c r="I933" i="1"/>
  <c r="J933" i="1"/>
  <c r="K933" i="1"/>
  <c r="E934" i="1"/>
  <c r="F934" i="1"/>
  <c r="G934" i="1"/>
  <c r="H934" i="1"/>
  <c r="I934" i="1"/>
  <c r="J934" i="1"/>
  <c r="K934" i="1"/>
  <c r="E935" i="1"/>
  <c r="F935" i="1"/>
  <c r="G935" i="1"/>
  <c r="H935" i="1"/>
  <c r="I935" i="1"/>
  <c r="J935" i="1"/>
  <c r="K935" i="1"/>
  <c r="E936" i="1"/>
  <c r="F936" i="1"/>
  <c r="G936" i="1"/>
  <c r="H936" i="1"/>
  <c r="I936" i="1"/>
  <c r="J936" i="1"/>
  <c r="K936" i="1"/>
  <c r="E937" i="1"/>
  <c r="F937" i="1"/>
  <c r="G937" i="1"/>
  <c r="H937" i="1"/>
  <c r="I937" i="1"/>
  <c r="J937" i="1"/>
  <c r="K937" i="1"/>
  <c r="E938" i="1"/>
  <c r="F938" i="1"/>
  <c r="G938" i="1"/>
  <c r="H938" i="1"/>
  <c r="I938" i="1"/>
  <c r="J938" i="1"/>
  <c r="K938" i="1"/>
  <c r="E939" i="1"/>
  <c r="F939" i="1"/>
  <c r="G939" i="1"/>
  <c r="H939" i="1"/>
  <c r="I939" i="1"/>
  <c r="J939" i="1"/>
  <c r="K939" i="1"/>
  <c r="E940" i="1"/>
  <c r="F940" i="1"/>
  <c r="G940" i="1"/>
  <c r="H940" i="1"/>
  <c r="I940" i="1"/>
  <c r="J940" i="1"/>
  <c r="K940" i="1"/>
  <c r="E941" i="1"/>
  <c r="F941" i="1"/>
  <c r="G941" i="1"/>
  <c r="H941" i="1"/>
  <c r="I941" i="1"/>
  <c r="J941" i="1"/>
  <c r="K941" i="1"/>
  <c r="E942" i="1"/>
  <c r="F942" i="1"/>
  <c r="G942" i="1"/>
  <c r="H942" i="1"/>
  <c r="I942" i="1"/>
  <c r="J942" i="1"/>
  <c r="K942" i="1"/>
  <c r="E943" i="1"/>
  <c r="F943" i="1"/>
  <c r="G943" i="1"/>
  <c r="H943" i="1"/>
  <c r="I943" i="1"/>
  <c r="J943" i="1"/>
  <c r="K943" i="1"/>
  <c r="E944" i="1"/>
  <c r="F944" i="1"/>
  <c r="G944" i="1"/>
  <c r="H944" i="1"/>
  <c r="I944" i="1"/>
  <c r="J944" i="1"/>
  <c r="K944" i="1"/>
  <c r="E945" i="1"/>
  <c r="F945" i="1"/>
  <c r="G945" i="1"/>
  <c r="H945" i="1"/>
  <c r="I945" i="1"/>
  <c r="J945" i="1"/>
  <c r="K945" i="1"/>
  <c r="E946" i="1"/>
  <c r="F946" i="1"/>
  <c r="G946" i="1"/>
  <c r="H946" i="1"/>
  <c r="I946" i="1"/>
  <c r="J946" i="1"/>
  <c r="K946" i="1"/>
  <c r="E947" i="1"/>
  <c r="F947" i="1"/>
  <c r="G947" i="1"/>
  <c r="H947" i="1"/>
  <c r="I947" i="1"/>
  <c r="J947" i="1"/>
  <c r="K947" i="1"/>
  <c r="E948" i="1"/>
  <c r="F948" i="1"/>
  <c r="G948" i="1"/>
  <c r="H948" i="1"/>
  <c r="I948" i="1"/>
  <c r="J948" i="1"/>
  <c r="K948" i="1"/>
  <c r="E949" i="1"/>
  <c r="F949" i="1"/>
  <c r="G949" i="1"/>
  <c r="H949" i="1"/>
  <c r="I949" i="1"/>
  <c r="J949" i="1"/>
  <c r="K949" i="1"/>
  <c r="E950" i="1"/>
  <c r="F950" i="1"/>
  <c r="G950" i="1"/>
  <c r="H950" i="1"/>
  <c r="I950" i="1"/>
  <c r="J950" i="1"/>
  <c r="K950" i="1"/>
  <c r="E951" i="1"/>
  <c r="F951" i="1"/>
  <c r="G951" i="1"/>
  <c r="H951" i="1"/>
  <c r="I951" i="1"/>
  <c r="J951" i="1"/>
  <c r="K951" i="1"/>
  <c r="E952" i="1"/>
  <c r="F952" i="1"/>
  <c r="G952" i="1"/>
  <c r="H952" i="1"/>
  <c r="I952" i="1"/>
  <c r="J952" i="1"/>
  <c r="K952" i="1"/>
  <c r="E953" i="1"/>
  <c r="F953" i="1"/>
  <c r="G953" i="1"/>
  <c r="H953" i="1"/>
  <c r="I953" i="1"/>
  <c r="J953" i="1"/>
  <c r="K953" i="1"/>
  <c r="E954" i="1"/>
  <c r="F954" i="1"/>
  <c r="G954" i="1"/>
  <c r="H954" i="1"/>
  <c r="I954" i="1"/>
  <c r="J954" i="1"/>
  <c r="K954" i="1"/>
  <c r="E955" i="1"/>
  <c r="F955" i="1"/>
  <c r="G955" i="1"/>
  <c r="H955" i="1"/>
  <c r="I955" i="1"/>
  <c r="J955" i="1"/>
  <c r="K955" i="1"/>
  <c r="E956" i="1"/>
  <c r="F956" i="1"/>
  <c r="G956" i="1"/>
  <c r="H956" i="1"/>
  <c r="I956" i="1"/>
  <c r="J956" i="1"/>
  <c r="K956" i="1"/>
  <c r="E957" i="1"/>
  <c r="F957" i="1"/>
  <c r="G957" i="1"/>
  <c r="H957" i="1"/>
  <c r="I957" i="1"/>
  <c r="J957" i="1"/>
  <c r="K957" i="1"/>
  <c r="E958" i="1"/>
  <c r="F958" i="1"/>
  <c r="G958" i="1"/>
  <c r="H958" i="1"/>
  <c r="I958" i="1"/>
  <c r="J958" i="1"/>
  <c r="K958" i="1"/>
  <c r="E959" i="1"/>
  <c r="F959" i="1"/>
  <c r="G959" i="1"/>
  <c r="H959" i="1"/>
  <c r="I959" i="1"/>
  <c r="J959" i="1"/>
  <c r="K959" i="1"/>
  <c r="E960" i="1"/>
  <c r="F960" i="1"/>
  <c r="G960" i="1"/>
  <c r="H960" i="1"/>
  <c r="I960" i="1"/>
  <c r="J960" i="1"/>
  <c r="K960" i="1"/>
  <c r="E961" i="1"/>
  <c r="F961" i="1"/>
  <c r="G961" i="1"/>
  <c r="H961" i="1"/>
  <c r="I961" i="1"/>
  <c r="J961" i="1"/>
  <c r="K961" i="1"/>
  <c r="E962" i="1"/>
  <c r="F962" i="1"/>
  <c r="G962" i="1"/>
  <c r="H962" i="1"/>
  <c r="I962" i="1"/>
  <c r="J962" i="1"/>
  <c r="K962" i="1"/>
  <c r="E963" i="1"/>
  <c r="F963" i="1"/>
  <c r="G963" i="1"/>
  <c r="H963" i="1"/>
  <c r="I963" i="1"/>
  <c r="J963" i="1"/>
  <c r="K963" i="1"/>
  <c r="E964" i="1"/>
  <c r="F964" i="1"/>
  <c r="G964" i="1"/>
  <c r="H964" i="1"/>
  <c r="I964" i="1"/>
  <c r="J964" i="1"/>
  <c r="K964" i="1"/>
  <c r="E965" i="1"/>
  <c r="F965" i="1"/>
  <c r="G965" i="1"/>
  <c r="H965" i="1"/>
  <c r="I965" i="1"/>
  <c r="J965" i="1"/>
  <c r="K965" i="1"/>
  <c r="E966" i="1"/>
  <c r="F966" i="1"/>
  <c r="G966" i="1"/>
  <c r="H966" i="1"/>
  <c r="I966" i="1"/>
  <c r="J966" i="1"/>
  <c r="K966" i="1"/>
  <c r="E967" i="1"/>
  <c r="F967" i="1"/>
  <c r="G967" i="1"/>
  <c r="H967" i="1"/>
  <c r="I967" i="1"/>
  <c r="J967" i="1"/>
  <c r="K967" i="1"/>
  <c r="E968" i="1"/>
  <c r="F968" i="1"/>
  <c r="G968" i="1"/>
  <c r="H968" i="1"/>
  <c r="I968" i="1"/>
  <c r="J968" i="1"/>
  <c r="K968" i="1"/>
  <c r="E969" i="1"/>
  <c r="F969" i="1"/>
  <c r="G969" i="1"/>
  <c r="H969" i="1"/>
  <c r="I969" i="1"/>
  <c r="J969" i="1"/>
  <c r="K969" i="1"/>
  <c r="E970" i="1"/>
  <c r="F970" i="1"/>
  <c r="G970" i="1"/>
  <c r="H970" i="1"/>
  <c r="I970" i="1"/>
  <c r="J970" i="1"/>
  <c r="K970" i="1"/>
  <c r="E971" i="1"/>
  <c r="F971" i="1"/>
  <c r="G971" i="1"/>
  <c r="H971" i="1"/>
  <c r="I971" i="1"/>
  <c r="J971" i="1"/>
  <c r="K971" i="1"/>
  <c r="E972" i="1"/>
  <c r="F972" i="1"/>
  <c r="G972" i="1"/>
  <c r="H972" i="1"/>
  <c r="I972" i="1"/>
  <c r="J972" i="1"/>
  <c r="K972" i="1"/>
  <c r="E973" i="1"/>
  <c r="F973" i="1"/>
  <c r="G973" i="1"/>
  <c r="H973" i="1"/>
  <c r="I973" i="1"/>
  <c r="J973" i="1"/>
  <c r="K973" i="1"/>
  <c r="E974" i="1"/>
  <c r="F974" i="1"/>
  <c r="G974" i="1"/>
  <c r="H974" i="1"/>
  <c r="I974" i="1"/>
  <c r="J974" i="1"/>
  <c r="K974" i="1"/>
  <c r="E975" i="1"/>
  <c r="F975" i="1"/>
  <c r="G975" i="1"/>
  <c r="H975" i="1"/>
  <c r="I975" i="1"/>
  <c r="J975" i="1"/>
  <c r="K975" i="1"/>
  <c r="E976" i="1"/>
  <c r="F976" i="1"/>
  <c r="G976" i="1"/>
  <c r="H976" i="1"/>
  <c r="I976" i="1"/>
  <c r="J976" i="1"/>
  <c r="K976" i="1"/>
  <c r="E977" i="1"/>
  <c r="F977" i="1"/>
  <c r="G977" i="1"/>
  <c r="H977" i="1"/>
  <c r="I977" i="1"/>
  <c r="J977" i="1"/>
  <c r="K977" i="1"/>
  <c r="E978" i="1"/>
  <c r="F978" i="1"/>
  <c r="G978" i="1"/>
  <c r="H978" i="1"/>
  <c r="I978" i="1"/>
  <c r="J978" i="1"/>
  <c r="K978" i="1"/>
  <c r="E979" i="1"/>
  <c r="F979" i="1"/>
  <c r="G979" i="1"/>
  <c r="H979" i="1"/>
  <c r="I979" i="1"/>
  <c r="J979" i="1"/>
  <c r="K979" i="1"/>
  <c r="E980" i="1"/>
  <c r="F980" i="1"/>
  <c r="G980" i="1"/>
  <c r="H980" i="1"/>
  <c r="I980" i="1"/>
  <c r="J980" i="1"/>
  <c r="K980" i="1"/>
  <c r="E981" i="1"/>
  <c r="F981" i="1"/>
  <c r="G981" i="1"/>
  <c r="H981" i="1"/>
  <c r="I981" i="1"/>
  <c r="J981" i="1"/>
  <c r="K981" i="1"/>
  <c r="E982" i="1"/>
  <c r="F982" i="1"/>
  <c r="G982" i="1"/>
  <c r="H982" i="1"/>
  <c r="I982" i="1"/>
  <c r="J982" i="1"/>
  <c r="K982" i="1"/>
  <c r="E983" i="1"/>
  <c r="F983" i="1"/>
  <c r="G983" i="1"/>
  <c r="H983" i="1"/>
  <c r="I983" i="1"/>
  <c r="J983" i="1"/>
  <c r="K983" i="1"/>
  <c r="E984" i="1"/>
  <c r="F984" i="1"/>
  <c r="G984" i="1"/>
  <c r="H984" i="1"/>
  <c r="I984" i="1"/>
  <c r="J984" i="1"/>
  <c r="K984" i="1"/>
  <c r="E985" i="1"/>
  <c r="F985" i="1"/>
  <c r="G985" i="1"/>
  <c r="H985" i="1"/>
  <c r="I985" i="1"/>
  <c r="J985" i="1"/>
  <c r="K985" i="1"/>
  <c r="E986" i="1"/>
  <c r="F986" i="1"/>
  <c r="G986" i="1"/>
  <c r="H986" i="1"/>
  <c r="I986" i="1"/>
  <c r="J986" i="1"/>
  <c r="K986" i="1"/>
  <c r="E987" i="1"/>
  <c r="F987" i="1"/>
  <c r="G987" i="1"/>
  <c r="H987" i="1"/>
  <c r="I987" i="1"/>
  <c r="J987" i="1"/>
  <c r="K987" i="1"/>
  <c r="E988" i="1"/>
  <c r="F988" i="1"/>
  <c r="G988" i="1"/>
  <c r="H988" i="1"/>
  <c r="I988" i="1"/>
  <c r="J988" i="1"/>
  <c r="K988" i="1"/>
  <c r="E989" i="1"/>
  <c r="F989" i="1"/>
  <c r="G989" i="1"/>
  <c r="H989" i="1"/>
  <c r="I989" i="1"/>
  <c r="J989" i="1"/>
  <c r="K989" i="1"/>
  <c r="E990" i="1"/>
  <c r="F990" i="1"/>
  <c r="G990" i="1"/>
  <c r="H990" i="1"/>
  <c r="I990" i="1"/>
  <c r="J990" i="1"/>
  <c r="K990" i="1"/>
  <c r="E991" i="1"/>
  <c r="F991" i="1"/>
  <c r="G991" i="1"/>
  <c r="H991" i="1"/>
  <c r="I991" i="1"/>
  <c r="J991" i="1"/>
  <c r="K991" i="1"/>
  <c r="E992" i="1"/>
  <c r="F992" i="1"/>
  <c r="G992" i="1"/>
  <c r="H992" i="1"/>
  <c r="I992" i="1"/>
  <c r="J992" i="1"/>
  <c r="K992" i="1"/>
  <c r="E993" i="1"/>
  <c r="F993" i="1"/>
  <c r="G993" i="1"/>
  <c r="H993" i="1"/>
  <c r="I993" i="1"/>
  <c r="J993" i="1"/>
  <c r="K993" i="1"/>
  <c r="E994" i="1"/>
  <c r="F994" i="1"/>
  <c r="G994" i="1"/>
  <c r="H994" i="1"/>
  <c r="I994" i="1"/>
  <c r="J994" i="1"/>
  <c r="K994" i="1"/>
  <c r="E995" i="1"/>
  <c r="F995" i="1"/>
  <c r="G995" i="1"/>
  <c r="H995" i="1"/>
  <c r="I995" i="1"/>
  <c r="J995" i="1"/>
  <c r="K995" i="1"/>
  <c r="E996" i="1"/>
  <c r="F996" i="1"/>
  <c r="G996" i="1"/>
  <c r="H996" i="1"/>
  <c r="I996" i="1"/>
  <c r="J996" i="1"/>
  <c r="K996" i="1"/>
  <c r="E997" i="1"/>
  <c r="F997" i="1"/>
  <c r="G997" i="1"/>
  <c r="H997" i="1"/>
  <c r="I997" i="1"/>
  <c r="J997" i="1"/>
  <c r="K997" i="1"/>
  <c r="E998" i="1"/>
  <c r="F998" i="1"/>
  <c r="G998" i="1"/>
  <c r="H998" i="1"/>
  <c r="I998" i="1"/>
  <c r="J998" i="1"/>
  <c r="K998" i="1"/>
  <c r="E999" i="1"/>
  <c r="F999" i="1"/>
  <c r="G999" i="1"/>
  <c r="H999" i="1"/>
  <c r="I999" i="1"/>
  <c r="J999" i="1"/>
  <c r="K999" i="1"/>
  <c r="E1000" i="1"/>
  <c r="F1000" i="1"/>
  <c r="G1000" i="1"/>
  <c r="H1000" i="1"/>
  <c r="I1000" i="1"/>
  <c r="J1000" i="1"/>
  <c r="K1000" i="1"/>
  <c r="E1001" i="1"/>
  <c r="F1001" i="1"/>
  <c r="G1001" i="1"/>
  <c r="H1001" i="1"/>
  <c r="I1001" i="1"/>
  <c r="J1001" i="1"/>
  <c r="K1001" i="1"/>
  <c r="E1002" i="1"/>
  <c r="F1002" i="1"/>
  <c r="G1002" i="1"/>
  <c r="H1002" i="1"/>
  <c r="I1002" i="1"/>
  <c r="J1002" i="1"/>
  <c r="K1002" i="1"/>
  <c r="E1003" i="1"/>
  <c r="F1003" i="1"/>
  <c r="G1003" i="1"/>
  <c r="H1003" i="1"/>
  <c r="I1003" i="1"/>
  <c r="J1003" i="1"/>
  <c r="K1003" i="1"/>
  <c r="E1004" i="1"/>
  <c r="F1004" i="1"/>
  <c r="G1004" i="1"/>
  <c r="H1004" i="1"/>
  <c r="I1004" i="1"/>
  <c r="J1004" i="1"/>
  <c r="K1004" i="1"/>
  <c r="E1005" i="1"/>
  <c r="F1005" i="1"/>
  <c r="G1005" i="1"/>
  <c r="H1005" i="1"/>
  <c r="I1005" i="1"/>
  <c r="J1005" i="1"/>
  <c r="K1005" i="1"/>
  <c r="E1006" i="1"/>
  <c r="F1006" i="1"/>
  <c r="G1006" i="1"/>
  <c r="H1006" i="1"/>
  <c r="I1006" i="1"/>
  <c r="J1006" i="1"/>
  <c r="K1006" i="1"/>
  <c r="E1007" i="1"/>
  <c r="F1007" i="1"/>
  <c r="G1007" i="1"/>
  <c r="H1007" i="1"/>
  <c r="I1007" i="1"/>
  <c r="J1007" i="1"/>
  <c r="K1007" i="1"/>
  <c r="E1008" i="1"/>
  <c r="F1008" i="1"/>
  <c r="G1008" i="1"/>
  <c r="H1008" i="1"/>
  <c r="I1008" i="1"/>
  <c r="J1008" i="1"/>
  <c r="K1008" i="1"/>
  <c r="E1009" i="1"/>
  <c r="F1009" i="1"/>
  <c r="G1009" i="1"/>
  <c r="H1009" i="1"/>
  <c r="I1009" i="1"/>
  <c r="J1009" i="1"/>
  <c r="K1009" i="1"/>
  <c r="E1010" i="1"/>
  <c r="F1010" i="1"/>
  <c r="G1010" i="1"/>
  <c r="H1010" i="1"/>
  <c r="I1010" i="1"/>
  <c r="J1010" i="1"/>
  <c r="K1010" i="1"/>
  <c r="E1011" i="1"/>
  <c r="F1011" i="1"/>
  <c r="G1011" i="1"/>
  <c r="H1011" i="1"/>
  <c r="I1011" i="1"/>
  <c r="J1011" i="1"/>
  <c r="K1011" i="1"/>
  <c r="E1012" i="1"/>
  <c r="F1012" i="1"/>
  <c r="G1012" i="1"/>
  <c r="H1012" i="1"/>
  <c r="I1012" i="1"/>
  <c r="J1012" i="1"/>
  <c r="K1012" i="1"/>
  <c r="E1013" i="1"/>
  <c r="F1013" i="1"/>
  <c r="G1013" i="1"/>
  <c r="H1013" i="1"/>
  <c r="I1013" i="1"/>
  <c r="J1013" i="1"/>
  <c r="K1013" i="1"/>
  <c r="E1014" i="1"/>
  <c r="F1014" i="1"/>
  <c r="G1014" i="1"/>
  <c r="H1014" i="1"/>
  <c r="I1014" i="1"/>
  <c r="J1014" i="1"/>
  <c r="K1014" i="1"/>
  <c r="E1015" i="1"/>
  <c r="F1015" i="1"/>
  <c r="G1015" i="1"/>
  <c r="H1015" i="1"/>
  <c r="I1015" i="1"/>
  <c r="J1015" i="1"/>
  <c r="K1015" i="1"/>
  <c r="E1016" i="1"/>
  <c r="F1016" i="1"/>
  <c r="G1016" i="1"/>
  <c r="H1016" i="1"/>
  <c r="I1016" i="1"/>
  <c r="J1016" i="1"/>
  <c r="K1016" i="1"/>
  <c r="E1017" i="1"/>
  <c r="F1017" i="1"/>
  <c r="G1017" i="1"/>
  <c r="H1017" i="1"/>
  <c r="I1017" i="1"/>
  <c r="J1017" i="1"/>
  <c r="K1017" i="1"/>
  <c r="E1018" i="1"/>
  <c r="F1018" i="1"/>
  <c r="G1018" i="1"/>
  <c r="H1018" i="1"/>
  <c r="I1018" i="1"/>
  <c r="J1018" i="1"/>
  <c r="K1018" i="1"/>
  <c r="E1019" i="1"/>
  <c r="F1019" i="1"/>
  <c r="G1019" i="1"/>
  <c r="H1019" i="1"/>
  <c r="I1019" i="1"/>
  <c r="J1019" i="1"/>
  <c r="K1019" i="1"/>
  <c r="E1020" i="1"/>
  <c r="F1020" i="1"/>
  <c r="G1020" i="1"/>
  <c r="H1020" i="1"/>
  <c r="I1020" i="1"/>
  <c r="J1020" i="1"/>
  <c r="K1020" i="1"/>
  <c r="E1021" i="1"/>
  <c r="F1021" i="1"/>
  <c r="G1021" i="1"/>
  <c r="H1021" i="1"/>
  <c r="I1021" i="1"/>
  <c r="J1021" i="1"/>
  <c r="K1021" i="1"/>
  <c r="E1022" i="1"/>
  <c r="F1022" i="1"/>
  <c r="G1022" i="1"/>
  <c r="H1022" i="1"/>
  <c r="I1022" i="1"/>
  <c r="J1022" i="1"/>
  <c r="K1022" i="1"/>
  <c r="E1023" i="1"/>
  <c r="F1023" i="1"/>
  <c r="G1023" i="1"/>
  <c r="H1023" i="1"/>
  <c r="I1023" i="1"/>
  <c r="J1023" i="1"/>
  <c r="K1023" i="1"/>
  <c r="E1024" i="1"/>
  <c r="F1024" i="1"/>
  <c r="G1024" i="1"/>
  <c r="H1024" i="1"/>
  <c r="I1024" i="1"/>
  <c r="J1024" i="1"/>
  <c r="K1024" i="1"/>
  <c r="E1025" i="1"/>
  <c r="F1025" i="1"/>
  <c r="G1025" i="1"/>
  <c r="H1025" i="1"/>
  <c r="I1025" i="1"/>
  <c r="J1025" i="1"/>
  <c r="K1025" i="1"/>
  <c r="E1026" i="1"/>
  <c r="F1026" i="1"/>
  <c r="G1026" i="1"/>
  <c r="H1026" i="1"/>
  <c r="I1026" i="1"/>
  <c r="J1026" i="1"/>
  <c r="K1026" i="1"/>
  <c r="E1027" i="1"/>
  <c r="F1027" i="1"/>
  <c r="G1027" i="1"/>
  <c r="H1027" i="1"/>
  <c r="I1027" i="1"/>
  <c r="J1027" i="1"/>
  <c r="K1027" i="1"/>
  <c r="E1028" i="1"/>
  <c r="F1028" i="1"/>
  <c r="G1028" i="1"/>
  <c r="H1028" i="1"/>
  <c r="I1028" i="1"/>
  <c r="J1028" i="1"/>
  <c r="K1028" i="1"/>
  <c r="E1029" i="1"/>
  <c r="F1029" i="1"/>
  <c r="G1029" i="1"/>
  <c r="H1029" i="1"/>
  <c r="I1029" i="1"/>
  <c r="J1029" i="1"/>
  <c r="K1029" i="1"/>
  <c r="E1030" i="1"/>
  <c r="F1030" i="1"/>
  <c r="G1030" i="1"/>
  <c r="H1030" i="1"/>
  <c r="I1030" i="1"/>
  <c r="J1030" i="1"/>
  <c r="K1030" i="1"/>
  <c r="E1031" i="1"/>
  <c r="F1031" i="1"/>
  <c r="G1031" i="1"/>
  <c r="H1031" i="1"/>
  <c r="I1031" i="1"/>
  <c r="J1031" i="1"/>
  <c r="K1031" i="1"/>
  <c r="E1032" i="1"/>
  <c r="F1032" i="1"/>
  <c r="G1032" i="1"/>
  <c r="H1032" i="1"/>
  <c r="I1032" i="1"/>
  <c r="J1032" i="1"/>
  <c r="K1032" i="1"/>
  <c r="E1033" i="1"/>
  <c r="F1033" i="1"/>
  <c r="G1033" i="1"/>
  <c r="H1033" i="1"/>
  <c r="I1033" i="1"/>
  <c r="J1033" i="1"/>
  <c r="K1033" i="1"/>
  <c r="E1034" i="1"/>
  <c r="F1034" i="1"/>
  <c r="G1034" i="1"/>
  <c r="H1034" i="1"/>
  <c r="I1034" i="1"/>
  <c r="J1034" i="1"/>
  <c r="K1034" i="1"/>
  <c r="E1035" i="1"/>
  <c r="F1035" i="1"/>
  <c r="G1035" i="1"/>
  <c r="H1035" i="1"/>
  <c r="I1035" i="1"/>
  <c r="J1035" i="1"/>
  <c r="K1035" i="1"/>
  <c r="E1036" i="1"/>
  <c r="F1036" i="1"/>
  <c r="G1036" i="1"/>
  <c r="H1036" i="1"/>
  <c r="I1036" i="1"/>
  <c r="J1036" i="1"/>
  <c r="K1036" i="1"/>
  <c r="E1037" i="1"/>
  <c r="F1037" i="1"/>
  <c r="G1037" i="1"/>
  <c r="H1037" i="1"/>
  <c r="I1037" i="1"/>
  <c r="J1037" i="1"/>
  <c r="K1037" i="1"/>
  <c r="E1038" i="1"/>
  <c r="F1038" i="1"/>
  <c r="G1038" i="1"/>
  <c r="H1038" i="1"/>
  <c r="I1038" i="1"/>
  <c r="J1038" i="1"/>
  <c r="K1038" i="1"/>
  <c r="E1039" i="1"/>
  <c r="F1039" i="1"/>
  <c r="G1039" i="1"/>
  <c r="H1039" i="1"/>
  <c r="I1039" i="1"/>
  <c r="J1039" i="1"/>
  <c r="K1039" i="1"/>
  <c r="E1040" i="1"/>
  <c r="F1040" i="1"/>
  <c r="G1040" i="1"/>
  <c r="H1040" i="1"/>
  <c r="I1040" i="1"/>
  <c r="J1040" i="1"/>
  <c r="K1040" i="1"/>
  <c r="E1041" i="1"/>
  <c r="F1041" i="1"/>
  <c r="G1041" i="1"/>
  <c r="H1041" i="1"/>
  <c r="I1041" i="1"/>
  <c r="J1041" i="1"/>
  <c r="K1041" i="1"/>
  <c r="E1042" i="1"/>
  <c r="F1042" i="1"/>
  <c r="G1042" i="1"/>
  <c r="H1042" i="1"/>
  <c r="I1042" i="1"/>
  <c r="J1042" i="1"/>
  <c r="K1042" i="1"/>
  <c r="E1043" i="1"/>
  <c r="F1043" i="1"/>
  <c r="G1043" i="1"/>
  <c r="H1043" i="1"/>
  <c r="I1043" i="1"/>
  <c r="J1043" i="1"/>
  <c r="K1043" i="1"/>
  <c r="E1044" i="1"/>
  <c r="F1044" i="1"/>
  <c r="G1044" i="1"/>
  <c r="H1044" i="1"/>
  <c r="I1044" i="1"/>
  <c r="J1044" i="1"/>
  <c r="K1044" i="1"/>
  <c r="E1045" i="1"/>
  <c r="F1045" i="1"/>
  <c r="G1045" i="1"/>
  <c r="H1045" i="1"/>
  <c r="I1045" i="1"/>
  <c r="J1045" i="1"/>
  <c r="K1045" i="1"/>
  <c r="E1046" i="1"/>
  <c r="F1046" i="1"/>
  <c r="G1046" i="1"/>
  <c r="H1046" i="1"/>
  <c r="I1046" i="1"/>
  <c r="J1046" i="1"/>
  <c r="K1046" i="1"/>
  <c r="E1047" i="1"/>
  <c r="F1047" i="1"/>
  <c r="G1047" i="1"/>
  <c r="H1047" i="1"/>
  <c r="I1047" i="1"/>
  <c r="J1047" i="1"/>
  <c r="K1047" i="1"/>
  <c r="E1048" i="1"/>
  <c r="F1048" i="1"/>
  <c r="G1048" i="1"/>
  <c r="H1048" i="1"/>
  <c r="I1048" i="1"/>
  <c r="J1048" i="1"/>
  <c r="K1048" i="1"/>
  <c r="E1049" i="1"/>
  <c r="F1049" i="1"/>
  <c r="G1049" i="1"/>
  <c r="H1049" i="1"/>
  <c r="I1049" i="1"/>
  <c r="J1049" i="1"/>
  <c r="K1049" i="1"/>
  <c r="E1050" i="1"/>
  <c r="F1050" i="1"/>
  <c r="G1050" i="1"/>
  <c r="H1050" i="1"/>
  <c r="I1050" i="1"/>
  <c r="J1050" i="1"/>
  <c r="K1050" i="1"/>
  <c r="E1051" i="1"/>
  <c r="F1051" i="1"/>
  <c r="G1051" i="1"/>
  <c r="H1051" i="1"/>
  <c r="I1051" i="1"/>
  <c r="J1051" i="1"/>
  <c r="K1051" i="1"/>
  <c r="E1052" i="1"/>
  <c r="F1052" i="1"/>
  <c r="G1052" i="1"/>
  <c r="H1052" i="1"/>
  <c r="I1052" i="1"/>
  <c r="J1052" i="1"/>
  <c r="K1052" i="1"/>
  <c r="E1053" i="1"/>
  <c r="F1053" i="1"/>
  <c r="G1053" i="1"/>
  <c r="H1053" i="1"/>
  <c r="I1053" i="1"/>
  <c r="J1053" i="1"/>
  <c r="K1053" i="1"/>
  <c r="E1054" i="1"/>
  <c r="F1054" i="1"/>
  <c r="G1054" i="1"/>
  <c r="H1054" i="1"/>
  <c r="I1054" i="1"/>
  <c r="J1054" i="1"/>
  <c r="K1054" i="1"/>
  <c r="E1055" i="1"/>
  <c r="F1055" i="1"/>
  <c r="G1055" i="1"/>
  <c r="H1055" i="1"/>
  <c r="I1055" i="1"/>
  <c r="J1055" i="1"/>
  <c r="K1055" i="1"/>
  <c r="E1056" i="1"/>
  <c r="F1056" i="1"/>
  <c r="G1056" i="1"/>
  <c r="H1056" i="1"/>
  <c r="I1056" i="1"/>
  <c r="J1056" i="1"/>
  <c r="K1056" i="1"/>
  <c r="E1057" i="1"/>
  <c r="F1057" i="1"/>
  <c r="G1057" i="1"/>
  <c r="H1057" i="1"/>
  <c r="I1057" i="1"/>
  <c r="J1057" i="1"/>
  <c r="K1057" i="1"/>
  <c r="E1058" i="1"/>
  <c r="F1058" i="1"/>
  <c r="G1058" i="1"/>
  <c r="H1058" i="1"/>
  <c r="I1058" i="1"/>
  <c r="J1058" i="1"/>
  <c r="K1058" i="1"/>
  <c r="E1059" i="1"/>
  <c r="F1059" i="1"/>
  <c r="G1059" i="1"/>
  <c r="H1059" i="1"/>
  <c r="I1059" i="1"/>
  <c r="J1059" i="1"/>
  <c r="K1059" i="1"/>
  <c r="E1060" i="1"/>
  <c r="F1060" i="1"/>
  <c r="G1060" i="1"/>
  <c r="H1060" i="1"/>
  <c r="I1060" i="1"/>
  <c r="J1060" i="1"/>
  <c r="K1060" i="1"/>
  <c r="E1061" i="1"/>
  <c r="F1061" i="1"/>
  <c r="G1061" i="1"/>
  <c r="H1061" i="1"/>
  <c r="I1061" i="1"/>
  <c r="J1061" i="1"/>
  <c r="K1061" i="1"/>
  <c r="E1062" i="1"/>
  <c r="F1062" i="1"/>
  <c r="G1062" i="1"/>
  <c r="H1062" i="1"/>
  <c r="I1062" i="1"/>
  <c r="J1062" i="1"/>
  <c r="K1062" i="1"/>
  <c r="E1063" i="1"/>
  <c r="F1063" i="1"/>
  <c r="G1063" i="1"/>
  <c r="H1063" i="1"/>
  <c r="I1063" i="1"/>
  <c r="J1063" i="1"/>
  <c r="K1063" i="1"/>
  <c r="E1064" i="1"/>
  <c r="F1064" i="1"/>
  <c r="G1064" i="1"/>
  <c r="H1064" i="1"/>
  <c r="I1064" i="1"/>
  <c r="J1064" i="1"/>
  <c r="K1064" i="1"/>
  <c r="E1065" i="1"/>
  <c r="F1065" i="1"/>
  <c r="G1065" i="1"/>
  <c r="H1065" i="1"/>
  <c r="I1065" i="1"/>
  <c r="J1065" i="1"/>
  <c r="K1065" i="1"/>
  <c r="E1066" i="1"/>
  <c r="F1066" i="1"/>
  <c r="G1066" i="1"/>
  <c r="H1066" i="1"/>
  <c r="I1066" i="1"/>
  <c r="J1066" i="1"/>
  <c r="K1066" i="1"/>
  <c r="E1067" i="1"/>
  <c r="F1067" i="1"/>
  <c r="G1067" i="1"/>
  <c r="H1067" i="1"/>
  <c r="I1067" i="1"/>
  <c r="J1067" i="1"/>
  <c r="K1067" i="1"/>
  <c r="E1068" i="1"/>
  <c r="F1068" i="1"/>
  <c r="G1068" i="1"/>
  <c r="H1068" i="1"/>
  <c r="I1068" i="1"/>
  <c r="J1068" i="1"/>
  <c r="K1068" i="1"/>
  <c r="E1069" i="1"/>
  <c r="F1069" i="1"/>
  <c r="G1069" i="1"/>
  <c r="H1069" i="1"/>
  <c r="I1069" i="1"/>
  <c r="J1069" i="1"/>
  <c r="K1069" i="1"/>
  <c r="E1070" i="1"/>
  <c r="F1070" i="1"/>
  <c r="G1070" i="1"/>
  <c r="H1070" i="1"/>
  <c r="I1070" i="1"/>
  <c r="J1070" i="1"/>
  <c r="K1070" i="1"/>
  <c r="E1071" i="1"/>
  <c r="F1071" i="1"/>
  <c r="G1071" i="1"/>
  <c r="H1071" i="1"/>
  <c r="I1071" i="1"/>
  <c r="J1071" i="1"/>
  <c r="K1071" i="1"/>
  <c r="E1072" i="1"/>
  <c r="F1072" i="1"/>
  <c r="G1072" i="1"/>
  <c r="H1072" i="1"/>
  <c r="I1072" i="1"/>
  <c r="J1072" i="1"/>
  <c r="K1072" i="1"/>
  <c r="E1073" i="1"/>
  <c r="F1073" i="1"/>
  <c r="G1073" i="1"/>
  <c r="H1073" i="1"/>
  <c r="I1073" i="1"/>
  <c r="J1073" i="1"/>
  <c r="K1073" i="1"/>
  <c r="E1074" i="1"/>
  <c r="F1074" i="1"/>
  <c r="G1074" i="1"/>
  <c r="H1074" i="1"/>
  <c r="I1074" i="1"/>
  <c r="J1074" i="1"/>
  <c r="K1074" i="1"/>
  <c r="E1075" i="1"/>
  <c r="F1075" i="1"/>
  <c r="G1075" i="1"/>
  <c r="H1075" i="1"/>
  <c r="I1075" i="1"/>
  <c r="J1075" i="1"/>
  <c r="K1075" i="1"/>
  <c r="E1076" i="1"/>
  <c r="F1076" i="1"/>
  <c r="G1076" i="1"/>
  <c r="H1076" i="1"/>
  <c r="I1076" i="1"/>
  <c r="J1076" i="1"/>
  <c r="K1076" i="1"/>
  <c r="E1077" i="1"/>
  <c r="F1077" i="1"/>
  <c r="G1077" i="1"/>
  <c r="H1077" i="1"/>
  <c r="I1077" i="1"/>
  <c r="J1077" i="1"/>
  <c r="K1077" i="1"/>
  <c r="E1078" i="1"/>
  <c r="F1078" i="1"/>
  <c r="G1078" i="1"/>
  <c r="H1078" i="1"/>
  <c r="I1078" i="1"/>
  <c r="J1078" i="1"/>
  <c r="K1078" i="1"/>
  <c r="E1079" i="1"/>
  <c r="F1079" i="1"/>
  <c r="G1079" i="1"/>
  <c r="H1079" i="1"/>
  <c r="I1079" i="1"/>
  <c r="J1079" i="1"/>
  <c r="K1079" i="1"/>
  <c r="E1080" i="1"/>
  <c r="F1080" i="1"/>
  <c r="G1080" i="1"/>
  <c r="H1080" i="1"/>
  <c r="I1080" i="1"/>
  <c r="J1080" i="1"/>
  <c r="K1080" i="1"/>
  <c r="E1081" i="1"/>
  <c r="F1081" i="1"/>
  <c r="G1081" i="1"/>
  <c r="H1081" i="1"/>
  <c r="I1081" i="1"/>
  <c r="J1081" i="1"/>
  <c r="K1081" i="1"/>
  <c r="E1082" i="1"/>
  <c r="F1082" i="1"/>
  <c r="G1082" i="1"/>
  <c r="H1082" i="1"/>
  <c r="I1082" i="1"/>
  <c r="J1082" i="1"/>
  <c r="K1082" i="1"/>
  <c r="E1083" i="1"/>
  <c r="F1083" i="1"/>
  <c r="G1083" i="1"/>
  <c r="H1083" i="1"/>
  <c r="I1083" i="1"/>
  <c r="J1083" i="1"/>
  <c r="K1083" i="1"/>
  <c r="E1084" i="1"/>
  <c r="F1084" i="1"/>
  <c r="G1084" i="1"/>
  <c r="H1084" i="1"/>
  <c r="I1084" i="1"/>
  <c r="J1084" i="1"/>
  <c r="K1084" i="1"/>
  <c r="E1085" i="1"/>
  <c r="F1085" i="1"/>
  <c r="G1085" i="1"/>
  <c r="H1085" i="1"/>
  <c r="I1085" i="1"/>
  <c r="J1085" i="1"/>
  <c r="K1085" i="1"/>
  <c r="E1086" i="1"/>
  <c r="F1086" i="1"/>
  <c r="G1086" i="1"/>
  <c r="H1086" i="1"/>
  <c r="I1086" i="1"/>
  <c r="J1086" i="1"/>
  <c r="K1086" i="1"/>
  <c r="E1087" i="1"/>
  <c r="F1087" i="1"/>
  <c r="G1087" i="1"/>
  <c r="H1087" i="1"/>
  <c r="I1087" i="1"/>
  <c r="J1087" i="1"/>
  <c r="K1087" i="1"/>
  <c r="E1088" i="1"/>
  <c r="F1088" i="1"/>
  <c r="G1088" i="1"/>
  <c r="H1088" i="1"/>
  <c r="I1088" i="1"/>
  <c r="J1088" i="1"/>
  <c r="K1088" i="1"/>
  <c r="E1089" i="1"/>
  <c r="F1089" i="1"/>
  <c r="G1089" i="1"/>
  <c r="H1089" i="1"/>
  <c r="I1089" i="1"/>
  <c r="J1089" i="1"/>
  <c r="K1089" i="1"/>
  <c r="E1090" i="1"/>
  <c r="F1090" i="1"/>
  <c r="G1090" i="1"/>
  <c r="H1090" i="1"/>
  <c r="I1090" i="1"/>
  <c r="J1090" i="1"/>
  <c r="K1090" i="1"/>
  <c r="E1091" i="1"/>
  <c r="F1091" i="1"/>
  <c r="G1091" i="1"/>
  <c r="H1091" i="1"/>
  <c r="I1091" i="1"/>
  <c r="J1091" i="1"/>
  <c r="K1091" i="1"/>
  <c r="E1092" i="1"/>
  <c r="F1092" i="1"/>
  <c r="G1092" i="1"/>
  <c r="H1092" i="1"/>
  <c r="I1092" i="1"/>
  <c r="J1092" i="1"/>
  <c r="K1092" i="1"/>
  <c r="E1093" i="1"/>
  <c r="F1093" i="1"/>
  <c r="G1093" i="1"/>
  <c r="H1093" i="1"/>
  <c r="I1093" i="1"/>
  <c r="J1093" i="1"/>
  <c r="K1093" i="1"/>
  <c r="E1094" i="1"/>
  <c r="F1094" i="1"/>
  <c r="G1094" i="1"/>
  <c r="H1094" i="1"/>
  <c r="I1094" i="1"/>
  <c r="J1094" i="1"/>
  <c r="K1094" i="1"/>
  <c r="E1095" i="1"/>
  <c r="F1095" i="1"/>
  <c r="G1095" i="1"/>
  <c r="H1095" i="1"/>
  <c r="I1095" i="1"/>
  <c r="J1095" i="1"/>
  <c r="K1095" i="1"/>
  <c r="E1096" i="1"/>
  <c r="F1096" i="1"/>
  <c r="G1096" i="1"/>
  <c r="H1096" i="1"/>
  <c r="I1096" i="1"/>
  <c r="J1096" i="1"/>
  <c r="K1096" i="1"/>
  <c r="E1097" i="1"/>
  <c r="F1097" i="1"/>
  <c r="G1097" i="1"/>
  <c r="H1097" i="1"/>
  <c r="I1097" i="1"/>
  <c r="J1097" i="1"/>
  <c r="K1097" i="1"/>
  <c r="E1098" i="1"/>
  <c r="F1098" i="1"/>
  <c r="G1098" i="1"/>
  <c r="H1098" i="1"/>
  <c r="I1098" i="1"/>
  <c r="J1098" i="1"/>
  <c r="K1098" i="1"/>
  <c r="E1099" i="1"/>
  <c r="F1099" i="1"/>
  <c r="G1099" i="1"/>
  <c r="H1099" i="1"/>
  <c r="I1099" i="1"/>
  <c r="J1099" i="1"/>
  <c r="K1099" i="1"/>
  <c r="E1100" i="1"/>
  <c r="F1100" i="1"/>
  <c r="G1100" i="1"/>
  <c r="H1100" i="1"/>
  <c r="I1100" i="1"/>
  <c r="J1100" i="1"/>
  <c r="K1100" i="1"/>
  <c r="E1101" i="1"/>
  <c r="F1101" i="1"/>
  <c r="G1101" i="1"/>
  <c r="H1101" i="1"/>
  <c r="I1101" i="1"/>
  <c r="J1101" i="1"/>
  <c r="K1101" i="1"/>
  <c r="E1102" i="1"/>
  <c r="F1102" i="1"/>
  <c r="G1102" i="1"/>
  <c r="H1102" i="1"/>
  <c r="I1102" i="1"/>
  <c r="J1102" i="1"/>
  <c r="K1102" i="1"/>
  <c r="E1103" i="1"/>
  <c r="F1103" i="1"/>
  <c r="G1103" i="1"/>
  <c r="H1103" i="1"/>
  <c r="I1103" i="1"/>
  <c r="J1103" i="1"/>
  <c r="K1103" i="1"/>
  <c r="E1104" i="1"/>
  <c r="F1104" i="1"/>
  <c r="G1104" i="1"/>
  <c r="H1104" i="1"/>
  <c r="I1104" i="1"/>
  <c r="J1104" i="1"/>
  <c r="K1104" i="1"/>
  <c r="E1105" i="1"/>
  <c r="F1105" i="1"/>
  <c r="G1105" i="1"/>
  <c r="H1105" i="1"/>
  <c r="I1105" i="1"/>
  <c r="J1105" i="1"/>
  <c r="K1105" i="1"/>
  <c r="E1106" i="1"/>
  <c r="F1106" i="1"/>
  <c r="G1106" i="1"/>
  <c r="H1106" i="1"/>
  <c r="I1106" i="1"/>
  <c r="J1106" i="1"/>
  <c r="K1106" i="1"/>
  <c r="E1107" i="1"/>
  <c r="F1107" i="1"/>
  <c r="G1107" i="1"/>
  <c r="H1107" i="1"/>
  <c r="I1107" i="1"/>
  <c r="J1107" i="1"/>
  <c r="K1107" i="1"/>
  <c r="E1108" i="1"/>
  <c r="F1108" i="1"/>
  <c r="G1108" i="1"/>
  <c r="H1108" i="1"/>
  <c r="I1108" i="1"/>
  <c r="J1108" i="1"/>
  <c r="K1108" i="1"/>
  <c r="E1109" i="1"/>
  <c r="F1109" i="1"/>
  <c r="G1109" i="1"/>
  <c r="H1109" i="1"/>
  <c r="I1109" i="1"/>
  <c r="J1109" i="1"/>
  <c r="K1109" i="1"/>
  <c r="E1110" i="1"/>
  <c r="F1110" i="1"/>
  <c r="G1110" i="1"/>
  <c r="H1110" i="1"/>
  <c r="I1110" i="1"/>
  <c r="J1110" i="1"/>
  <c r="K1110" i="1"/>
  <c r="E1111" i="1"/>
  <c r="F1111" i="1"/>
  <c r="G1111" i="1"/>
  <c r="H1111" i="1"/>
  <c r="I1111" i="1"/>
  <c r="J1111" i="1"/>
  <c r="K1111" i="1"/>
  <c r="E1112" i="1"/>
  <c r="F1112" i="1"/>
  <c r="G1112" i="1"/>
  <c r="H1112" i="1"/>
  <c r="I1112" i="1"/>
  <c r="J1112" i="1"/>
  <c r="K1112" i="1"/>
  <c r="E1113" i="1"/>
  <c r="F1113" i="1"/>
  <c r="G1113" i="1"/>
  <c r="H1113" i="1"/>
  <c r="I1113" i="1"/>
  <c r="J1113" i="1"/>
  <c r="K1113" i="1"/>
  <c r="E1114" i="1"/>
  <c r="F1114" i="1"/>
  <c r="G1114" i="1"/>
  <c r="H1114" i="1"/>
  <c r="I1114" i="1"/>
  <c r="J1114" i="1"/>
  <c r="K1114" i="1"/>
  <c r="E1115" i="1"/>
  <c r="F1115" i="1"/>
  <c r="G1115" i="1"/>
  <c r="H1115" i="1"/>
  <c r="I1115" i="1"/>
  <c r="J1115" i="1"/>
  <c r="K1115" i="1"/>
  <c r="E1116" i="1"/>
  <c r="F1116" i="1"/>
  <c r="G1116" i="1"/>
  <c r="H1116" i="1"/>
  <c r="I1116" i="1"/>
  <c r="J1116" i="1"/>
  <c r="K1116" i="1"/>
  <c r="E1117" i="1"/>
  <c r="F1117" i="1"/>
  <c r="G1117" i="1"/>
  <c r="H1117" i="1"/>
  <c r="I1117" i="1"/>
  <c r="J1117" i="1"/>
  <c r="K1117" i="1"/>
  <c r="E1118" i="1"/>
  <c r="F1118" i="1"/>
  <c r="G1118" i="1"/>
  <c r="H1118" i="1"/>
  <c r="I1118" i="1"/>
  <c r="J1118" i="1"/>
  <c r="K1118" i="1"/>
  <c r="E1119" i="1"/>
  <c r="F1119" i="1"/>
  <c r="G1119" i="1"/>
  <c r="H1119" i="1"/>
  <c r="I1119" i="1"/>
  <c r="J1119" i="1"/>
  <c r="K1119" i="1"/>
  <c r="E1120" i="1"/>
  <c r="F1120" i="1"/>
  <c r="G1120" i="1"/>
  <c r="H1120" i="1"/>
  <c r="I1120" i="1"/>
  <c r="J1120" i="1"/>
  <c r="K1120" i="1"/>
  <c r="E1121" i="1"/>
  <c r="F1121" i="1"/>
  <c r="G1121" i="1"/>
  <c r="H1121" i="1"/>
  <c r="I1121" i="1"/>
  <c r="J1121" i="1"/>
  <c r="K1121" i="1"/>
  <c r="E1122" i="1"/>
  <c r="F1122" i="1"/>
  <c r="G1122" i="1"/>
  <c r="H1122" i="1"/>
  <c r="I1122" i="1"/>
  <c r="J1122" i="1"/>
  <c r="K1122" i="1"/>
  <c r="E1123" i="1"/>
  <c r="F1123" i="1"/>
  <c r="G1123" i="1"/>
  <c r="H1123" i="1"/>
  <c r="I1123" i="1"/>
  <c r="J1123" i="1"/>
  <c r="K1123" i="1"/>
  <c r="E1124" i="1"/>
  <c r="F1124" i="1"/>
  <c r="G1124" i="1"/>
  <c r="H1124" i="1"/>
  <c r="I1124" i="1"/>
  <c r="J1124" i="1"/>
  <c r="K1124" i="1"/>
  <c r="E1125" i="1"/>
  <c r="F1125" i="1"/>
  <c r="G1125" i="1"/>
  <c r="H1125" i="1"/>
  <c r="I1125" i="1"/>
  <c r="J1125" i="1"/>
  <c r="K1125" i="1"/>
  <c r="E1126" i="1"/>
  <c r="F1126" i="1"/>
  <c r="G1126" i="1"/>
  <c r="H1126" i="1"/>
  <c r="I1126" i="1"/>
  <c r="J1126" i="1"/>
  <c r="K1126" i="1"/>
  <c r="E1127" i="1"/>
  <c r="F1127" i="1"/>
  <c r="G1127" i="1"/>
  <c r="H1127" i="1"/>
  <c r="I1127" i="1"/>
  <c r="J1127" i="1"/>
  <c r="K1127" i="1"/>
  <c r="E1128" i="1"/>
  <c r="F1128" i="1"/>
  <c r="G1128" i="1"/>
  <c r="H1128" i="1"/>
  <c r="I1128" i="1"/>
  <c r="J1128" i="1"/>
  <c r="K1128" i="1"/>
  <c r="E1129" i="1"/>
  <c r="F1129" i="1"/>
  <c r="G1129" i="1"/>
  <c r="H1129" i="1"/>
  <c r="I1129" i="1"/>
  <c r="J1129" i="1"/>
  <c r="K1129" i="1"/>
  <c r="E1130" i="1"/>
  <c r="F1130" i="1"/>
  <c r="G1130" i="1"/>
  <c r="H1130" i="1"/>
  <c r="I1130" i="1"/>
  <c r="J1130" i="1"/>
  <c r="K1130" i="1"/>
  <c r="E1131" i="1"/>
  <c r="F1131" i="1"/>
  <c r="G1131" i="1"/>
  <c r="H1131" i="1"/>
  <c r="I1131" i="1"/>
  <c r="J1131" i="1"/>
  <c r="K1131" i="1"/>
  <c r="E1132" i="1"/>
  <c r="F1132" i="1"/>
  <c r="G1132" i="1"/>
  <c r="H1132" i="1"/>
  <c r="I1132" i="1"/>
  <c r="J1132" i="1"/>
  <c r="K1132" i="1"/>
  <c r="E1133" i="1"/>
  <c r="F1133" i="1"/>
  <c r="G1133" i="1"/>
  <c r="H1133" i="1"/>
  <c r="I1133" i="1"/>
  <c r="J1133" i="1"/>
  <c r="K1133" i="1"/>
  <c r="E1134" i="1"/>
  <c r="F1134" i="1"/>
  <c r="G1134" i="1"/>
  <c r="H1134" i="1"/>
  <c r="I1134" i="1"/>
  <c r="J1134" i="1"/>
  <c r="K1134" i="1"/>
  <c r="E1135" i="1"/>
  <c r="F1135" i="1"/>
  <c r="G1135" i="1"/>
  <c r="H1135" i="1"/>
  <c r="I1135" i="1"/>
  <c r="J1135" i="1"/>
  <c r="K1135" i="1"/>
  <c r="E1136" i="1"/>
  <c r="F1136" i="1"/>
  <c r="G1136" i="1"/>
  <c r="H1136" i="1"/>
  <c r="I1136" i="1"/>
  <c r="J1136" i="1"/>
  <c r="K1136" i="1"/>
  <c r="E1137" i="1"/>
  <c r="F1137" i="1"/>
  <c r="G1137" i="1"/>
  <c r="H1137" i="1"/>
  <c r="I1137" i="1"/>
  <c r="J1137" i="1"/>
  <c r="K1137" i="1"/>
  <c r="E1138" i="1"/>
  <c r="F1138" i="1"/>
  <c r="G1138" i="1"/>
  <c r="H1138" i="1"/>
  <c r="I1138" i="1"/>
  <c r="J1138" i="1"/>
  <c r="K1138" i="1"/>
  <c r="E1139" i="1"/>
  <c r="F1139" i="1"/>
  <c r="G1139" i="1"/>
  <c r="H1139" i="1"/>
  <c r="I1139" i="1"/>
  <c r="J1139" i="1"/>
  <c r="K1139" i="1"/>
  <c r="E1140" i="1"/>
  <c r="F1140" i="1"/>
  <c r="G1140" i="1"/>
  <c r="H1140" i="1"/>
  <c r="I1140" i="1"/>
  <c r="J1140" i="1"/>
  <c r="K1140" i="1"/>
  <c r="E1141" i="1"/>
  <c r="F1141" i="1"/>
  <c r="G1141" i="1"/>
  <c r="H1141" i="1"/>
  <c r="I1141" i="1"/>
  <c r="J1141" i="1"/>
  <c r="K1141" i="1"/>
  <c r="E1142" i="1"/>
  <c r="F1142" i="1"/>
  <c r="G1142" i="1"/>
  <c r="H1142" i="1"/>
  <c r="I1142" i="1"/>
  <c r="J1142" i="1"/>
  <c r="K1142" i="1"/>
  <c r="E1143" i="1"/>
  <c r="F1143" i="1"/>
  <c r="G1143" i="1"/>
  <c r="H1143" i="1"/>
  <c r="I1143" i="1"/>
  <c r="J1143" i="1"/>
  <c r="K1143" i="1"/>
  <c r="E1144" i="1"/>
  <c r="F1144" i="1"/>
  <c r="G1144" i="1"/>
  <c r="H1144" i="1"/>
  <c r="I1144" i="1"/>
  <c r="J1144" i="1"/>
  <c r="K1144" i="1"/>
  <c r="E1145" i="1"/>
  <c r="F1145" i="1"/>
  <c r="G1145" i="1"/>
  <c r="H1145" i="1"/>
  <c r="I1145" i="1"/>
  <c r="J1145" i="1"/>
  <c r="K1145" i="1"/>
  <c r="E1146" i="1"/>
  <c r="F1146" i="1"/>
  <c r="G1146" i="1"/>
  <c r="H1146" i="1"/>
  <c r="I1146" i="1"/>
  <c r="J1146" i="1"/>
  <c r="K1146" i="1"/>
  <c r="E1147" i="1"/>
  <c r="F1147" i="1"/>
  <c r="G1147" i="1"/>
  <c r="H1147" i="1"/>
  <c r="I1147" i="1"/>
  <c r="J1147" i="1"/>
  <c r="K1147" i="1"/>
  <c r="E1148" i="1"/>
  <c r="F1148" i="1"/>
  <c r="G1148" i="1"/>
  <c r="H1148" i="1"/>
  <c r="I1148" i="1"/>
  <c r="J1148" i="1"/>
  <c r="K1148" i="1"/>
  <c r="E1149" i="1"/>
  <c r="F1149" i="1"/>
  <c r="G1149" i="1"/>
  <c r="H1149" i="1"/>
  <c r="I1149" i="1"/>
  <c r="J1149" i="1"/>
  <c r="K1149" i="1"/>
  <c r="E1150" i="1"/>
  <c r="F1150" i="1"/>
  <c r="G1150" i="1"/>
  <c r="H1150" i="1"/>
  <c r="I1150" i="1"/>
  <c r="J1150" i="1"/>
  <c r="K1150" i="1"/>
  <c r="E1151" i="1"/>
  <c r="F1151" i="1"/>
  <c r="G1151" i="1"/>
  <c r="H1151" i="1"/>
  <c r="I1151" i="1"/>
  <c r="J1151" i="1"/>
  <c r="K1151" i="1"/>
  <c r="E1152" i="1"/>
  <c r="F1152" i="1"/>
  <c r="G1152" i="1"/>
  <c r="H1152" i="1"/>
  <c r="I1152" i="1"/>
  <c r="J1152" i="1"/>
  <c r="K1152" i="1"/>
  <c r="E1153" i="1"/>
  <c r="F1153" i="1"/>
  <c r="G1153" i="1"/>
  <c r="H1153" i="1"/>
  <c r="I1153" i="1"/>
  <c r="J1153" i="1"/>
  <c r="K1153" i="1"/>
  <c r="E1154" i="1"/>
  <c r="F1154" i="1"/>
  <c r="G1154" i="1"/>
  <c r="H1154" i="1"/>
  <c r="I1154" i="1"/>
  <c r="J1154" i="1"/>
  <c r="K1154" i="1"/>
  <c r="E1155" i="1"/>
  <c r="F1155" i="1"/>
  <c r="G1155" i="1"/>
  <c r="H1155" i="1"/>
  <c r="I1155" i="1"/>
  <c r="J1155" i="1"/>
  <c r="K1155" i="1"/>
  <c r="E1156" i="1"/>
  <c r="F1156" i="1"/>
  <c r="G1156" i="1"/>
  <c r="H1156" i="1"/>
  <c r="I1156" i="1"/>
  <c r="J1156" i="1"/>
  <c r="K1156" i="1"/>
  <c r="E1157" i="1"/>
  <c r="F1157" i="1"/>
  <c r="G1157" i="1"/>
  <c r="H1157" i="1"/>
  <c r="I1157" i="1"/>
  <c r="J1157" i="1"/>
  <c r="K1157" i="1"/>
  <c r="E1158" i="1"/>
  <c r="F1158" i="1"/>
  <c r="G1158" i="1"/>
  <c r="H1158" i="1"/>
  <c r="I1158" i="1"/>
  <c r="J1158" i="1"/>
  <c r="K1158" i="1"/>
  <c r="E1159" i="1"/>
  <c r="F1159" i="1"/>
  <c r="G1159" i="1"/>
  <c r="H1159" i="1"/>
  <c r="I1159" i="1"/>
  <c r="J1159" i="1"/>
  <c r="K1159" i="1"/>
  <c r="E1160" i="1"/>
  <c r="F1160" i="1"/>
  <c r="G1160" i="1"/>
  <c r="H1160" i="1"/>
  <c r="I1160" i="1"/>
  <c r="J1160" i="1"/>
  <c r="K1160" i="1"/>
  <c r="E1161" i="1"/>
  <c r="F1161" i="1"/>
  <c r="G1161" i="1"/>
  <c r="H1161" i="1"/>
  <c r="I1161" i="1"/>
  <c r="J1161" i="1"/>
  <c r="K1161" i="1"/>
  <c r="E1162" i="1"/>
  <c r="F1162" i="1"/>
  <c r="G1162" i="1"/>
  <c r="H1162" i="1"/>
  <c r="I1162" i="1"/>
  <c r="J1162" i="1"/>
  <c r="K1162" i="1"/>
  <c r="E1163" i="1"/>
  <c r="F1163" i="1"/>
  <c r="G1163" i="1"/>
  <c r="H1163" i="1"/>
  <c r="I1163" i="1"/>
  <c r="J1163" i="1"/>
  <c r="K1163" i="1"/>
  <c r="E1164" i="1"/>
  <c r="F1164" i="1"/>
  <c r="G1164" i="1"/>
  <c r="H1164" i="1"/>
  <c r="I1164" i="1"/>
  <c r="J1164" i="1"/>
  <c r="K1164" i="1"/>
  <c r="E1165" i="1"/>
  <c r="F1165" i="1"/>
  <c r="G1165" i="1"/>
  <c r="H1165" i="1"/>
  <c r="I1165" i="1"/>
  <c r="J1165" i="1"/>
  <c r="K1165" i="1"/>
  <c r="E1166" i="1"/>
  <c r="F1166" i="1"/>
  <c r="G1166" i="1"/>
  <c r="H1166" i="1"/>
  <c r="I1166" i="1"/>
  <c r="J1166" i="1"/>
  <c r="K1166" i="1"/>
  <c r="E1167" i="1"/>
  <c r="F1167" i="1"/>
  <c r="G1167" i="1"/>
  <c r="H1167" i="1"/>
  <c r="I1167" i="1"/>
  <c r="J1167" i="1"/>
  <c r="K1167" i="1"/>
  <c r="E1168" i="1"/>
  <c r="F1168" i="1"/>
  <c r="G1168" i="1"/>
  <c r="H1168" i="1"/>
  <c r="I1168" i="1"/>
  <c r="J1168" i="1"/>
  <c r="K1168" i="1"/>
  <c r="E1169" i="1"/>
  <c r="F1169" i="1"/>
  <c r="G1169" i="1"/>
  <c r="H1169" i="1"/>
  <c r="I1169" i="1"/>
  <c r="J1169" i="1"/>
  <c r="K1169" i="1"/>
  <c r="E1170" i="1"/>
  <c r="F1170" i="1"/>
  <c r="G1170" i="1"/>
  <c r="H1170" i="1"/>
  <c r="I1170" i="1"/>
  <c r="J1170" i="1"/>
  <c r="K1170" i="1"/>
  <c r="E1171" i="1"/>
  <c r="F1171" i="1"/>
  <c r="G1171" i="1"/>
  <c r="H1171" i="1"/>
  <c r="I1171" i="1"/>
  <c r="J1171" i="1"/>
  <c r="K1171" i="1"/>
  <c r="E1172" i="1"/>
  <c r="F1172" i="1"/>
  <c r="G1172" i="1"/>
  <c r="H1172" i="1"/>
  <c r="I1172" i="1"/>
  <c r="J1172" i="1"/>
  <c r="K1172" i="1"/>
  <c r="E1173" i="1"/>
  <c r="F1173" i="1"/>
  <c r="G1173" i="1"/>
  <c r="H1173" i="1"/>
  <c r="I1173" i="1"/>
  <c r="J1173" i="1"/>
  <c r="K1173" i="1"/>
  <c r="E1174" i="1"/>
  <c r="F1174" i="1"/>
  <c r="G1174" i="1"/>
  <c r="H1174" i="1"/>
  <c r="I1174" i="1"/>
  <c r="J1174" i="1"/>
  <c r="K1174" i="1"/>
  <c r="E1175" i="1"/>
  <c r="F1175" i="1"/>
  <c r="G1175" i="1"/>
  <c r="H1175" i="1"/>
  <c r="I1175" i="1"/>
  <c r="J1175" i="1"/>
  <c r="K1175" i="1"/>
  <c r="E1176" i="1"/>
  <c r="F1176" i="1"/>
  <c r="G1176" i="1"/>
  <c r="H1176" i="1"/>
  <c r="I1176" i="1"/>
  <c r="J1176" i="1"/>
  <c r="K1176" i="1"/>
  <c r="E1177" i="1"/>
  <c r="F1177" i="1"/>
  <c r="G1177" i="1"/>
  <c r="H1177" i="1"/>
  <c r="I1177" i="1"/>
  <c r="J1177" i="1"/>
  <c r="K1177" i="1"/>
  <c r="E1178" i="1"/>
  <c r="F1178" i="1"/>
  <c r="G1178" i="1"/>
  <c r="H1178" i="1"/>
  <c r="I1178" i="1"/>
  <c r="J1178" i="1"/>
  <c r="K1178" i="1"/>
  <c r="E1179" i="1"/>
  <c r="F1179" i="1"/>
  <c r="G1179" i="1"/>
  <c r="H1179" i="1"/>
  <c r="I1179" i="1"/>
  <c r="J1179" i="1"/>
  <c r="K1179" i="1"/>
  <c r="E1180" i="1"/>
  <c r="F1180" i="1"/>
  <c r="G1180" i="1"/>
  <c r="H1180" i="1"/>
  <c r="I1180" i="1"/>
  <c r="J1180" i="1"/>
  <c r="K1180" i="1"/>
  <c r="E1181" i="1"/>
  <c r="F1181" i="1"/>
  <c r="G1181" i="1"/>
  <c r="H1181" i="1"/>
  <c r="I1181" i="1"/>
  <c r="J1181" i="1"/>
  <c r="K1181" i="1"/>
  <c r="E1182" i="1"/>
  <c r="F1182" i="1"/>
  <c r="G1182" i="1"/>
  <c r="H1182" i="1"/>
  <c r="I1182" i="1"/>
  <c r="J1182" i="1"/>
  <c r="K1182" i="1"/>
  <c r="E1183" i="1"/>
  <c r="F1183" i="1"/>
  <c r="G1183" i="1"/>
  <c r="H1183" i="1"/>
  <c r="I1183" i="1"/>
  <c r="J1183" i="1"/>
  <c r="K1183" i="1"/>
  <c r="E1184" i="1"/>
  <c r="F1184" i="1"/>
  <c r="G1184" i="1"/>
  <c r="H1184" i="1"/>
  <c r="I1184" i="1"/>
  <c r="J1184" i="1"/>
  <c r="K1184" i="1"/>
  <c r="E1185" i="1"/>
  <c r="F1185" i="1"/>
  <c r="G1185" i="1"/>
  <c r="H1185" i="1"/>
  <c r="I1185" i="1"/>
  <c r="J1185" i="1"/>
  <c r="K1185" i="1"/>
  <c r="E1186" i="1"/>
  <c r="F1186" i="1"/>
  <c r="G1186" i="1"/>
  <c r="H1186" i="1"/>
  <c r="I1186" i="1"/>
  <c r="J1186" i="1"/>
  <c r="K1186" i="1"/>
  <c r="E1187" i="1"/>
  <c r="F1187" i="1"/>
  <c r="G1187" i="1"/>
  <c r="H1187" i="1"/>
  <c r="I1187" i="1"/>
  <c r="J1187" i="1"/>
  <c r="K1187" i="1"/>
  <c r="E1188" i="1"/>
  <c r="F1188" i="1"/>
  <c r="G1188" i="1"/>
  <c r="H1188" i="1"/>
  <c r="I1188" i="1"/>
  <c r="J1188" i="1"/>
  <c r="K1188" i="1"/>
  <c r="E1189" i="1"/>
  <c r="F1189" i="1"/>
  <c r="G1189" i="1"/>
  <c r="H1189" i="1"/>
  <c r="I1189" i="1"/>
  <c r="J1189" i="1"/>
  <c r="K1189" i="1"/>
  <c r="E1190" i="1"/>
  <c r="F1190" i="1"/>
  <c r="G1190" i="1"/>
  <c r="H1190" i="1"/>
  <c r="I1190" i="1"/>
  <c r="J1190" i="1"/>
  <c r="K1190" i="1"/>
  <c r="E1191" i="1"/>
  <c r="F1191" i="1"/>
  <c r="G1191" i="1"/>
  <c r="H1191" i="1"/>
  <c r="I1191" i="1"/>
  <c r="J1191" i="1"/>
  <c r="K1191" i="1"/>
  <c r="E1192" i="1"/>
  <c r="F1192" i="1"/>
  <c r="G1192" i="1"/>
  <c r="H1192" i="1"/>
  <c r="I1192" i="1"/>
  <c r="J1192" i="1"/>
  <c r="K1192" i="1"/>
  <c r="E1193" i="1"/>
  <c r="F1193" i="1"/>
  <c r="G1193" i="1"/>
  <c r="H1193" i="1"/>
  <c r="I1193" i="1"/>
  <c r="J1193" i="1"/>
  <c r="K1193" i="1"/>
  <c r="E1194" i="1"/>
  <c r="F1194" i="1"/>
  <c r="G1194" i="1"/>
  <c r="H1194" i="1"/>
  <c r="I1194" i="1"/>
  <c r="J1194" i="1"/>
  <c r="K1194" i="1"/>
  <c r="E1195" i="1"/>
  <c r="F1195" i="1"/>
  <c r="G1195" i="1"/>
  <c r="H1195" i="1"/>
  <c r="I1195" i="1"/>
  <c r="J1195" i="1"/>
  <c r="K1195" i="1"/>
  <c r="E1196" i="1"/>
  <c r="F1196" i="1"/>
  <c r="G1196" i="1"/>
  <c r="H1196" i="1"/>
  <c r="I1196" i="1"/>
  <c r="J1196" i="1"/>
  <c r="K1196" i="1"/>
  <c r="E1197" i="1"/>
  <c r="F1197" i="1"/>
  <c r="G1197" i="1"/>
  <c r="H1197" i="1"/>
  <c r="I1197" i="1"/>
  <c r="J1197" i="1"/>
  <c r="K1197" i="1"/>
  <c r="E1198" i="1"/>
  <c r="F1198" i="1"/>
  <c r="G1198" i="1"/>
  <c r="H1198" i="1"/>
  <c r="I1198" i="1"/>
  <c r="J1198" i="1"/>
  <c r="K1198" i="1"/>
  <c r="E1199" i="1"/>
  <c r="F1199" i="1"/>
  <c r="G1199" i="1"/>
  <c r="H1199" i="1"/>
  <c r="I1199" i="1"/>
  <c r="J1199" i="1"/>
  <c r="K1199" i="1"/>
  <c r="E1200" i="1"/>
  <c r="F1200" i="1"/>
  <c r="G1200" i="1"/>
  <c r="H1200" i="1"/>
  <c r="I1200" i="1"/>
  <c r="J1200" i="1"/>
  <c r="K1200" i="1"/>
  <c r="E1201" i="1"/>
  <c r="F1201" i="1"/>
  <c r="G1201" i="1"/>
  <c r="H1201" i="1"/>
  <c r="I1201" i="1"/>
  <c r="J1201" i="1"/>
  <c r="K1201" i="1"/>
  <c r="E1202" i="1"/>
  <c r="F1202" i="1"/>
  <c r="G1202" i="1"/>
  <c r="H1202" i="1"/>
  <c r="I1202" i="1"/>
  <c r="J1202" i="1"/>
  <c r="K1202" i="1"/>
  <c r="E1203" i="1"/>
  <c r="F1203" i="1"/>
  <c r="G1203" i="1"/>
  <c r="H1203" i="1"/>
  <c r="I1203" i="1"/>
  <c r="J1203" i="1"/>
  <c r="K1203" i="1"/>
  <c r="E1204" i="1"/>
  <c r="F1204" i="1"/>
  <c r="G1204" i="1"/>
  <c r="H1204" i="1"/>
  <c r="I1204" i="1"/>
  <c r="J1204" i="1"/>
  <c r="K1204" i="1"/>
  <c r="E1205" i="1"/>
  <c r="F1205" i="1"/>
  <c r="G1205" i="1"/>
  <c r="H1205" i="1"/>
  <c r="I1205" i="1"/>
  <c r="J1205" i="1"/>
  <c r="K1205" i="1"/>
  <c r="E1206" i="1"/>
  <c r="F1206" i="1"/>
  <c r="G1206" i="1"/>
  <c r="H1206" i="1"/>
  <c r="I1206" i="1"/>
  <c r="J1206" i="1"/>
  <c r="K1206" i="1"/>
  <c r="E1207" i="1"/>
  <c r="F1207" i="1"/>
  <c r="G1207" i="1"/>
  <c r="H1207" i="1"/>
  <c r="I1207" i="1"/>
  <c r="J1207" i="1"/>
  <c r="K1207" i="1"/>
  <c r="E1208" i="1"/>
  <c r="F1208" i="1"/>
  <c r="G1208" i="1"/>
  <c r="H1208" i="1"/>
  <c r="I1208" i="1"/>
  <c r="J1208" i="1"/>
  <c r="K1208" i="1"/>
  <c r="E1209" i="1"/>
  <c r="F1209" i="1"/>
  <c r="G1209" i="1"/>
  <c r="H1209" i="1"/>
  <c r="I1209" i="1"/>
  <c r="J1209" i="1"/>
  <c r="K1209" i="1"/>
  <c r="E1210" i="1"/>
  <c r="F1210" i="1"/>
  <c r="G1210" i="1"/>
  <c r="H1210" i="1"/>
  <c r="I1210" i="1"/>
  <c r="J1210" i="1"/>
  <c r="K1210" i="1"/>
  <c r="E1211" i="1"/>
  <c r="F1211" i="1"/>
  <c r="G1211" i="1"/>
  <c r="H1211" i="1"/>
  <c r="I1211" i="1"/>
  <c r="J1211" i="1"/>
  <c r="K1211" i="1"/>
  <c r="E1212" i="1"/>
  <c r="F1212" i="1"/>
  <c r="G1212" i="1"/>
  <c r="H1212" i="1"/>
  <c r="I1212" i="1"/>
  <c r="J1212" i="1"/>
  <c r="K1212" i="1"/>
  <c r="E1213" i="1"/>
  <c r="F1213" i="1"/>
  <c r="G1213" i="1"/>
  <c r="H1213" i="1"/>
  <c r="I1213" i="1"/>
  <c r="J1213" i="1"/>
  <c r="K1213" i="1"/>
  <c r="E1214" i="1"/>
  <c r="F1214" i="1"/>
  <c r="G1214" i="1"/>
  <c r="H1214" i="1"/>
  <c r="I1214" i="1"/>
  <c r="J1214" i="1"/>
  <c r="K1214" i="1"/>
  <c r="E1215" i="1"/>
  <c r="F1215" i="1"/>
  <c r="G1215" i="1"/>
  <c r="H1215" i="1"/>
  <c r="I1215" i="1"/>
  <c r="J1215" i="1"/>
  <c r="K1215" i="1"/>
  <c r="E1216" i="1"/>
  <c r="F1216" i="1"/>
  <c r="G1216" i="1"/>
  <c r="H1216" i="1"/>
  <c r="I1216" i="1"/>
  <c r="J1216" i="1"/>
  <c r="K1216" i="1"/>
  <c r="E1217" i="1"/>
  <c r="F1217" i="1"/>
  <c r="G1217" i="1"/>
  <c r="H1217" i="1"/>
  <c r="I1217" i="1"/>
  <c r="J1217" i="1"/>
  <c r="K1217" i="1"/>
  <c r="E1218" i="1"/>
  <c r="F1218" i="1"/>
  <c r="G1218" i="1"/>
  <c r="H1218" i="1"/>
  <c r="I1218" i="1"/>
  <c r="J1218" i="1"/>
  <c r="K1218" i="1"/>
  <c r="E1219" i="1"/>
  <c r="F1219" i="1"/>
  <c r="G1219" i="1"/>
  <c r="H1219" i="1"/>
  <c r="I1219" i="1"/>
  <c r="J1219" i="1"/>
  <c r="K1219" i="1"/>
  <c r="E1220" i="1"/>
  <c r="F1220" i="1"/>
  <c r="G1220" i="1"/>
  <c r="H1220" i="1"/>
  <c r="I1220" i="1"/>
  <c r="J1220" i="1"/>
  <c r="K1220" i="1"/>
  <c r="E1221" i="1"/>
  <c r="F1221" i="1"/>
  <c r="G1221" i="1"/>
  <c r="H1221" i="1"/>
  <c r="I1221" i="1"/>
  <c r="J1221" i="1"/>
  <c r="K1221" i="1"/>
  <c r="E1222" i="1"/>
  <c r="F1222" i="1"/>
  <c r="G1222" i="1"/>
  <c r="H1222" i="1"/>
  <c r="I1222" i="1"/>
  <c r="J1222" i="1"/>
  <c r="K1222" i="1"/>
  <c r="E1223" i="1"/>
  <c r="F1223" i="1"/>
  <c r="G1223" i="1"/>
  <c r="H1223" i="1"/>
  <c r="I1223" i="1"/>
  <c r="J1223" i="1"/>
  <c r="K1223" i="1"/>
  <c r="E1224" i="1"/>
  <c r="F1224" i="1"/>
  <c r="G1224" i="1"/>
  <c r="H1224" i="1"/>
  <c r="I1224" i="1"/>
  <c r="J1224" i="1"/>
  <c r="K1224" i="1"/>
  <c r="E1225" i="1"/>
  <c r="F1225" i="1"/>
  <c r="G1225" i="1"/>
  <c r="H1225" i="1"/>
  <c r="I1225" i="1"/>
  <c r="J1225" i="1"/>
  <c r="K1225" i="1"/>
  <c r="E1226" i="1"/>
  <c r="F1226" i="1"/>
  <c r="G1226" i="1"/>
  <c r="H1226" i="1"/>
  <c r="I1226" i="1"/>
  <c r="J1226" i="1"/>
  <c r="K1226" i="1"/>
  <c r="E1227" i="1"/>
  <c r="F1227" i="1"/>
  <c r="G1227" i="1"/>
  <c r="H1227" i="1"/>
  <c r="I1227" i="1"/>
  <c r="J1227" i="1"/>
  <c r="K1227" i="1"/>
  <c r="E1228" i="1"/>
  <c r="F1228" i="1"/>
  <c r="G1228" i="1"/>
  <c r="H1228" i="1"/>
  <c r="I1228" i="1"/>
  <c r="J1228" i="1"/>
  <c r="K1228" i="1"/>
  <c r="E1229" i="1"/>
  <c r="F1229" i="1"/>
  <c r="G1229" i="1"/>
  <c r="H1229" i="1"/>
  <c r="I1229" i="1"/>
  <c r="J1229" i="1"/>
  <c r="K1229" i="1"/>
  <c r="E1230" i="1"/>
  <c r="F1230" i="1"/>
  <c r="G1230" i="1"/>
  <c r="H1230" i="1"/>
  <c r="I1230" i="1"/>
  <c r="J1230" i="1"/>
  <c r="K1230" i="1"/>
  <c r="E1231" i="1"/>
  <c r="F1231" i="1"/>
  <c r="G1231" i="1"/>
  <c r="H1231" i="1"/>
  <c r="I1231" i="1"/>
  <c r="J1231" i="1"/>
  <c r="K1231" i="1"/>
  <c r="E1232" i="1"/>
  <c r="F1232" i="1"/>
  <c r="G1232" i="1"/>
  <c r="H1232" i="1"/>
  <c r="I1232" i="1"/>
  <c r="J1232" i="1"/>
  <c r="K1232" i="1"/>
  <c r="E1233" i="1"/>
  <c r="F1233" i="1"/>
  <c r="G1233" i="1"/>
  <c r="H1233" i="1"/>
  <c r="I1233" i="1"/>
  <c r="J1233" i="1"/>
  <c r="K1233" i="1"/>
  <c r="E1234" i="1"/>
  <c r="F1234" i="1"/>
  <c r="G1234" i="1"/>
  <c r="H1234" i="1"/>
  <c r="I1234" i="1"/>
  <c r="J1234" i="1"/>
  <c r="K1234" i="1"/>
  <c r="E1235" i="1"/>
  <c r="F1235" i="1"/>
  <c r="G1235" i="1"/>
  <c r="H1235" i="1"/>
  <c r="I1235" i="1"/>
  <c r="J1235" i="1"/>
  <c r="K1235" i="1"/>
  <c r="E1236" i="1"/>
  <c r="F1236" i="1"/>
  <c r="G1236" i="1"/>
  <c r="H1236" i="1"/>
  <c r="I1236" i="1"/>
  <c r="J1236" i="1"/>
  <c r="K1236" i="1"/>
  <c r="E1237" i="1"/>
  <c r="F1237" i="1"/>
  <c r="G1237" i="1"/>
  <c r="H1237" i="1"/>
  <c r="I1237" i="1"/>
  <c r="J1237" i="1"/>
  <c r="K1237" i="1"/>
  <c r="E1238" i="1"/>
  <c r="F1238" i="1"/>
  <c r="G1238" i="1"/>
  <c r="H1238" i="1"/>
  <c r="I1238" i="1"/>
  <c r="J1238" i="1"/>
  <c r="K1238" i="1"/>
  <c r="E1239" i="1"/>
  <c r="F1239" i="1"/>
  <c r="G1239" i="1"/>
  <c r="H1239" i="1"/>
  <c r="I1239" i="1"/>
  <c r="J1239" i="1"/>
  <c r="K1239" i="1"/>
  <c r="E1240" i="1"/>
  <c r="F1240" i="1"/>
  <c r="G1240" i="1"/>
  <c r="H1240" i="1"/>
  <c r="I1240" i="1"/>
  <c r="J1240" i="1"/>
  <c r="K1240" i="1"/>
  <c r="E1241" i="1"/>
  <c r="F1241" i="1"/>
  <c r="G1241" i="1"/>
  <c r="H1241" i="1"/>
  <c r="I1241" i="1"/>
  <c r="J1241" i="1"/>
  <c r="K1241" i="1"/>
  <c r="E1242" i="1"/>
  <c r="F1242" i="1"/>
  <c r="G1242" i="1"/>
  <c r="H1242" i="1"/>
  <c r="I1242" i="1"/>
  <c r="J1242" i="1"/>
  <c r="K1242" i="1"/>
  <c r="E1243" i="1"/>
  <c r="F1243" i="1"/>
  <c r="G1243" i="1"/>
  <c r="H1243" i="1"/>
  <c r="I1243" i="1"/>
  <c r="J1243" i="1"/>
  <c r="K1243" i="1"/>
  <c r="E1244" i="1"/>
  <c r="F1244" i="1"/>
  <c r="G1244" i="1"/>
  <c r="H1244" i="1"/>
  <c r="I1244" i="1"/>
  <c r="J1244" i="1"/>
  <c r="K1244" i="1"/>
  <c r="E1245" i="1"/>
  <c r="F1245" i="1"/>
  <c r="G1245" i="1"/>
  <c r="H1245" i="1"/>
  <c r="I1245" i="1"/>
  <c r="J1245" i="1"/>
  <c r="K1245" i="1"/>
  <c r="E1246" i="1"/>
  <c r="F1246" i="1"/>
  <c r="G1246" i="1"/>
  <c r="H1246" i="1"/>
  <c r="I1246" i="1"/>
  <c r="J1246" i="1"/>
  <c r="K1246" i="1"/>
  <c r="E1247" i="1"/>
  <c r="F1247" i="1"/>
  <c r="G1247" i="1"/>
  <c r="H1247" i="1"/>
  <c r="I1247" i="1"/>
  <c r="J1247" i="1"/>
  <c r="K1247" i="1"/>
  <c r="E1248" i="1"/>
  <c r="F1248" i="1"/>
  <c r="G1248" i="1"/>
  <c r="H1248" i="1"/>
  <c r="I1248" i="1"/>
  <c r="J1248" i="1"/>
  <c r="K1248" i="1"/>
  <c r="E1249" i="1"/>
  <c r="F1249" i="1"/>
  <c r="G1249" i="1"/>
  <c r="H1249" i="1"/>
  <c r="I1249" i="1"/>
  <c r="J1249" i="1"/>
  <c r="K1249" i="1"/>
  <c r="E1250" i="1"/>
  <c r="F1250" i="1"/>
  <c r="G1250" i="1"/>
  <c r="H1250" i="1"/>
  <c r="I1250" i="1"/>
  <c r="J1250" i="1"/>
  <c r="K1250" i="1"/>
  <c r="E1251" i="1"/>
  <c r="F1251" i="1"/>
  <c r="G1251" i="1"/>
  <c r="H1251" i="1"/>
  <c r="I1251" i="1"/>
  <c r="J1251" i="1"/>
  <c r="K1251" i="1"/>
  <c r="E1252" i="1"/>
  <c r="F1252" i="1"/>
  <c r="G1252" i="1"/>
  <c r="H1252" i="1"/>
  <c r="I1252" i="1"/>
  <c r="J1252" i="1"/>
  <c r="K1252" i="1"/>
  <c r="E1253" i="1"/>
  <c r="F1253" i="1"/>
  <c r="G1253" i="1"/>
  <c r="H1253" i="1"/>
  <c r="I1253" i="1"/>
  <c r="J1253" i="1"/>
  <c r="K1253" i="1"/>
  <c r="E1254" i="1"/>
  <c r="F1254" i="1"/>
  <c r="G1254" i="1"/>
  <c r="H1254" i="1"/>
  <c r="I1254" i="1"/>
  <c r="J1254" i="1"/>
  <c r="K1254" i="1"/>
  <c r="E1255" i="1"/>
  <c r="F1255" i="1"/>
  <c r="G1255" i="1"/>
  <c r="H1255" i="1"/>
  <c r="I1255" i="1"/>
  <c r="J1255" i="1"/>
  <c r="K1255" i="1"/>
  <c r="E1256" i="1"/>
  <c r="F1256" i="1"/>
  <c r="G1256" i="1"/>
  <c r="H1256" i="1"/>
  <c r="I1256" i="1"/>
  <c r="J1256" i="1"/>
  <c r="K1256" i="1"/>
  <c r="E1257" i="1"/>
  <c r="F1257" i="1"/>
  <c r="G1257" i="1"/>
  <c r="H1257" i="1"/>
  <c r="I1257" i="1"/>
  <c r="J1257" i="1"/>
  <c r="K1257" i="1"/>
  <c r="E1258" i="1"/>
  <c r="F1258" i="1"/>
  <c r="G1258" i="1"/>
  <c r="H1258" i="1"/>
  <c r="I1258" i="1"/>
  <c r="J1258" i="1"/>
  <c r="K1258" i="1"/>
  <c r="E1259" i="1"/>
  <c r="F1259" i="1"/>
  <c r="G1259" i="1"/>
  <c r="H1259" i="1"/>
  <c r="I1259" i="1"/>
  <c r="J1259" i="1"/>
  <c r="K1259" i="1"/>
  <c r="E1260" i="1"/>
  <c r="F1260" i="1"/>
  <c r="G1260" i="1"/>
  <c r="H1260" i="1"/>
  <c r="I1260" i="1"/>
  <c r="J1260" i="1"/>
  <c r="K1260" i="1"/>
  <c r="E1261" i="1"/>
  <c r="F1261" i="1"/>
  <c r="G1261" i="1"/>
  <c r="H1261" i="1"/>
  <c r="I1261" i="1"/>
  <c r="J1261" i="1"/>
  <c r="K1261" i="1"/>
  <c r="E1262" i="1"/>
  <c r="F1262" i="1"/>
  <c r="G1262" i="1"/>
  <c r="H1262" i="1"/>
  <c r="I1262" i="1"/>
  <c r="J1262" i="1"/>
  <c r="K1262" i="1"/>
  <c r="E1263" i="1"/>
  <c r="F1263" i="1"/>
  <c r="G1263" i="1"/>
  <c r="H1263" i="1"/>
  <c r="I1263" i="1"/>
  <c r="J1263" i="1"/>
  <c r="K1263" i="1"/>
  <c r="E1264" i="1"/>
  <c r="F1264" i="1"/>
  <c r="G1264" i="1"/>
  <c r="H1264" i="1"/>
  <c r="I1264" i="1"/>
  <c r="J1264" i="1"/>
  <c r="K1264" i="1"/>
  <c r="E1265" i="1"/>
  <c r="F1265" i="1"/>
  <c r="G1265" i="1"/>
  <c r="H1265" i="1"/>
  <c r="I1265" i="1"/>
  <c r="J1265" i="1"/>
  <c r="K1265" i="1"/>
  <c r="E1266" i="1"/>
  <c r="F1266" i="1"/>
  <c r="G1266" i="1"/>
  <c r="H1266" i="1"/>
  <c r="I1266" i="1"/>
  <c r="J1266" i="1"/>
  <c r="K1266" i="1"/>
  <c r="E1267" i="1"/>
  <c r="F1267" i="1"/>
  <c r="G1267" i="1"/>
  <c r="H1267" i="1"/>
  <c r="I1267" i="1"/>
  <c r="J1267" i="1"/>
  <c r="K1267" i="1"/>
  <c r="E1268" i="1"/>
  <c r="F1268" i="1"/>
  <c r="G1268" i="1"/>
  <c r="H1268" i="1"/>
  <c r="I1268" i="1"/>
  <c r="J1268" i="1"/>
  <c r="K1268" i="1"/>
  <c r="E1269" i="1"/>
  <c r="F1269" i="1"/>
  <c r="G1269" i="1"/>
  <c r="H1269" i="1"/>
  <c r="I1269" i="1"/>
  <c r="J1269" i="1"/>
  <c r="K1269" i="1"/>
  <c r="E1270" i="1"/>
  <c r="F1270" i="1"/>
  <c r="G1270" i="1"/>
  <c r="H1270" i="1"/>
  <c r="I1270" i="1"/>
  <c r="J1270" i="1"/>
  <c r="K1270" i="1"/>
  <c r="E1271" i="1"/>
  <c r="F1271" i="1"/>
  <c r="G1271" i="1"/>
  <c r="H1271" i="1"/>
  <c r="I1271" i="1"/>
  <c r="J1271" i="1"/>
  <c r="K1271" i="1"/>
  <c r="E1272" i="1"/>
  <c r="F1272" i="1"/>
  <c r="G1272" i="1"/>
  <c r="H1272" i="1"/>
  <c r="I1272" i="1"/>
  <c r="J1272" i="1"/>
  <c r="K1272" i="1"/>
  <c r="E1273" i="1"/>
  <c r="F1273" i="1"/>
  <c r="G1273" i="1"/>
  <c r="H1273" i="1"/>
  <c r="I1273" i="1"/>
  <c r="J1273" i="1"/>
  <c r="K1273" i="1"/>
  <c r="E1274" i="1"/>
  <c r="F1274" i="1"/>
  <c r="G1274" i="1"/>
  <c r="H1274" i="1"/>
  <c r="I1274" i="1"/>
  <c r="J1274" i="1"/>
  <c r="K1274" i="1"/>
  <c r="E1275" i="1"/>
  <c r="F1275" i="1"/>
  <c r="G1275" i="1"/>
  <c r="H1275" i="1"/>
  <c r="I1275" i="1"/>
  <c r="J1275" i="1"/>
  <c r="K1275" i="1"/>
  <c r="E1276" i="1"/>
  <c r="F1276" i="1"/>
  <c r="G1276" i="1"/>
  <c r="H1276" i="1"/>
  <c r="I1276" i="1"/>
  <c r="J1276" i="1"/>
  <c r="K1276" i="1"/>
  <c r="E1277" i="1"/>
  <c r="F1277" i="1"/>
  <c r="G1277" i="1"/>
  <c r="H1277" i="1"/>
  <c r="I1277" i="1"/>
  <c r="J1277" i="1"/>
  <c r="K1277" i="1"/>
  <c r="E1278" i="1"/>
  <c r="F1278" i="1"/>
  <c r="G1278" i="1"/>
  <c r="H1278" i="1"/>
  <c r="I1278" i="1"/>
  <c r="J1278" i="1"/>
  <c r="K1278" i="1"/>
  <c r="E1279" i="1"/>
  <c r="F1279" i="1"/>
  <c r="G1279" i="1"/>
  <c r="H1279" i="1"/>
  <c r="I1279" i="1"/>
  <c r="J1279" i="1"/>
  <c r="K1279" i="1"/>
  <c r="E1280" i="1"/>
  <c r="F1280" i="1"/>
  <c r="G1280" i="1"/>
  <c r="H1280" i="1"/>
  <c r="I1280" i="1"/>
  <c r="J1280" i="1"/>
  <c r="K1280" i="1"/>
  <c r="E1281" i="1"/>
  <c r="F1281" i="1"/>
  <c r="G1281" i="1"/>
  <c r="H1281" i="1"/>
  <c r="I1281" i="1"/>
  <c r="J1281" i="1"/>
  <c r="K1281" i="1"/>
  <c r="E1282" i="1"/>
  <c r="F1282" i="1"/>
  <c r="G1282" i="1"/>
  <c r="H1282" i="1"/>
  <c r="I1282" i="1"/>
  <c r="J1282" i="1"/>
  <c r="K1282" i="1"/>
  <c r="E1283" i="1"/>
  <c r="F1283" i="1"/>
  <c r="G1283" i="1"/>
  <c r="H1283" i="1"/>
  <c r="I1283" i="1"/>
  <c r="J1283" i="1"/>
  <c r="K1283" i="1"/>
  <c r="E1284" i="1"/>
  <c r="F1284" i="1"/>
  <c r="G1284" i="1"/>
  <c r="H1284" i="1"/>
  <c r="I1284" i="1"/>
  <c r="J1284" i="1"/>
  <c r="K1284" i="1"/>
  <c r="E1285" i="1"/>
  <c r="F1285" i="1"/>
  <c r="G1285" i="1"/>
  <c r="H1285" i="1"/>
  <c r="I1285" i="1"/>
  <c r="J1285" i="1"/>
  <c r="K1285" i="1"/>
  <c r="E1286" i="1"/>
  <c r="F1286" i="1"/>
  <c r="G1286" i="1"/>
  <c r="H1286" i="1"/>
  <c r="I1286" i="1"/>
  <c r="J1286" i="1"/>
  <c r="K1286" i="1"/>
  <c r="E1287" i="1"/>
  <c r="F1287" i="1"/>
  <c r="G1287" i="1"/>
  <c r="H1287" i="1"/>
  <c r="I1287" i="1"/>
  <c r="J1287" i="1"/>
  <c r="K1287" i="1"/>
  <c r="E1288" i="1"/>
  <c r="F1288" i="1"/>
  <c r="G1288" i="1"/>
  <c r="H1288" i="1"/>
  <c r="I1288" i="1"/>
  <c r="J1288" i="1"/>
  <c r="K1288" i="1"/>
  <c r="E1289" i="1"/>
  <c r="F1289" i="1"/>
  <c r="G1289" i="1"/>
  <c r="H1289" i="1"/>
  <c r="I1289" i="1"/>
  <c r="J1289" i="1"/>
  <c r="K1289" i="1"/>
  <c r="E1290" i="1"/>
  <c r="F1290" i="1"/>
  <c r="G1290" i="1"/>
  <c r="H1290" i="1"/>
  <c r="I1290" i="1"/>
  <c r="J1290" i="1"/>
  <c r="K1290" i="1"/>
  <c r="E1291" i="1"/>
  <c r="F1291" i="1"/>
  <c r="G1291" i="1"/>
  <c r="H1291" i="1"/>
  <c r="I1291" i="1"/>
  <c r="J1291" i="1"/>
  <c r="K1291" i="1"/>
  <c r="E1292" i="1"/>
  <c r="F1292" i="1"/>
  <c r="G1292" i="1"/>
  <c r="H1292" i="1"/>
  <c r="I1292" i="1"/>
  <c r="J1292" i="1"/>
  <c r="K1292" i="1"/>
  <c r="E1293" i="1"/>
  <c r="F1293" i="1"/>
  <c r="G1293" i="1"/>
  <c r="H1293" i="1"/>
  <c r="I1293" i="1"/>
  <c r="J1293" i="1"/>
  <c r="K1293" i="1"/>
  <c r="E1294" i="1"/>
  <c r="F1294" i="1"/>
  <c r="G1294" i="1"/>
  <c r="H1294" i="1"/>
  <c r="I1294" i="1"/>
  <c r="J1294" i="1"/>
  <c r="K1294" i="1"/>
  <c r="E1295" i="1"/>
  <c r="F1295" i="1"/>
  <c r="G1295" i="1"/>
  <c r="H1295" i="1"/>
  <c r="I1295" i="1"/>
  <c r="J1295" i="1"/>
  <c r="K1295" i="1"/>
  <c r="E1296" i="1"/>
  <c r="F1296" i="1"/>
  <c r="G1296" i="1"/>
  <c r="H1296" i="1"/>
  <c r="I1296" i="1"/>
  <c r="J1296" i="1"/>
  <c r="K1296" i="1"/>
  <c r="E1297" i="1"/>
  <c r="F1297" i="1"/>
  <c r="G1297" i="1"/>
  <c r="H1297" i="1"/>
  <c r="I1297" i="1"/>
  <c r="J1297" i="1"/>
  <c r="K1297" i="1"/>
  <c r="E1298" i="1"/>
  <c r="F1298" i="1"/>
  <c r="G1298" i="1"/>
  <c r="H1298" i="1"/>
  <c r="I1298" i="1"/>
  <c r="J1298" i="1"/>
  <c r="K1298" i="1"/>
  <c r="E1299" i="1"/>
  <c r="F1299" i="1"/>
  <c r="G1299" i="1"/>
  <c r="H1299" i="1"/>
  <c r="I1299" i="1"/>
  <c r="J1299" i="1"/>
  <c r="K1299" i="1"/>
  <c r="E1300" i="1"/>
  <c r="F1300" i="1"/>
  <c r="G1300" i="1"/>
  <c r="H1300" i="1"/>
  <c r="I1300" i="1"/>
  <c r="J1300" i="1"/>
  <c r="K1300" i="1"/>
  <c r="E1301" i="1"/>
  <c r="F1301" i="1"/>
  <c r="G1301" i="1"/>
  <c r="H1301" i="1"/>
  <c r="I1301" i="1"/>
  <c r="J1301" i="1"/>
  <c r="K1301" i="1"/>
  <c r="E1302" i="1"/>
  <c r="F1302" i="1"/>
  <c r="G1302" i="1"/>
  <c r="H1302" i="1"/>
  <c r="I1302" i="1"/>
  <c r="J1302" i="1"/>
  <c r="K1302" i="1"/>
  <c r="E1303" i="1"/>
  <c r="F1303" i="1"/>
  <c r="G1303" i="1"/>
  <c r="H1303" i="1"/>
  <c r="I1303" i="1"/>
  <c r="J1303" i="1"/>
  <c r="K1303" i="1"/>
  <c r="E1304" i="1"/>
  <c r="F1304" i="1"/>
  <c r="G1304" i="1"/>
  <c r="H1304" i="1"/>
  <c r="I1304" i="1"/>
  <c r="J1304" i="1"/>
  <c r="K1304" i="1"/>
  <c r="E1305" i="1"/>
  <c r="F1305" i="1"/>
  <c r="G1305" i="1"/>
  <c r="H1305" i="1"/>
  <c r="I1305" i="1"/>
  <c r="J1305" i="1"/>
  <c r="K1305" i="1"/>
  <c r="E1306" i="1"/>
  <c r="F1306" i="1"/>
  <c r="G1306" i="1"/>
  <c r="H1306" i="1"/>
  <c r="I1306" i="1"/>
  <c r="J1306" i="1"/>
  <c r="K1306" i="1"/>
  <c r="E1307" i="1"/>
  <c r="F1307" i="1"/>
  <c r="G1307" i="1"/>
  <c r="H1307" i="1"/>
  <c r="I1307" i="1"/>
  <c r="J1307" i="1"/>
  <c r="K1307" i="1"/>
  <c r="E1308" i="1"/>
  <c r="F1308" i="1"/>
  <c r="G1308" i="1"/>
  <c r="H1308" i="1"/>
  <c r="I1308" i="1"/>
  <c r="J1308" i="1"/>
  <c r="K1308" i="1"/>
  <c r="E1309" i="1"/>
  <c r="F1309" i="1"/>
  <c r="G1309" i="1"/>
  <c r="H1309" i="1"/>
  <c r="I1309" i="1"/>
  <c r="J1309" i="1"/>
  <c r="K1309" i="1"/>
  <c r="E1310" i="1"/>
  <c r="F1310" i="1"/>
  <c r="G1310" i="1"/>
  <c r="H1310" i="1"/>
  <c r="I1310" i="1"/>
  <c r="J1310" i="1"/>
  <c r="K1310" i="1"/>
  <c r="E1311" i="1"/>
  <c r="F1311" i="1"/>
  <c r="G1311" i="1"/>
  <c r="H1311" i="1"/>
  <c r="I1311" i="1"/>
  <c r="J1311" i="1"/>
  <c r="K1311" i="1"/>
  <c r="E1312" i="1"/>
  <c r="F1312" i="1"/>
  <c r="G1312" i="1"/>
  <c r="H1312" i="1"/>
  <c r="I1312" i="1"/>
  <c r="J1312" i="1"/>
  <c r="K1312" i="1"/>
  <c r="E1313" i="1"/>
  <c r="F1313" i="1"/>
  <c r="G1313" i="1"/>
  <c r="H1313" i="1"/>
  <c r="I1313" i="1"/>
  <c r="J1313" i="1"/>
  <c r="K1313" i="1"/>
  <c r="E1314" i="1"/>
  <c r="F1314" i="1"/>
  <c r="G1314" i="1"/>
  <c r="H1314" i="1"/>
  <c r="I1314" i="1"/>
  <c r="J1314" i="1"/>
  <c r="K1314" i="1"/>
  <c r="E1315" i="1"/>
  <c r="F1315" i="1"/>
  <c r="G1315" i="1"/>
  <c r="H1315" i="1"/>
  <c r="I1315" i="1"/>
  <c r="J1315" i="1"/>
  <c r="K1315" i="1"/>
  <c r="E1316" i="1"/>
  <c r="F1316" i="1"/>
  <c r="G1316" i="1"/>
  <c r="H1316" i="1"/>
  <c r="I1316" i="1"/>
  <c r="J1316" i="1"/>
  <c r="K1316" i="1"/>
  <c r="E1317" i="1"/>
  <c r="F1317" i="1"/>
  <c r="G1317" i="1"/>
  <c r="H1317" i="1"/>
  <c r="I1317" i="1"/>
  <c r="J1317" i="1"/>
  <c r="K1317" i="1"/>
  <c r="E1318" i="1"/>
  <c r="F1318" i="1"/>
  <c r="G1318" i="1"/>
  <c r="H1318" i="1"/>
  <c r="I1318" i="1"/>
  <c r="J1318" i="1"/>
  <c r="K1318" i="1"/>
  <c r="E1319" i="1"/>
  <c r="F1319" i="1"/>
  <c r="G1319" i="1"/>
  <c r="H1319" i="1"/>
  <c r="I1319" i="1"/>
  <c r="J1319" i="1"/>
  <c r="K1319" i="1"/>
  <c r="E1320" i="1"/>
  <c r="F1320" i="1"/>
  <c r="G1320" i="1"/>
  <c r="H1320" i="1"/>
  <c r="I1320" i="1"/>
  <c r="J1320" i="1"/>
  <c r="K1320" i="1"/>
  <c r="E1321" i="1"/>
  <c r="F1321" i="1"/>
  <c r="G1321" i="1"/>
  <c r="H1321" i="1"/>
  <c r="I1321" i="1"/>
  <c r="J1321" i="1"/>
  <c r="K1321" i="1"/>
  <c r="E1322" i="1"/>
  <c r="F1322" i="1"/>
  <c r="G1322" i="1"/>
  <c r="H1322" i="1"/>
  <c r="I1322" i="1"/>
  <c r="J1322" i="1"/>
  <c r="K1322" i="1"/>
  <c r="E1323" i="1"/>
  <c r="F1323" i="1"/>
  <c r="G1323" i="1"/>
  <c r="H1323" i="1"/>
  <c r="I1323" i="1"/>
  <c r="J1323" i="1"/>
  <c r="K1323" i="1"/>
  <c r="E1324" i="1"/>
  <c r="F1324" i="1"/>
  <c r="G1324" i="1"/>
  <c r="H1324" i="1"/>
  <c r="I1324" i="1"/>
  <c r="J1324" i="1"/>
  <c r="K1324" i="1"/>
  <c r="E1325" i="1"/>
  <c r="F1325" i="1"/>
  <c r="G1325" i="1"/>
  <c r="H1325" i="1"/>
  <c r="I1325" i="1"/>
  <c r="J1325" i="1"/>
  <c r="K1325" i="1"/>
  <c r="E1326" i="1"/>
  <c r="F1326" i="1"/>
  <c r="G1326" i="1"/>
  <c r="H1326" i="1"/>
  <c r="I1326" i="1"/>
  <c r="J1326" i="1"/>
  <c r="K1326" i="1"/>
  <c r="E1327" i="1"/>
  <c r="F1327" i="1"/>
  <c r="G1327" i="1"/>
  <c r="H1327" i="1"/>
  <c r="I1327" i="1"/>
  <c r="J1327" i="1"/>
  <c r="K1327" i="1"/>
  <c r="E1328" i="1"/>
  <c r="F1328" i="1"/>
  <c r="G1328" i="1"/>
  <c r="H1328" i="1"/>
  <c r="I1328" i="1"/>
  <c r="J1328" i="1"/>
  <c r="K1328" i="1"/>
  <c r="E1329" i="1"/>
  <c r="F1329" i="1"/>
  <c r="G1329" i="1"/>
  <c r="H1329" i="1"/>
  <c r="I1329" i="1"/>
  <c r="J1329" i="1"/>
  <c r="K1329" i="1"/>
  <c r="E1330" i="1"/>
  <c r="F1330" i="1"/>
  <c r="G1330" i="1"/>
  <c r="H1330" i="1"/>
  <c r="I1330" i="1"/>
  <c r="J1330" i="1"/>
  <c r="K1330" i="1"/>
  <c r="E1331" i="1"/>
  <c r="F1331" i="1"/>
  <c r="G1331" i="1"/>
  <c r="H1331" i="1"/>
  <c r="I1331" i="1"/>
  <c r="J1331" i="1"/>
  <c r="K1331" i="1"/>
  <c r="E1332" i="1"/>
  <c r="F1332" i="1"/>
  <c r="G1332" i="1"/>
  <c r="H1332" i="1"/>
  <c r="I1332" i="1"/>
  <c r="J1332" i="1"/>
  <c r="K1332" i="1"/>
  <c r="E1333" i="1"/>
  <c r="F1333" i="1"/>
  <c r="G1333" i="1"/>
  <c r="H1333" i="1"/>
  <c r="I1333" i="1"/>
  <c r="J1333" i="1"/>
  <c r="K1333" i="1"/>
  <c r="E1334" i="1"/>
  <c r="F1334" i="1"/>
  <c r="G1334" i="1"/>
  <c r="H1334" i="1"/>
  <c r="I1334" i="1"/>
  <c r="J1334" i="1"/>
  <c r="K1334" i="1"/>
  <c r="E1335" i="1"/>
  <c r="F1335" i="1"/>
  <c r="G1335" i="1"/>
  <c r="H1335" i="1"/>
  <c r="I1335" i="1"/>
  <c r="J1335" i="1"/>
  <c r="K1335" i="1"/>
  <c r="E1336" i="1"/>
  <c r="F1336" i="1"/>
  <c r="G1336" i="1"/>
  <c r="H1336" i="1"/>
  <c r="I1336" i="1"/>
  <c r="J1336" i="1"/>
  <c r="K1336" i="1"/>
  <c r="E1337" i="1"/>
  <c r="F1337" i="1"/>
  <c r="G1337" i="1"/>
  <c r="H1337" i="1"/>
  <c r="I1337" i="1"/>
  <c r="J1337" i="1"/>
  <c r="K1337" i="1"/>
  <c r="E1338" i="1"/>
  <c r="F1338" i="1"/>
  <c r="G1338" i="1"/>
  <c r="H1338" i="1"/>
  <c r="I1338" i="1"/>
  <c r="J1338" i="1"/>
  <c r="K1338" i="1"/>
  <c r="E1339" i="1"/>
  <c r="F1339" i="1"/>
  <c r="G1339" i="1"/>
  <c r="H1339" i="1"/>
  <c r="I1339" i="1"/>
  <c r="J1339" i="1"/>
  <c r="K1339" i="1"/>
  <c r="E1340" i="1"/>
  <c r="F1340" i="1"/>
  <c r="G1340" i="1"/>
  <c r="H1340" i="1"/>
  <c r="I1340" i="1"/>
  <c r="J1340" i="1"/>
  <c r="K1340" i="1"/>
  <c r="E1341" i="1"/>
  <c r="F1341" i="1"/>
  <c r="G1341" i="1"/>
  <c r="H1341" i="1"/>
  <c r="I1341" i="1"/>
  <c r="J1341" i="1"/>
  <c r="K1341" i="1"/>
  <c r="E1342" i="1"/>
  <c r="F1342" i="1"/>
  <c r="G1342" i="1"/>
  <c r="H1342" i="1"/>
  <c r="I1342" i="1"/>
  <c r="J1342" i="1"/>
  <c r="K1342" i="1"/>
  <c r="E1343" i="1"/>
  <c r="F1343" i="1"/>
  <c r="G1343" i="1"/>
  <c r="H1343" i="1"/>
  <c r="I1343" i="1"/>
  <c r="J1343" i="1"/>
  <c r="K1343" i="1"/>
  <c r="E1344" i="1"/>
  <c r="F1344" i="1"/>
  <c r="G1344" i="1"/>
  <c r="H1344" i="1"/>
  <c r="I1344" i="1"/>
  <c r="J1344" i="1"/>
  <c r="K1344" i="1"/>
  <c r="E1345" i="1"/>
  <c r="F1345" i="1"/>
  <c r="G1345" i="1"/>
  <c r="H1345" i="1"/>
  <c r="I1345" i="1"/>
  <c r="J1345" i="1"/>
  <c r="K1345" i="1"/>
  <c r="E1346" i="1"/>
  <c r="F1346" i="1"/>
  <c r="G1346" i="1"/>
  <c r="H1346" i="1"/>
  <c r="I1346" i="1"/>
  <c r="J1346" i="1"/>
  <c r="K1346" i="1"/>
  <c r="E1347" i="1"/>
  <c r="F1347" i="1"/>
  <c r="G1347" i="1"/>
  <c r="H1347" i="1"/>
  <c r="I1347" i="1"/>
  <c r="J1347" i="1"/>
  <c r="K1347" i="1"/>
  <c r="E1348" i="1"/>
  <c r="F1348" i="1"/>
  <c r="G1348" i="1"/>
  <c r="H1348" i="1"/>
  <c r="I1348" i="1"/>
  <c r="J1348" i="1"/>
  <c r="K1348" i="1"/>
  <c r="E1349" i="1"/>
  <c r="F1349" i="1"/>
  <c r="G1349" i="1"/>
  <c r="H1349" i="1"/>
  <c r="I1349" i="1"/>
  <c r="J1349" i="1"/>
  <c r="K1349" i="1"/>
  <c r="E1350" i="1"/>
  <c r="F1350" i="1"/>
  <c r="G1350" i="1"/>
  <c r="H1350" i="1"/>
  <c r="I1350" i="1"/>
  <c r="J1350" i="1"/>
  <c r="K1350" i="1"/>
  <c r="E1351" i="1"/>
  <c r="F1351" i="1"/>
  <c r="G1351" i="1"/>
  <c r="H1351" i="1"/>
  <c r="I1351" i="1"/>
  <c r="J1351" i="1"/>
  <c r="K1351" i="1"/>
  <c r="E1352" i="1"/>
  <c r="F1352" i="1"/>
  <c r="G1352" i="1"/>
  <c r="H1352" i="1"/>
  <c r="I1352" i="1"/>
  <c r="J1352" i="1"/>
  <c r="K1352" i="1"/>
  <c r="E1353" i="1"/>
  <c r="F1353" i="1"/>
  <c r="G1353" i="1"/>
  <c r="H1353" i="1"/>
  <c r="I1353" i="1"/>
  <c r="J1353" i="1"/>
  <c r="K1353" i="1"/>
  <c r="E1354" i="1"/>
  <c r="F1354" i="1"/>
  <c r="G1354" i="1"/>
  <c r="H1354" i="1"/>
  <c r="I1354" i="1"/>
  <c r="J1354" i="1"/>
  <c r="K1354" i="1"/>
  <c r="E1355" i="1"/>
  <c r="F1355" i="1"/>
  <c r="G1355" i="1"/>
  <c r="H1355" i="1"/>
  <c r="I1355" i="1"/>
  <c r="J1355" i="1"/>
  <c r="K1355" i="1"/>
  <c r="E1356" i="1"/>
  <c r="F1356" i="1"/>
  <c r="G1356" i="1"/>
  <c r="H1356" i="1"/>
  <c r="I1356" i="1"/>
  <c r="J1356" i="1"/>
  <c r="K1356" i="1"/>
  <c r="E1357" i="1"/>
  <c r="F1357" i="1"/>
  <c r="G1357" i="1"/>
  <c r="H1357" i="1"/>
  <c r="I1357" i="1"/>
  <c r="J1357" i="1"/>
  <c r="K1357" i="1"/>
  <c r="E1358" i="1"/>
  <c r="F1358" i="1"/>
  <c r="G1358" i="1"/>
  <c r="H1358" i="1"/>
  <c r="I1358" i="1"/>
  <c r="J1358" i="1"/>
  <c r="K1358" i="1"/>
  <c r="E1359" i="1"/>
  <c r="F1359" i="1"/>
  <c r="G1359" i="1"/>
  <c r="H1359" i="1"/>
  <c r="I1359" i="1"/>
  <c r="J1359" i="1"/>
  <c r="K1359" i="1"/>
  <c r="E1360" i="1"/>
  <c r="F1360" i="1"/>
  <c r="G1360" i="1"/>
  <c r="H1360" i="1"/>
  <c r="I1360" i="1"/>
  <c r="J1360" i="1"/>
  <c r="K1360" i="1"/>
  <c r="E1361" i="1"/>
  <c r="F1361" i="1"/>
  <c r="G1361" i="1"/>
  <c r="H1361" i="1"/>
  <c r="I1361" i="1"/>
  <c r="J1361" i="1"/>
  <c r="K1361" i="1"/>
  <c r="E1362" i="1"/>
  <c r="F1362" i="1"/>
  <c r="G1362" i="1"/>
  <c r="H1362" i="1"/>
  <c r="I1362" i="1"/>
  <c r="J1362" i="1"/>
  <c r="K1362" i="1"/>
  <c r="E1363" i="1"/>
  <c r="F1363" i="1"/>
  <c r="G1363" i="1"/>
  <c r="H1363" i="1"/>
  <c r="I1363" i="1"/>
  <c r="J1363" i="1"/>
  <c r="K1363" i="1"/>
  <c r="E1364" i="1"/>
  <c r="F1364" i="1"/>
  <c r="G1364" i="1"/>
  <c r="H1364" i="1"/>
  <c r="I1364" i="1"/>
  <c r="J1364" i="1"/>
  <c r="K1364" i="1"/>
  <c r="E1365" i="1"/>
  <c r="F1365" i="1"/>
  <c r="G1365" i="1"/>
  <c r="H1365" i="1"/>
  <c r="I1365" i="1"/>
  <c r="J1365" i="1"/>
  <c r="K1365" i="1"/>
  <c r="E1366" i="1"/>
  <c r="F1366" i="1"/>
  <c r="G1366" i="1"/>
  <c r="H1366" i="1"/>
  <c r="I1366" i="1"/>
  <c r="J1366" i="1"/>
  <c r="K1366" i="1"/>
  <c r="E1367" i="1"/>
  <c r="F1367" i="1"/>
  <c r="G1367" i="1"/>
  <c r="H1367" i="1"/>
  <c r="I1367" i="1"/>
  <c r="J1367" i="1"/>
  <c r="K1367" i="1"/>
  <c r="E1368" i="1"/>
  <c r="F1368" i="1"/>
  <c r="G1368" i="1"/>
  <c r="H1368" i="1"/>
  <c r="I1368" i="1"/>
  <c r="J1368" i="1"/>
  <c r="K1368" i="1"/>
  <c r="E1369" i="1"/>
  <c r="F1369" i="1"/>
  <c r="G1369" i="1"/>
  <c r="H1369" i="1"/>
  <c r="I1369" i="1"/>
  <c r="J1369" i="1"/>
  <c r="K1369" i="1"/>
  <c r="E1370" i="1"/>
  <c r="F1370" i="1"/>
  <c r="G1370" i="1"/>
  <c r="H1370" i="1"/>
  <c r="I1370" i="1"/>
  <c r="J1370" i="1"/>
  <c r="K1370" i="1"/>
  <c r="E1371" i="1"/>
  <c r="F1371" i="1"/>
  <c r="G1371" i="1"/>
  <c r="H1371" i="1"/>
  <c r="I1371" i="1"/>
  <c r="J1371" i="1"/>
  <c r="K1371" i="1"/>
  <c r="E1372" i="1"/>
  <c r="F1372" i="1"/>
  <c r="G1372" i="1"/>
  <c r="H1372" i="1"/>
  <c r="I1372" i="1"/>
  <c r="J1372" i="1"/>
  <c r="K1372" i="1"/>
  <c r="E1373" i="1"/>
  <c r="F1373" i="1"/>
  <c r="G1373" i="1"/>
  <c r="H1373" i="1"/>
  <c r="I1373" i="1"/>
  <c r="J1373" i="1"/>
  <c r="K1373" i="1"/>
  <c r="E1374" i="1"/>
  <c r="F1374" i="1"/>
  <c r="G1374" i="1"/>
  <c r="H1374" i="1"/>
  <c r="I1374" i="1"/>
  <c r="J1374" i="1"/>
  <c r="K1374" i="1"/>
  <c r="E1375" i="1"/>
  <c r="F1375" i="1"/>
  <c r="G1375" i="1"/>
  <c r="H1375" i="1"/>
  <c r="I1375" i="1"/>
  <c r="J1375" i="1"/>
  <c r="K1375" i="1"/>
  <c r="E1376" i="1"/>
  <c r="F1376" i="1"/>
  <c r="G1376" i="1"/>
  <c r="H1376" i="1"/>
  <c r="I1376" i="1"/>
  <c r="J1376" i="1"/>
  <c r="K1376" i="1"/>
  <c r="E1377" i="1"/>
  <c r="F1377" i="1"/>
  <c r="G1377" i="1"/>
  <c r="H1377" i="1"/>
  <c r="I1377" i="1"/>
  <c r="J1377" i="1"/>
  <c r="K1377" i="1"/>
  <c r="E1378" i="1"/>
  <c r="F1378" i="1"/>
  <c r="G1378" i="1"/>
  <c r="H1378" i="1"/>
  <c r="I1378" i="1"/>
  <c r="J1378" i="1"/>
  <c r="K1378" i="1"/>
  <c r="E1379" i="1"/>
  <c r="F1379" i="1"/>
  <c r="G1379" i="1"/>
  <c r="H1379" i="1"/>
  <c r="I1379" i="1"/>
  <c r="J1379" i="1"/>
  <c r="K1379" i="1"/>
  <c r="E1380" i="1"/>
  <c r="F1380" i="1"/>
  <c r="G1380" i="1"/>
  <c r="H1380" i="1"/>
  <c r="I1380" i="1"/>
  <c r="J1380" i="1"/>
  <c r="K1380" i="1"/>
  <c r="E1381" i="1"/>
  <c r="F1381" i="1"/>
  <c r="G1381" i="1"/>
  <c r="H1381" i="1"/>
  <c r="I1381" i="1"/>
  <c r="J1381" i="1"/>
  <c r="K1381" i="1"/>
  <c r="E1382" i="1"/>
  <c r="F1382" i="1"/>
  <c r="G1382" i="1"/>
  <c r="H1382" i="1"/>
  <c r="I1382" i="1"/>
  <c r="J1382" i="1"/>
  <c r="K1382" i="1"/>
  <c r="E1383" i="1"/>
  <c r="F1383" i="1"/>
  <c r="G1383" i="1"/>
  <c r="H1383" i="1"/>
  <c r="I1383" i="1"/>
  <c r="J1383" i="1"/>
  <c r="K1383" i="1"/>
  <c r="E1384" i="1"/>
  <c r="F1384" i="1"/>
  <c r="G1384" i="1"/>
  <c r="H1384" i="1"/>
  <c r="I1384" i="1"/>
  <c r="J1384" i="1"/>
  <c r="K1384" i="1"/>
  <c r="E1385" i="1"/>
  <c r="F1385" i="1"/>
  <c r="G1385" i="1"/>
  <c r="H1385" i="1"/>
  <c r="I1385" i="1"/>
  <c r="J1385" i="1"/>
  <c r="K1385" i="1"/>
  <c r="E1386" i="1"/>
  <c r="F1386" i="1"/>
  <c r="G1386" i="1"/>
  <c r="H1386" i="1"/>
  <c r="I1386" i="1"/>
  <c r="J1386" i="1"/>
  <c r="K1386" i="1"/>
  <c r="E1387" i="1"/>
  <c r="F1387" i="1"/>
  <c r="G1387" i="1"/>
  <c r="H1387" i="1"/>
  <c r="I1387" i="1"/>
  <c r="J1387" i="1"/>
  <c r="K1387" i="1"/>
  <c r="E1388" i="1"/>
  <c r="F1388" i="1"/>
  <c r="G1388" i="1"/>
  <c r="H1388" i="1"/>
  <c r="I1388" i="1"/>
  <c r="J1388" i="1"/>
  <c r="K1388" i="1"/>
  <c r="E1389" i="1"/>
  <c r="F1389" i="1"/>
  <c r="G1389" i="1"/>
  <c r="H1389" i="1"/>
  <c r="I1389" i="1"/>
  <c r="J1389" i="1"/>
  <c r="K1389" i="1"/>
  <c r="E1390" i="1"/>
  <c r="F1390" i="1"/>
  <c r="G1390" i="1"/>
  <c r="H1390" i="1"/>
  <c r="I1390" i="1"/>
  <c r="J1390" i="1"/>
  <c r="K1390" i="1"/>
  <c r="E1391" i="1"/>
  <c r="F1391" i="1"/>
  <c r="G1391" i="1"/>
  <c r="H1391" i="1"/>
  <c r="I1391" i="1"/>
  <c r="J1391" i="1"/>
  <c r="K1391" i="1"/>
  <c r="E1392" i="1"/>
  <c r="F1392" i="1"/>
  <c r="G1392" i="1"/>
  <c r="H1392" i="1"/>
  <c r="I1392" i="1"/>
  <c r="J1392" i="1"/>
  <c r="K1392" i="1"/>
  <c r="E1393" i="1"/>
  <c r="F1393" i="1"/>
  <c r="G1393" i="1"/>
  <c r="H1393" i="1"/>
  <c r="I1393" i="1"/>
  <c r="J1393" i="1"/>
  <c r="K1393" i="1"/>
  <c r="E1394" i="1"/>
  <c r="F1394" i="1"/>
  <c r="G1394" i="1"/>
  <c r="H1394" i="1"/>
  <c r="I1394" i="1"/>
  <c r="J1394" i="1"/>
  <c r="K1394" i="1"/>
  <c r="E1395" i="1"/>
  <c r="F1395" i="1"/>
  <c r="G1395" i="1"/>
  <c r="H1395" i="1"/>
  <c r="I1395" i="1"/>
  <c r="J1395" i="1"/>
  <c r="K1395" i="1"/>
  <c r="E1396" i="1"/>
  <c r="F1396" i="1"/>
  <c r="G1396" i="1"/>
  <c r="H1396" i="1"/>
  <c r="I1396" i="1"/>
  <c r="J1396" i="1"/>
  <c r="K1396" i="1"/>
  <c r="E1397" i="1"/>
  <c r="F1397" i="1"/>
  <c r="G1397" i="1"/>
  <c r="H1397" i="1"/>
  <c r="I1397" i="1"/>
  <c r="J1397" i="1"/>
  <c r="K1397" i="1"/>
  <c r="E1398" i="1"/>
  <c r="F1398" i="1"/>
  <c r="G1398" i="1"/>
  <c r="H1398" i="1"/>
  <c r="I1398" i="1"/>
  <c r="J1398" i="1"/>
  <c r="K1398" i="1"/>
  <c r="E1399" i="1"/>
  <c r="F1399" i="1"/>
  <c r="G1399" i="1"/>
  <c r="H1399" i="1"/>
  <c r="I1399" i="1"/>
  <c r="J1399" i="1"/>
  <c r="K1399" i="1"/>
  <c r="E1400" i="1"/>
  <c r="F1400" i="1"/>
  <c r="G1400" i="1"/>
  <c r="H1400" i="1"/>
  <c r="I1400" i="1"/>
  <c r="J1400" i="1"/>
  <c r="K1400" i="1"/>
  <c r="E1401" i="1"/>
  <c r="F1401" i="1"/>
  <c r="G1401" i="1"/>
  <c r="H1401" i="1"/>
  <c r="I1401" i="1"/>
  <c r="J1401" i="1"/>
  <c r="K1401" i="1"/>
  <c r="E1402" i="1"/>
  <c r="F1402" i="1"/>
  <c r="G1402" i="1"/>
  <c r="H1402" i="1"/>
  <c r="I1402" i="1"/>
  <c r="J1402" i="1"/>
  <c r="K1402" i="1"/>
  <c r="E1403" i="1"/>
  <c r="F1403" i="1"/>
  <c r="G1403" i="1"/>
  <c r="H1403" i="1"/>
  <c r="I1403" i="1"/>
  <c r="J1403" i="1"/>
  <c r="K1403" i="1"/>
  <c r="E1404" i="1"/>
  <c r="F1404" i="1"/>
  <c r="G1404" i="1"/>
  <c r="H1404" i="1"/>
  <c r="I1404" i="1"/>
  <c r="J1404" i="1"/>
  <c r="K1404" i="1"/>
  <c r="E1405" i="1"/>
  <c r="F1405" i="1"/>
  <c r="G1405" i="1"/>
  <c r="H1405" i="1"/>
  <c r="I1405" i="1"/>
  <c r="J1405" i="1"/>
  <c r="K1405" i="1"/>
  <c r="E1406" i="1"/>
  <c r="F1406" i="1"/>
  <c r="G1406" i="1"/>
  <c r="H1406" i="1"/>
  <c r="I1406" i="1"/>
  <c r="J1406" i="1"/>
  <c r="K1406" i="1"/>
  <c r="E1407" i="1"/>
  <c r="F1407" i="1"/>
  <c r="G1407" i="1"/>
  <c r="H1407" i="1"/>
  <c r="I1407" i="1"/>
  <c r="J1407" i="1"/>
  <c r="K1407" i="1"/>
  <c r="E1408" i="1"/>
  <c r="F1408" i="1"/>
  <c r="G1408" i="1"/>
  <c r="H1408" i="1"/>
  <c r="I1408" i="1"/>
  <c r="J1408" i="1"/>
  <c r="K1408" i="1"/>
  <c r="E1409" i="1"/>
  <c r="F1409" i="1"/>
  <c r="G1409" i="1"/>
  <c r="H1409" i="1"/>
  <c r="I1409" i="1"/>
  <c r="J1409" i="1"/>
  <c r="K1409" i="1"/>
  <c r="E1410" i="1"/>
  <c r="F1410" i="1"/>
  <c r="G1410" i="1"/>
  <c r="H1410" i="1"/>
  <c r="I1410" i="1"/>
  <c r="J1410" i="1"/>
  <c r="K1410" i="1"/>
  <c r="E1411" i="1"/>
  <c r="F1411" i="1"/>
  <c r="G1411" i="1"/>
  <c r="H1411" i="1"/>
  <c r="I1411" i="1"/>
  <c r="J1411" i="1"/>
  <c r="K1411" i="1"/>
  <c r="E1412" i="1"/>
  <c r="F1412" i="1"/>
  <c r="G1412" i="1"/>
  <c r="H1412" i="1"/>
  <c r="I1412" i="1"/>
  <c r="J1412" i="1"/>
  <c r="K1412" i="1"/>
  <c r="E1413" i="1"/>
  <c r="F1413" i="1"/>
  <c r="G1413" i="1"/>
  <c r="H1413" i="1"/>
  <c r="I1413" i="1"/>
  <c r="J1413" i="1"/>
  <c r="K1413" i="1"/>
  <c r="E1414" i="1"/>
  <c r="F1414" i="1"/>
  <c r="G1414" i="1"/>
  <c r="H1414" i="1"/>
  <c r="I1414" i="1"/>
  <c r="J1414" i="1"/>
  <c r="K1414" i="1"/>
  <c r="E1415" i="1"/>
  <c r="F1415" i="1"/>
  <c r="G1415" i="1"/>
  <c r="H1415" i="1"/>
  <c r="I1415" i="1"/>
  <c r="J1415" i="1"/>
  <c r="K1415" i="1"/>
  <c r="E1416" i="1"/>
  <c r="F1416" i="1"/>
  <c r="G1416" i="1"/>
  <c r="H1416" i="1"/>
  <c r="I1416" i="1"/>
  <c r="J1416" i="1"/>
  <c r="K1416" i="1"/>
  <c r="E1417" i="1"/>
  <c r="F1417" i="1"/>
  <c r="G1417" i="1"/>
  <c r="H1417" i="1"/>
  <c r="I1417" i="1"/>
  <c r="J1417" i="1"/>
  <c r="K1417" i="1"/>
  <c r="E1418" i="1"/>
  <c r="F1418" i="1"/>
  <c r="G1418" i="1"/>
  <c r="H1418" i="1"/>
  <c r="I1418" i="1"/>
  <c r="J1418" i="1"/>
  <c r="K1418" i="1"/>
  <c r="E1419" i="1"/>
  <c r="F1419" i="1"/>
  <c r="G1419" i="1"/>
  <c r="H1419" i="1"/>
  <c r="I1419" i="1"/>
  <c r="J1419" i="1"/>
  <c r="K1419" i="1"/>
  <c r="E1420" i="1"/>
  <c r="F1420" i="1"/>
  <c r="G1420" i="1"/>
  <c r="H1420" i="1"/>
  <c r="I1420" i="1"/>
  <c r="J1420" i="1"/>
  <c r="K1420" i="1"/>
  <c r="E1421" i="1"/>
  <c r="F1421" i="1"/>
  <c r="G1421" i="1"/>
  <c r="H1421" i="1"/>
  <c r="I1421" i="1"/>
  <c r="J1421" i="1"/>
  <c r="K1421" i="1"/>
  <c r="E1422" i="1"/>
  <c r="F1422" i="1"/>
  <c r="G1422" i="1"/>
  <c r="H1422" i="1"/>
  <c r="I1422" i="1"/>
  <c r="J1422" i="1"/>
  <c r="K1422" i="1"/>
  <c r="E1423" i="1"/>
  <c r="F1423" i="1"/>
  <c r="G1423" i="1"/>
  <c r="H1423" i="1"/>
  <c r="I1423" i="1"/>
  <c r="J1423" i="1"/>
  <c r="K1423" i="1"/>
  <c r="E1424" i="1"/>
  <c r="F1424" i="1"/>
  <c r="G1424" i="1"/>
  <c r="H1424" i="1"/>
  <c r="I1424" i="1"/>
  <c r="J1424" i="1"/>
  <c r="K1424" i="1"/>
  <c r="E1425" i="1"/>
  <c r="F1425" i="1"/>
  <c r="G1425" i="1"/>
  <c r="H1425" i="1"/>
  <c r="I1425" i="1"/>
  <c r="J1425" i="1"/>
  <c r="K1425" i="1"/>
  <c r="E1426" i="1"/>
  <c r="F1426" i="1"/>
  <c r="G1426" i="1"/>
  <c r="H1426" i="1"/>
  <c r="I1426" i="1"/>
  <c r="J1426" i="1"/>
  <c r="K1426" i="1"/>
  <c r="E1427" i="1"/>
  <c r="F1427" i="1"/>
  <c r="G1427" i="1"/>
  <c r="H1427" i="1"/>
  <c r="I1427" i="1"/>
  <c r="J1427" i="1"/>
  <c r="K1427" i="1"/>
  <c r="E1428" i="1"/>
  <c r="F1428" i="1"/>
  <c r="G1428" i="1"/>
  <c r="H1428" i="1"/>
  <c r="I1428" i="1"/>
  <c r="J1428" i="1"/>
  <c r="K1428" i="1"/>
  <c r="E1429" i="1"/>
  <c r="F1429" i="1"/>
  <c r="G1429" i="1"/>
  <c r="H1429" i="1"/>
  <c r="I1429" i="1"/>
  <c r="J1429" i="1"/>
  <c r="K1429" i="1"/>
  <c r="E1430" i="1"/>
  <c r="F1430" i="1"/>
  <c r="G1430" i="1"/>
  <c r="H1430" i="1"/>
  <c r="I1430" i="1"/>
  <c r="J1430" i="1"/>
  <c r="K1430" i="1"/>
  <c r="E1431" i="1"/>
  <c r="F1431" i="1"/>
  <c r="G1431" i="1"/>
  <c r="H1431" i="1"/>
  <c r="I1431" i="1"/>
  <c r="J1431" i="1"/>
  <c r="K1431" i="1"/>
  <c r="E1432" i="1"/>
  <c r="F1432" i="1"/>
  <c r="G1432" i="1"/>
  <c r="H1432" i="1"/>
  <c r="I1432" i="1"/>
  <c r="J1432" i="1"/>
  <c r="K1432" i="1"/>
  <c r="E1433" i="1"/>
  <c r="F1433" i="1"/>
  <c r="G1433" i="1"/>
  <c r="H1433" i="1"/>
  <c r="I1433" i="1"/>
  <c r="J1433" i="1"/>
  <c r="K1433" i="1"/>
  <c r="E1434" i="1"/>
  <c r="F1434" i="1"/>
  <c r="G1434" i="1"/>
  <c r="H1434" i="1"/>
  <c r="I1434" i="1"/>
  <c r="J1434" i="1"/>
  <c r="K1434" i="1"/>
  <c r="E1435" i="1"/>
  <c r="F1435" i="1"/>
  <c r="G1435" i="1"/>
  <c r="H1435" i="1"/>
  <c r="I1435" i="1"/>
  <c r="J1435" i="1"/>
  <c r="K1435" i="1"/>
  <c r="E1436" i="1"/>
  <c r="F1436" i="1"/>
  <c r="G1436" i="1"/>
  <c r="H1436" i="1"/>
  <c r="I1436" i="1"/>
  <c r="J1436" i="1"/>
  <c r="K1436" i="1"/>
  <c r="E1437" i="1"/>
  <c r="F1437" i="1"/>
  <c r="G1437" i="1"/>
  <c r="H1437" i="1"/>
  <c r="I1437" i="1"/>
  <c r="J1437" i="1"/>
  <c r="K1437" i="1"/>
  <c r="E1438" i="1"/>
  <c r="F1438" i="1"/>
  <c r="G1438" i="1"/>
  <c r="H1438" i="1"/>
  <c r="I1438" i="1"/>
  <c r="J1438" i="1"/>
  <c r="K1438" i="1"/>
  <c r="E1439" i="1"/>
  <c r="F1439" i="1"/>
  <c r="G1439" i="1"/>
  <c r="H1439" i="1"/>
  <c r="I1439" i="1"/>
  <c r="J1439" i="1"/>
  <c r="K1439" i="1"/>
  <c r="E1440" i="1"/>
  <c r="F1440" i="1"/>
  <c r="G1440" i="1"/>
  <c r="H1440" i="1"/>
  <c r="I1440" i="1"/>
  <c r="J1440" i="1"/>
  <c r="K1440" i="1"/>
  <c r="E1441" i="1"/>
  <c r="F1441" i="1"/>
  <c r="G1441" i="1"/>
  <c r="H1441" i="1"/>
  <c r="I1441" i="1"/>
  <c r="J1441" i="1"/>
  <c r="K1441" i="1"/>
  <c r="E1442" i="1"/>
  <c r="F1442" i="1"/>
  <c r="G1442" i="1"/>
  <c r="H1442" i="1"/>
  <c r="I1442" i="1"/>
  <c r="J1442" i="1"/>
  <c r="K1442" i="1"/>
  <c r="E1443" i="1"/>
  <c r="F1443" i="1"/>
  <c r="G1443" i="1"/>
  <c r="H1443" i="1"/>
  <c r="I1443" i="1"/>
  <c r="J1443" i="1"/>
  <c r="K1443" i="1"/>
  <c r="E1444" i="1"/>
  <c r="F1444" i="1"/>
  <c r="G1444" i="1"/>
  <c r="H1444" i="1"/>
  <c r="I1444" i="1"/>
  <c r="J1444" i="1"/>
  <c r="K1444" i="1"/>
  <c r="E1445" i="1"/>
  <c r="F1445" i="1"/>
  <c r="G1445" i="1"/>
  <c r="H1445" i="1"/>
  <c r="I1445" i="1"/>
  <c r="J1445" i="1"/>
  <c r="K1445" i="1"/>
  <c r="E1446" i="1"/>
  <c r="F1446" i="1"/>
  <c r="G1446" i="1"/>
  <c r="H1446" i="1"/>
  <c r="I1446" i="1"/>
  <c r="J1446" i="1"/>
  <c r="K1446" i="1"/>
  <c r="E1447" i="1"/>
  <c r="F1447" i="1"/>
  <c r="G1447" i="1"/>
  <c r="H1447" i="1"/>
  <c r="I1447" i="1"/>
  <c r="J1447" i="1"/>
  <c r="K1447" i="1"/>
  <c r="E1448" i="1"/>
  <c r="F1448" i="1"/>
  <c r="G1448" i="1"/>
  <c r="H1448" i="1"/>
  <c r="I1448" i="1"/>
  <c r="J1448" i="1"/>
  <c r="K1448" i="1"/>
  <c r="E1449" i="1"/>
  <c r="F1449" i="1"/>
  <c r="G1449" i="1"/>
  <c r="H1449" i="1"/>
  <c r="I1449" i="1"/>
  <c r="J1449" i="1"/>
  <c r="K1449" i="1"/>
  <c r="E1450" i="1"/>
  <c r="F1450" i="1"/>
  <c r="G1450" i="1"/>
  <c r="H1450" i="1"/>
  <c r="I1450" i="1"/>
  <c r="J1450" i="1"/>
  <c r="K1450" i="1"/>
  <c r="E1451" i="1"/>
  <c r="F1451" i="1"/>
  <c r="G1451" i="1"/>
  <c r="H1451" i="1"/>
  <c r="I1451" i="1"/>
  <c r="J1451" i="1"/>
  <c r="K1451" i="1"/>
  <c r="E1452" i="1"/>
  <c r="F1452" i="1"/>
  <c r="G1452" i="1"/>
  <c r="H1452" i="1"/>
  <c r="I1452" i="1"/>
  <c r="J1452" i="1"/>
  <c r="K1452" i="1"/>
  <c r="E1453" i="1"/>
  <c r="F1453" i="1"/>
  <c r="G1453" i="1"/>
  <c r="H1453" i="1"/>
  <c r="I1453" i="1"/>
  <c r="J1453" i="1"/>
  <c r="K1453" i="1"/>
  <c r="E1454" i="1"/>
  <c r="F1454" i="1"/>
  <c r="G1454" i="1"/>
  <c r="H1454" i="1"/>
  <c r="I1454" i="1"/>
  <c r="J1454" i="1"/>
  <c r="K1454" i="1"/>
  <c r="E1455" i="1"/>
  <c r="F1455" i="1"/>
  <c r="G1455" i="1"/>
  <c r="H1455" i="1"/>
  <c r="I1455" i="1"/>
  <c r="J1455" i="1"/>
  <c r="K1455" i="1"/>
  <c r="E1456" i="1"/>
  <c r="F1456" i="1"/>
  <c r="G1456" i="1"/>
  <c r="H1456" i="1"/>
  <c r="I1456" i="1"/>
  <c r="J1456" i="1"/>
  <c r="K1456" i="1"/>
  <c r="E1457" i="1"/>
  <c r="F1457" i="1"/>
  <c r="G1457" i="1"/>
  <c r="H1457" i="1"/>
  <c r="I1457" i="1"/>
  <c r="J1457" i="1"/>
  <c r="K1457" i="1"/>
  <c r="E1458" i="1"/>
  <c r="F1458" i="1"/>
  <c r="G1458" i="1"/>
  <c r="H1458" i="1"/>
  <c r="I1458" i="1"/>
  <c r="J1458" i="1"/>
  <c r="K1458" i="1"/>
  <c r="E1459" i="1"/>
  <c r="F1459" i="1"/>
  <c r="G1459" i="1"/>
  <c r="H1459" i="1"/>
  <c r="I1459" i="1"/>
  <c r="J1459" i="1"/>
  <c r="K1459" i="1"/>
  <c r="E1460" i="1"/>
  <c r="F1460" i="1"/>
  <c r="G1460" i="1"/>
  <c r="H1460" i="1"/>
  <c r="I1460" i="1"/>
  <c r="J1460" i="1"/>
  <c r="K1460" i="1"/>
  <c r="E1461" i="1"/>
  <c r="F1461" i="1"/>
  <c r="G1461" i="1"/>
  <c r="H1461" i="1"/>
  <c r="I1461" i="1"/>
  <c r="J1461" i="1"/>
  <c r="K1461" i="1"/>
  <c r="E1462" i="1"/>
  <c r="F1462" i="1"/>
  <c r="G1462" i="1"/>
  <c r="H1462" i="1"/>
  <c r="I1462" i="1"/>
  <c r="J1462" i="1"/>
  <c r="K1462" i="1"/>
  <c r="E1463" i="1"/>
  <c r="F1463" i="1"/>
  <c r="G1463" i="1"/>
  <c r="H1463" i="1"/>
  <c r="I1463" i="1"/>
  <c r="J1463" i="1"/>
  <c r="K1463" i="1"/>
  <c r="E1464" i="1"/>
  <c r="F1464" i="1"/>
  <c r="G1464" i="1"/>
  <c r="H1464" i="1"/>
  <c r="I1464" i="1"/>
  <c r="J1464" i="1"/>
  <c r="K1464" i="1"/>
  <c r="E1465" i="1"/>
  <c r="F1465" i="1"/>
  <c r="G1465" i="1"/>
  <c r="H1465" i="1"/>
  <c r="I1465" i="1"/>
  <c r="J1465" i="1"/>
  <c r="K1465" i="1"/>
  <c r="E1466" i="1"/>
  <c r="F1466" i="1"/>
  <c r="G1466" i="1"/>
  <c r="H1466" i="1"/>
  <c r="I1466" i="1"/>
  <c r="J1466" i="1"/>
  <c r="K1466" i="1"/>
  <c r="E1467" i="1"/>
  <c r="F1467" i="1"/>
  <c r="G1467" i="1"/>
  <c r="H1467" i="1"/>
  <c r="I1467" i="1"/>
  <c r="J1467" i="1"/>
  <c r="K1467" i="1"/>
  <c r="E1468" i="1"/>
  <c r="F1468" i="1"/>
  <c r="G1468" i="1"/>
  <c r="H1468" i="1"/>
  <c r="I1468" i="1"/>
  <c r="J1468" i="1"/>
  <c r="K1468" i="1"/>
  <c r="E1469" i="1"/>
  <c r="F1469" i="1"/>
  <c r="G1469" i="1"/>
  <c r="H1469" i="1"/>
  <c r="I1469" i="1"/>
  <c r="J1469" i="1"/>
  <c r="K1469" i="1"/>
  <c r="E1470" i="1"/>
  <c r="F1470" i="1"/>
  <c r="G1470" i="1"/>
  <c r="H1470" i="1"/>
  <c r="I1470" i="1"/>
  <c r="J1470" i="1"/>
  <c r="K1470" i="1"/>
  <c r="E1471" i="1"/>
  <c r="F1471" i="1"/>
  <c r="G1471" i="1"/>
  <c r="H1471" i="1"/>
  <c r="I1471" i="1"/>
  <c r="J1471" i="1"/>
  <c r="K1471" i="1"/>
  <c r="E1472" i="1"/>
  <c r="F1472" i="1"/>
  <c r="G1472" i="1"/>
  <c r="H1472" i="1"/>
  <c r="I1472" i="1"/>
  <c r="J1472" i="1"/>
  <c r="K1472" i="1"/>
  <c r="E1473" i="1"/>
  <c r="F1473" i="1"/>
  <c r="G1473" i="1"/>
  <c r="H1473" i="1"/>
  <c r="I1473" i="1"/>
  <c r="J1473" i="1"/>
  <c r="K1473" i="1"/>
  <c r="E1474" i="1"/>
  <c r="F1474" i="1"/>
  <c r="G1474" i="1"/>
  <c r="H1474" i="1"/>
  <c r="I1474" i="1"/>
  <c r="J1474" i="1"/>
  <c r="K1474" i="1"/>
  <c r="E1475" i="1"/>
  <c r="F1475" i="1"/>
  <c r="G1475" i="1"/>
  <c r="H1475" i="1"/>
  <c r="I1475" i="1"/>
  <c r="J1475" i="1"/>
  <c r="K1475" i="1"/>
  <c r="E1476" i="1"/>
  <c r="F1476" i="1"/>
  <c r="G1476" i="1"/>
  <c r="H1476" i="1"/>
  <c r="I1476" i="1"/>
  <c r="J1476" i="1"/>
  <c r="K1476" i="1"/>
  <c r="E1477" i="1"/>
  <c r="F1477" i="1"/>
  <c r="G1477" i="1"/>
  <c r="H1477" i="1"/>
  <c r="I1477" i="1"/>
  <c r="J1477" i="1"/>
  <c r="K1477" i="1"/>
  <c r="E1478" i="1"/>
  <c r="F1478" i="1"/>
  <c r="G1478" i="1"/>
  <c r="H1478" i="1"/>
  <c r="I1478" i="1"/>
  <c r="J1478" i="1"/>
  <c r="K1478" i="1"/>
  <c r="E1479" i="1"/>
  <c r="F1479" i="1"/>
  <c r="G1479" i="1"/>
  <c r="H1479" i="1"/>
  <c r="I1479" i="1"/>
  <c r="J1479" i="1"/>
  <c r="K1479" i="1"/>
  <c r="E1480" i="1"/>
  <c r="F1480" i="1"/>
  <c r="G1480" i="1"/>
  <c r="H1480" i="1"/>
  <c r="I1480" i="1"/>
  <c r="J1480" i="1"/>
  <c r="K1480" i="1"/>
  <c r="E1481" i="1"/>
  <c r="F1481" i="1"/>
  <c r="G1481" i="1"/>
  <c r="H1481" i="1"/>
  <c r="I1481" i="1"/>
  <c r="J1481" i="1"/>
  <c r="K1481" i="1"/>
  <c r="E1482" i="1"/>
  <c r="F1482" i="1"/>
  <c r="G1482" i="1"/>
  <c r="H1482" i="1"/>
  <c r="I1482" i="1"/>
  <c r="J1482" i="1"/>
  <c r="K1482" i="1"/>
  <c r="E1483" i="1"/>
  <c r="F1483" i="1"/>
  <c r="G1483" i="1"/>
  <c r="H1483" i="1"/>
  <c r="I1483" i="1"/>
  <c r="J1483" i="1"/>
  <c r="K1483" i="1"/>
  <c r="E1484" i="1"/>
  <c r="F1484" i="1"/>
  <c r="G1484" i="1"/>
  <c r="H1484" i="1"/>
  <c r="I1484" i="1"/>
  <c r="J1484" i="1"/>
  <c r="K1484" i="1"/>
  <c r="E1485" i="1"/>
  <c r="F1485" i="1"/>
  <c r="G1485" i="1"/>
  <c r="H1485" i="1"/>
  <c r="I1485" i="1"/>
  <c r="J1485" i="1"/>
  <c r="K1485" i="1"/>
  <c r="E1486" i="1"/>
  <c r="F1486" i="1"/>
  <c r="G1486" i="1"/>
  <c r="H1486" i="1"/>
  <c r="I1486" i="1"/>
  <c r="J1486" i="1"/>
  <c r="K1486" i="1"/>
  <c r="E1487" i="1"/>
  <c r="F1487" i="1"/>
  <c r="G1487" i="1"/>
  <c r="H1487" i="1"/>
  <c r="I1487" i="1"/>
  <c r="J1487" i="1"/>
  <c r="K1487" i="1"/>
  <c r="E1488" i="1"/>
  <c r="F1488" i="1"/>
  <c r="G1488" i="1"/>
  <c r="H1488" i="1"/>
  <c r="I1488" i="1"/>
  <c r="J1488" i="1"/>
  <c r="K1488" i="1"/>
  <c r="E1489" i="1"/>
  <c r="F1489" i="1"/>
  <c r="G1489" i="1"/>
  <c r="H1489" i="1"/>
  <c r="I1489" i="1"/>
  <c r="J1489" i="1"/>
  <c r="K1489" i="1"/>
  <c r="E1490" i="1"/>
  <c r="F1490" i="1"/>
  <c r="G1490" i="1"/>
  <c r="H1490" i="1"/>
  <c r="I1490" i="1"/>
  <c r="J1490" i="1"/>
  <c r="K1490" i="1"/>
  <c r="E1491" i="1"/>
  <c r="F1491" i="1"/>
  <c r="G1491" i="1"/>
  <c r="H1491" i="1"/>
  <c r="I1491" i="1"/>
  <c r="J1491" i="1"/>
  <c r="K1491" i="1"/>
  <c r="E1492" i="1"/>
  <c r="F1492" i="1"/>
  <c r="G1492" i="1"/>
  <c r="H1492" i="1"/>
  <c r="I1492" i="1"/>
  <c r="J1492" i="1"/>
  <c r="K1492" i="1"/>
  <c r="E1493" i="1"/>
  <c r="F1493" i="1"/>
  <c r="G1493" i="1"/>
  <c r="H1493" i="1"/>
  <c r="I1493" i="1"/>
  <c r="J1493" i="1"/>
  <c r="K1493" i="1"/>
  <c r="E1494" i="1"/>
  <c r="F1494" i="1"/>
  <c r="G1494" i="1"/>
  <c r="H1494" i="1"/>
  <c r="I1494" i="1"/>
  <c r="J1494" i="1"/>
  <c r="K1494" i="1"/>
  <c r="E1495" i="1"/>
  <c r="F1495" i="1"/>
  <c r="G1495" i="1"/>
  <c r="H1495" i="1"/>
  <c r="I1495" i="1"/>
  <c r="J1495" i="1"/>
  <c r="K1495" i="1"/>
  <c r="E1496" i="1"/>
  <c r="F1496" i="1"/>
  <c r="G1496" i="1"/>
  <c r="H1496" i="1"/>
  <c r="I1496" i="1"/>
  <c r="J1496" i="1"/>
  <c r="K1496" i="1"/>
  <c r="E1497" i="1"/>
  <c r="F1497" i="1"/>
  <c r="G1497" i="1"/>
  <c r="H1497" i="1"/>
  <c r="I1497" i="1"/>
  <c r="J1497" i="1"/>
  <c r="K1497" i="1"/>
  <c r="E1498" i="1"/>
  <c r="F1498" i="1"/>
  <c r="G1498" i="1"/>
  <c r="H1498" i="1"/>
  <c r="I1498" i="1"/>
  <c r="J1498" i="1"/>
  <c r="K1498" i="1"/>
  <c r="E1499" i="1"/>
  <c r="F1499" i="1"/>
  <c r="G1499" i="1"/>
  <c r="H1499" i="1"/>
  <c r="I1499" i="1"/>
  <c r="J1499" i="1"/>
  <c r="K1499" i="1"/>
  <c r="E1500" i="1"/>
  <c r="F1500" i="1"/>
  <c r="G1500" i="1"/>
  <c r="H1500" i="1"/>
  <c r="I1500" i="1"/>
  <c r="J1500" i="1"/>
  <c r="K1500" i="1"/>
  <c r="E1501" i="1"/>
  <c r="F1501" i="1"/>
  <c r="G1501" i="1"/>
  <c r="H1501" i="1"/>
  <c r="I1501" i="1"/>
  <c r="J1501" i="1"/>
  <c r="K1501" i="1"/>
  <c r="E1502" i="1"/>
  <c r="F1502" i="1"/>
  <c r="G1502" i="1"/>
  <c r="H1502" i="1"/>
  <c r="I1502" i="1"/>
  <c r="J1502" i="1"/>
  <c r="K1502" i="1"/>
  <c r="E1503" i="1"/>
  <c r="F1503" i="1"/>
  <c r="G1503" i="1"/>
  <c r="H1503" i="1"/>
  <c r="I1503" i="1"/>
  <c r="J1503" i="1"/>
  <c r="K1503" i="1"/>
  <c r="E1504" i="1"/>
  <c r="F1504" i="1"/>
  <c r="G1504" i="1"/>
  <c r="H1504" i="1"/>
  <c r="I1504" i="1"/>
  <c r="J1504" i="1"/>
  <c r="K1504" i="1"/>
  <c r="E1505" i="1"/>
  <c r="F1505" i="1"/>
  <c r="G1505" i="1"/>
  <c r="H1505" i="1"/>
  <c r="I1505" i="1"/>
  <c r="J1505" i="1"/>
  <c r="K1505" i="1"/>
  <c r="E1506" i="1"/>
  <c r="F1506" i="1"/>
  <c r="G1506" i="1"/>
  <c r="H1506" i="1"/>
  <c r="I1506" i="1"/>
  <c r="J1506" i="1"/>
  <c r="K1506" i="1"/>
  <c r="E1507" i="1"/>
  <c r="F1507" i="1"/>
  <c r="G1507" i="1"/>
  <c r="H1507" i="1"/>
  <c r="I1507" i="1"/>
  <c r="J1507" i="1"/>
  <c r="K1507" i="1"/>
  <c r="E1508" i="1"/>
  <c r="F1508" i="1"/>
  <c r="G1508" i="1"/>
  <c r="H1508" i="1"/>
  <c r="I1508" i="1"/>
  <c r="J1508" i="1"/>
  <c r="K1508" i="1"/>
  <c r="E1509" i="1"/>
  <c r="F1509" i="1"/>
  <c r="G1509" i="1"/>
  <c r="H1509" i="1"/>
  <c r="I1509" i="1"/>
  <c r="J1509" i="1"/>
  <c r="K1509" i="1"/>
  <c r="E1510" i="1"/>
  <c r="F1510" i="1"/>
  <c r="G1510" i="1"/>
  <c r="H1510" i="1"/>
  <c r="I1510" i="1"/>
  <c r="J1510" i="1"/>
  <c r="K1510" i="1"/>
  <c r="E1511" i="1"/>
  <c r="F1511" i="1"/>
  <c r="G1511" i="1"/>
  <c r="H1511" i="1"/>
  <c r="I1511" i="1"/>
  <c r="J1511" i="1"/>
  <c r="K1511" i="1"/>
  <c r="E1512" i="1"/>
  <c r="F1512" i="1"/>
  <c r="G1512" i="1"/>
  <c r="H1512" i="1"/>
  <c r="I1512" i="1"/>
  <c r="J1512" i="1"/>
  <c r="K1512" i="1"/>
  <c r="E1513" i="1"/>
  <c r="F1513" i="1"/>
  <c r="G1513" i="1"/>
  <c r="H1513" i="1"/>
  <c r="I1513" i="1"/>
  <c r="J1513" i="1"/>
  <c r="K1513" i="1"/>
  <c r="E1514" i="1"/>
  <c r="F1514" i="1"/>
  <c r="G1514" i="1"/>
  <c r="H1514" i="1"/>
  <c r="I1514" i="1"/>
  <c r="J1514" i="1"/>
  <c r="K1514" i="1"/>
  <c r="E1515" i="1"/>
  <c r="F1515" i="1"/>
  <c r="G1515" i="1"/>
  <c r="H1515" i="1"/>
  <c r="I1515" i="1"/>
  <c r="J1515" i="1"/>
  <c r="K1515" i="1"/>
  <c r="E1516" i="1"/>
  <c r="F1516" i="1"/>
  <c r="G1516" i="1"/>
  <c r="H1516" i="1"/>
  <c r="I1516" i="1"/>
  <c r="J1516" i="1"/>
  <c r="K1516" i="1"/>
  <c r="E1517" i="1"/>
  <c r="F1517" i="1"/>
  <c r="G1517" i="1"/>
  <c r="H1517" i="1"/>
  <c r="I1517" i="1"/>
  <c r="J1517" i="1"/>
  <c r="K1517" i="1"/>
  <c r="E1518" i="1"/>
  <c r="F1518" i="1"/>
  <c r="G1518" i="1"/>
  <c r="H1518" i="1"/>
  <c r="I1518" i="1"/>
  <c r="J1518" i="1"/>
  <c r="K1518" i="1"/>
  <c r="E1519" i="1"/>
  <c r="F1519" i="1"/>
  <c r="G1519" i="1"/>
  <c r="H1519" i="1"/>
  <c r="I1519" i="1"/>
  <c r="J1519" i="1"/>
  <c r="K1519" i="1"/>
  <c r="E1520" i="1"/>
  <c r="F1520" i="1"/>
  <c r="G1520" i="1"/>
  <c r="H1520" i="1"/>
  <c r="I1520" i="1"/>
  <c r="J1520" i="1"/>
  <c r="K1520" i="1"/>
  <c r="E1521" i="1"/>
  <c r="F1521" i="1"/>
  <c r="G1521" i="1"/>
  <c r="H1521" i="1"/>
  <c r="I1521" i="1"/>
  <c r="J1521" i="1"/>
  <c r="K1521" i="1"/>
  <c r="E1522" i="1"/>
  <c r="F1522" i="1"/>
  <c r="G1522" i="1"/>
  <c r="H1522" i="1"/>
  <c r="I1522" i="1"/>
  <c r="J1522" i="1"/>
  <c r="K1522" i="1"/>
  <c r="E1523" i="1"/>
  <c r="F1523" i="1"/>
  <c r="G1523" i="1"/>
  <c r="H1523" i="1"/>
  <c r="I1523" i="1"/>
  <c r="J1523" i="1"/>
  <c r="K1523" i="1"/>
  <c r="E1524" i="1"/>
  <c r="F1524" i="1"/>
  <c r="G1524" i="1"/>
  <c r="H1524" i="1"/>
  <c r="I1524" i="1"/>
  <c r="J1524" i="1"/>
  <c r="K1524" i="1"/>
  <c r="E1525" i="1"/>
  <c r="F1525" i="1"/>
  <c r="G1525" i="1"/>
  <c r="H1525" i="1"/>
  <c r="I1525" i="1"/>
  <c r="J1525" i="1"/>
  <c r="K1525" i="1"/>
  <c r="E1526" i="1"/>
  <c r="F1526" i="1"/>
  <c r="G1526" i="1"/>
  <c r="H1526" i="1"/>
  <c r="I1526" i="1"/>
  <c r="J1526" i="1"/>
  <c r="K1526" i="1"/>
  <c r="E1527" i="1"/>
  <c r="F1527" i="1"/>
  <c r="G1527" i="1"/>
  <c r="H1527" i="1"/>
  <c r="I1527" i="1"/>
  <c r="J1527" i="1"/>
  <c r="K1527" i="1"/>
  <c r="E1528" i="1"/>
  <c r="F1528" i="1"/>
  <c r="G1528" i="1"/>
  <c r="H1528" i="1"/>
  <c r="I1528" i="1"/>
  <c r="J1528" i="1"/>
  <c r="K1528" i="1"/>
  <c r="E1529" i="1"/>
  <c r="F1529" i="1"/>
  <c r="G1529" i="1"/>
  <c r="H1529" i="1"/>
  <c r="I1529" i="1"/>
  <c r="J1529" i="1"/>
  <c r="K1529" i="1"/>
  <c r="E1530" i="1"/>
  <c r="F1530" i="1"/>
  <c r="G1530" i="1"/>
  <c r="H1530" i="1"/>
  <c r="I1530" i="1"/>
  <c r="J1530" i="1"/>
  <c r="K1530" i="1"/>
  <c r="E1531" i="1"/>
  <c r="F1531" i="1"/>
  <c r="G1531" i="1"/>
  <c r="H1531" i="1"/>
  <c r="I1531" i="1"/>
  <c r="J1531" i="1"/>
  <c r="K1531" i="1"/>
  <c r="E1532" i="1"/>
  <c r="F1532" i="1"/>
  <c r="G1532" i="1"/>
  <c r="H1532" i="1"/>
  <c r="I1532" i="1"/>
  <c r="J1532" i="1"/>
  <c r="K1532" i="1"/>
  <c r="E1533" i="1"/>
  <c r="F1533" i="1"/>
  <c r="G1533" i="1"/>
  <c r="H1533" i="1"/>
  <c r="I1533" i="1"/>
  <c r="J1533" i="1"/>
  <c r="K1533" i="1"/>
  <c r="E1534" i="1"/>
  <c r="F1534" i="1"/>
  <c r="G1534" i="1"/>
  <c r="H1534" i="1"/>
  <c r="I1534" i="1"/>
  <c r="J1534" i="1"/>
  <c r="K1534" i="1"/>
  <c r="E1535" i="1"/>
  <c r="F1535" i="1"/>
  <c r="G1535" i="1"/>
  <c r="H1535" i="1"/>
  <c r="I1535" i="1"/>
  <c r="J1535" i="1"/>
  <c r="K1535" i="1"/>
  <c r="E1536" i="1"/>
  <c r="F1536" i="1"/>
  <c r="G1536" i="1"/>
  <c r="H1536" i="1"/>
  <c r="I1536" i="1"/>
  <c r="J1536" i="1"/>
  <c r="K1536" i="1"/>
  <c r="E1537" i="1"/>
  <c r="F1537" i="1"/>
  <c r="G1537" i="1"/>
  <c r="H1537" i="1"/>
  <c r="I1537" i="1"/>
  <c r="J1537" i="1"/>
  <c r="K1537" i="1"/>
  <c r="E1538" i="1"/>
  <c r="F1538" i="1"/>
  <c r="G1538" i="1"/>
  <c r="H1538" i="1"/>
  <c r="I1538" i="1"/>
  <c r="J1538" i="1"/>
  <c r="K1538" i="1"/>
  <c r="E1539" i="1"/>
  <c r="F1539" i="1"/>
  <c r="G1539" i="1"/>
  <c r="H1539" i="1"/>
  <c r="I1539" i="1"/>
  <c r="J1539" i="1"/>
  <c r="K1539" i="1"/>
  <c r="E1540" i="1"/>
  <c r="F1540" i="1"/>
  <c r="G1540" i="1"/>
  <c r="H1540" i="1"/>
  <c r="I1540" i="1"/>
  <c r="J1540" i="1"/>
  <c r="K1540" i="1"/>
  <c r="E1541" i="1"/>
  <c r="F1541" i="1"/>
  <c r="G1541" i="1"/>
  <c r="H1541" i="1"/>
  <c r="I1541" i="1"/>
  <c r="J1541" i="1"/>
  <c r="K1541" i="1"/>
  <c r="E1542" i="1"/>
  <c r="F1542" i="1"/>
  <c r="G1542" i="1"/>
  <c r="H1542" i="1"/>
  <c r="I1542" i="1"/>
  <c r="J1542" i="1"/>
  <c r="K1542" i="1"/>
  <c r="E1543" i="1"/>
  <c r="F1543" i="1"/>
  <c r="G1543" i="1"/>
  <c r="H1543" i="1"/>
  <c r="I1543" i="1"/>
  <c r="J1543" i="1"/>
  <c r="K1543" i="1"/>
  <c r="E1544" i="1"/>
  <c r="F1544" i="1"/>
  <c r="G1544" i="1"/>
  <c r="H1544" i="1"/>
  <c r="I1544" i="1"/>
  <c r="J1544" i="1"/>
  <c r="K1544" i="1"/>
  <c r="E1545" i="1"/>
  <c r="F1545" i="1"/>
  <c r="G1545" i="1"/>
  <c r="H1545" i="1"/>
  <c r="I1545" i="1"/>
  <c r="J1545" i="1"/>
  <c r="K1545" i="1"/>
  <c r="E1546" i="1"/>
  <c r="F1546" i="1"/>
  <c r="G1546" i="1"/>
  <c r="H1546" i="1"/>
  <c r="I1546" i="1"/>
  <c r="J1546" i="1"/>
  <c r="K1546" i="1"/>
  <c r="E1547" i="1"/>
  <c r="F1547" i="1"/>
  <c r="G1547" i="1"/>
  <c r="H1547" i="1"/>
  <c r="I1547" i="1"/>
  <c r="J1547" i="1"/>
  <c r="K1547" i="1"/>
  <c r="E1548" i="1"/>
  <c r="F1548" i="1"/>
  <c r="G1548" i="1"/>
  <c r="H1548" i="1"/>
  <c r="I1548" i="1"/>
  <c r="J1548" i="1"/>
  <c r="K1548" i="1"/>
  <c r="E1549" i="1"/>
  <c r="F1549" i="1"/>
  <c r="G1549" i="1"/>
  <c r="H1549" i="1"/>
  <c r="I1549" i="1"/>
  <c r="J1549" i="1"/>
  <c r="K1549" i="1"/>
  <c r="E1550" i="1"/>
  <c r="F1550" i="1"/>
  <c r="G1550" i="1"/>
  <c r="H1550" i="1"/>
  <c r="I1550" i="1"/>
  <c r="J1550" i="1"/>
  <c r="K1550" i="1"/>
  <c r="E1551" i="1"/>
  <c r="F1551" i="1"/>
  <c r="G1551" i="1"/>
  <c r="H1551" i="1"/>
  <c r="I1551" i="1"/>
  <c r="J1551" i="1"/>
  <c r="K1551" i="1"/>
  <c r="E1552" i="1"/>
  <c r="F1552" i="1"/>
  <c r="G1552" i="1"/>
  <c r="H1552" i="1"/>
  <c r="I1552" i="1"/>
  <c r="J1552" i="1"/>
  <c r="K1552" i="1"/>
  <c r="E1553" i="1"/>
  <c r="F1553" i="1"/>
  <c r="G1553" i="1"/>
  <c r="H1553" i="1"/>
  <c r="I1553" i="1"/>
  <c r="J1553" i="1"/>
  <c r="K1553" i="1"/>
  <c r="E1554" i="1"/>
  <c r="F1554" i="1"/>
  <c r="G1554" i="1"/>
  <c r="H1554" i="1"/>
  <c r="I1554" i="1"/>
  <c r="J1554" i="1"/>
  <c r="K1554" i="1"/>
  <c r="E1555" i="1"/>
  <c r="F1555" i="1"/>
  <c r="G1555" i="1"/>
  <c r="H1555" i="1"/>
  <c r="I1555" i="1"/>
  <c r="J1555" i="1"/>
  <c r="K1555" i="1"/>
  <c r="E1556" i="1"/>
  <c r="F1556" i="1"/>
  <c r="G1556" i="1"/>
  <c r="H1556" i="1"/>
  <c r="I1556" i="1"/>
  <c r="J1556" i="1"/>
  <c r="K1556" i="1"/>
  <c r="E1557" i="1"/>
  <c r="F1557" i="1"/>
  <c r="G1557" i="1"/>
  <c r="H1557" i="1"/>
  <c r="I1557" i="1"/>
  <c r="J1557" i="1"/>
  <c r="K1557" i="1"/>
  <c r="E1558" i="1"/>
  <c r="F1558" i="1"/>
  <c r="G1558" i="1"/>
  <c r="H1558" i="1"/>
  <c r="I1558" i="1"/>
  <c r="J1558" i="1"/>
  <c r="K1558" i="1"/>
  <c r="E1559" i="1"/>
  <c r="F1559" i="1"/>
  <c r="G1559" i="1"/>
  <c r="H1559" i="1"/>
  <c r="I1559" i="1"/>
  <c r="J1559" i="1"/>
  <c r="K1559" i="1"/>
  <c r="E1560" i="1"/>
  <c r="F1560" i="1"/>
  <c r="G1560" i="1"/>
  <c r="H1560" i="1"/>
  <c r="I1560" i="1"/>
  <c r="J1560" i="1"/>
  <c r="K1560" i="1"/>
  <c r="E1561" i="1"/>
  <c r="F1561" i="1"/>
  <c r="G1561" i="1"/>
  <c r="H1561" i="1"/>
  <c r="I1561" i="1"/>
  <c r="J1561" i="1"/>
  <c r="K1561" i="1"/>
  <c r="E1562" i="1"/>
  <c r="F1562" i="1"/>
  <c r="G1562" i="1"/>
  <c r="H1562" i="1"/>
  <c r="I1562" i="1"/>
  <c r="J1562" i="1"/>
  <c r="K1562" i="1"/>
  <c r="E1563" i="1"/>
  <c r="F1563" i="1"/>
  <c r="G1563" i="1"/>
  <c r="H1563" i="1"/>
  <c r="I1563" i="1"/>
  <c r="J1563" i="1"/>
  <c r="K1563" i="1"/>
  <c r="E1564" i="1"/>
  <c r="F1564" i="1"/>
  <c r="G1564" i="1"/>
  <c r="H1564" i="1"/>
  <c r="I1564" i="1"/>
  <c r="J1564" i="1"/>
  <c r="K1564" i="1"/>
  <c r="E1565" i="1"/>
  <c r="F1565" i="1"/>
  <c r="G1565" i="1"/>
  <c r="H1565" i="1"/>
  <c r="I1565" i="1"/>
  <c r="J1565" i="1"/>
  <c r="K1565" i="1"/>
  <c r="E1566" i="1"/>
  <c r="F1566" i="1"/>
  <c r="G1566" i="1"/>
  <c r="H1566" i="1"/>
  <c r="I1566" i="1"/>
  <c r="J1566" i="1"/>
  <c r="K1566" i="1"/>
  <c r="E1567" i="1"/>
  <c r="F1567" i="1"/>
  <c r="G1567" i="1"/>
  <c r="H1567" i="1"/>
  <c r="I1567" i="1"/>
  <c r="J1567" i="1"/>
  <c r="K1567" i="1"/>
  <c r="E1568" i="1"/>
  <c r="F1568" i="1"/>
  <c r="G1568" i="1"/>
  <c r="H1568" i="1"/>
  <c r="I1568" i="1"/>
  <c r="J1568" i="1"/>
  <c r="K1568" i="1"/>
  <c r="E1569" i="1"/>
  <c r="F1569" i="1"/>
  <c r="G1569" i="1"/>
  <c r="H1569" i="1"/>
  <c r="I1569" i="1"/>
  <c r="J1569" i="1"/>
  <c r="K1569" i="1"/>
  <c r="E1570" i="1"/>
  <c r="F1570" i="1"/>
  <c r="G1570" i="1"/>
  <c r="H1570" i="1"/>
  <c r="I1570" i="1"/>
  <c r="J1570" i="1"/>
  <c r="K1570" i="1"/>
  <c r="E1571" i="1"/>
  <c r="F1571" i="1"/>
  <c r="G1571" i="1"/>
  <c r="H1571" i="1"/>
  <c r="I1571" i="1"/>
  <c r="J1571" i="1"/>
  <c r="K1571" i="1"/>
  <c r="E1572" i="1"/>
  <c r="F1572" i="1"/>
  <c r="G1572" i="1"/>
  <c r="H1572" i="1"/>
  <c r="I1572" i="1"/>
  <c r="J1572" i="1"/>
  <c r="K1572" i="1"/>
  <c r="E1573" i="1"/>
  <c r="F1573" i="1"/>
  <c r="G1573" i="1"/>
  <c r="H1573" i="1"/>
  <c r="I1573" i="1"/>
  <c r="J1573" i="1"/>
  <c r="K1573" i="1"/>
  <c r="E1574" i="1"/>
  <c r="F1574" i="1"/>
  <c r="G1574" i="1"/>
  <c r="H1574" i="1"/>
  <c r="I1574" i="1"/>
  <c r="J1574" i="1"/>
  <c r="K1574" i="1"/>
  <c r="E1575" i="1"/>
  <c r="F1575" i="1"/>
  <c r="G1575" i="1"/>
  <c r="H1575" i="1"/>
  <c r="I1575" i="1"/>
  <c r="J1575" i="1"/>
  <c r="K1575" i="1"/>
  <c r="E1576" i="1"/>
  <c r="F1576" i="1"/>
  <c r="G1576" i="1"/>
  <c r="H1576" i="1"/>
  <c r="I1576" i="1"/>
  <c r="J1576" i="1"/>
  <c r="K1576" i="1"/>
  <c r="E1577" i="1"/>
  <c r="F1577" i="1"/>
  <c r="G1577" i="1"/>
  <c r="H1577" i="1"/>
  <c r="I1577" i="1"/>
  <c r="J1577" i="1"/>
  <c r="K1577" i="1"/>
  <c r="E1578" i="1"/>
  <c r="F1578" i="1"/>
  <c r="G1578" i="1"/>
  <c r="H1578" i="1"/>
  <c r="I1578" i="1"/>
  <c r="J1578" i="1"/>
  <c r="K1578" i="1"/>
  <c r="E1579" i="1"/>
  <c r="F1579" i="1"/>
  <c r="G1579" i="1"/>
  <c r="H1579" i="1"/>
  <c r="I1579" i="1"/>
  <c r="J1579" i="1"/>
  <c r="K1579" i="1"/>
  <c r="E1580" i="1"/>
  <c r="F1580" i="1"/>
  <c r="G1580" i="1"/>
  <c r="H1580" i="1"/>
  <c r="I1580" i="1"/>
  <c r="J1580" i="1"/>
  <c r="K1580" i="1"/>
  <c r="E1581" i="1"/>
  <c r="F1581" i="1"/>
  <c r="G1581" i="1"/>
  <c r="H1581" i="1"/>
  <c r="I1581" i="1"/>
  <c r="J1581" i="1"/>
  <c r="K1581" i="1"/>
  <c r="E1582" i="1"/>
  <c r="F1582" i="1"/>
  <c r="G1582" i="1"/>
  <c r="H1582" i="1"/>
  <c r="I1582" i="1"/>
  <c r="J1582" i="1"/>
  <c r="K1582" i="1"/>
  <c r="E1583" i="1"/>
  <c r="F1583" i="1"/>
  <c r="G1583" i="1"/>
  <c r="H1583" i="1"/>
  <c r="I1583" i="1"/>
  <c r="J1583" i="1"/>
  <c r="K1583" i="1"/>
  <c r="E1584" i="1"/>
  <c r="F1584" i="1"/>
  <c r="G1584" i="1"/>
  <c r="H1584" i="1"/>
  <c r="I1584" i="1"/>
  <c r="J1584" i="1"/>
  <c r="K1584" i="1"/>
  <c r="E1585" i="1"/>
  <c r="F1585" i="1"/>
  <c r="G1585" i="1"/>
  <c r="H1585" i="1"/>
  <c r="I1585" i="1"/>
  <c r="J1585" i="1"/>
  <c r="K1585" i="1"/>
  <c r="E1586" i="1"/>
  <c r="F1586" i="1"/>
  <c r="G1586" i="1"/>
  <c r="H1586" i="1"/>
  <c r="I1586" i="1"/>
  <c r="J1586" i="1"/>
  <c r="K1586" i="1"/>
  <c r="E1587" i="1"/>
  <c r="F1587" i="1"/>
  <c r="G1587" i="1"/>
  <c r="H1587" i="1"/>
  <c r="I1587" i="1"/>
  <c r="J1587" i="1"/>
  <c r="K1587" i="1"/>
  <c r="E1588" i="1"/>
  <c r="F1588" i="1"/>
  <c r="G1588" i="1"/>
  <c r="H1588" i="1"/>
  <c r="I1588" i="1"/>
  <c r="J1588" i="1"/>
  <c r="K1588" i="1"/>
  <c r="E1589" i="1"/>
  <c r="F1589" i="1"/>
  <c r="G1589" i="1"/>
  <c r="H1589" i="1"/>
  <c r="I1589" i="1"/>
  <c r="J1589" i="1"/>
  <c r="K1589" i="1"/>
  <c r="E1590" i="1"/>
  <c r="F1590" i="1"/>
  <c r="G1590" i="1"/>
  <c r="H1590" i="1"/>
  <c r="I1590" i="1"/>
  <c r="J1590" i="1"/>
  <c r="K1590" i="1"/>
  <c r="E1591" i="1"/>
  <c r="F1591" i="1"/>
  <c r="G1591" i="1"/>
  <c r="H1591" i="1"/>
  <c r="I1591" i="1"/>
  <c r="J1591" i="1"/>
  <c r="K1591" i="1"/>
  <c r="E1592" i="1"/>
  <c r="F1592" i="1"/>
  <c r="G1592" i="1"/>
  <c r="H1592" i="1"/>
  <c r="I1592" i="1"/>
  <c r="J1592" i="1"/>
  <c r="K1592" i="1"/>
  <c r="E1593" i="1"/>
  <c r="F1593" i="1"/>
  <c r="G1593" i="1"/>
  <c r="H1593" i="1"/>
  <c r="I1593" i="1"/>
  <c r="J1593" i="1"/>
  <c r="K1593" i="1"/>
  <c r="E1594" i="1"/>
  <c r="F1594" i="1"/>
  <c r="G1594" i="1"/>
  <c r="H1594" i="1"/>
  <c r="I1594" i="1"/>
  <c r="J1594" i="1"/>
  <c r="K1594" i="1"/>
  <c r="E1595" i="1"/>
  <c r="F1595" i="1"/>
  <c r="G1595" i="1"/>
  <c r="H1595" i="1"/>
  <c r="I1595" i="1"/>
  <c r="J1595" i="1"/>
  <c r="K1595" i="1"/>
  <c r="E1596" i="1"/>
  <c r="F1596" i="1"/>
  <c r="G1596" i="1"/>
  <c r="H1596" i="1"/>
  <c r="I1596" i="1"/>
  <c r="J1596" i="1"/>
  <c r="K1596" i="1"/>
  <c r="E1597" i="1"/>
  <c r="F1597" i="1"/>
  <c r="G1597" i="1"/>
  <c r="H1597" i="1"/>
  <c r="I1597" i="1"/>
  <c r="J1597" i="1"/>
  <c r="K1597" i="1"/>
  <c r="E1598" i="1"/>
  <c r="F1598" i="1"/>
  <c r="G1598" i="1"/>
  <c r="H1598" i="1"/>
  <c r="I1598" i="1"/>
  <c r="J1598" i="1"/>
  <c r="K1598" i="1"/>
  <c r="E1599" i="1"/>
  <c r="F1599" i="1"/>
  <c r="G1599" i="1"/>
  <c r="H1599" i="1"/>
  <c r="I1599" i="1"/>
  <c r="J1599" i="1"/>
  <c r="K1599" i="1"/>
  <c r="E1600" i="1"/>
  <c r="F1600" i="1"/>
  <c r="G1600" i="1"/>
  <c r="H1600" i="1"/>
  <c r="I1600" i="1"/>
  <c r="J1600" i="1"/>
  <c r="K1600" i="1"/>
  <c r="E1601" i="1"/>
  <c r="F1601" i="1"/>
  <c r="G1601" i="1"/>
  <c r="H1601" i="1"/>
  <c r="I1601" i="1"/>
  <c r="J1601" i="1"/>
  <c r="K1601" i="1"/>
  <c r="E1602" i="1"/>
  <c r="F1602" i="1"/>
  <c r="G1602" i="1"/>
  <c r="H1602" i="1"/>
  <c r="I1602" i="1"/>
  <c r="J1602" i="1"/>
  <c r="K1602" i="1"/>
  <c r="E1603" i="1"/>
  <c r="F1603" i="1"/>
  <c r="G1603" i="1"/>
  <c r="H1603" i="1"/>
  <c r="I1603" i="1"/>
  <c r="J1603" i="1"/>
  <c r="K1603" i="1"/>
  <c r="E1604" i="1"/>
  <c r="F1604" i="1"/>
  <c r="G1604" i="1"/>
  <c r="H1604" i="1"/>
  <c r="I1604" i="1"/>
  <c r="J1604" i="1"/>
  <c r="K1604" i="1"/>
  <c r="E1605" i="1"/>
  <c r="F1605" i="1"/>
  <c r="G1605" i="1"/>
  <c r="H1605" i="1"/>
  <c r="I1605" i="1"/>
  <c r="J1605" i="1"/>
  <c r="K1605" i="1"/>
  <c r="E1606" i="1"/>
  <c r="F1606" i="1"/>
  <c r="G1606" i="1"/>
  <c r="H1606" i="1"/>
  <c r="I1606" i="1"/>
  <c r="J1606" i="1"/>
  <c r="K1606" i="1"/>
  <c r="E1607" i="1"/>
  <c r="F1607" i="1"/>
  <c r="G1607" i="1"/>
  <c r="H1607" i="1"/>
  <c r="I1607" i="1"/>
  <c r="J1607" i="1"/>
  <c r="K1607" i="1"/>
  <c r="E1608" i="1"/>
  <c r="F1608" i="1"/>
  <c r="G1608" i="1"/>
  <c r="H1608" i="1"/>
  <c r="I1608" i="1"/>
  <c r="J1608" i="1"/>
  <c r="K1608" i="1"/>
  <c r="E1609" i="1"/>
  <c r="F1609" i="1"/>
  <c r="G1609" i="1"/>
  <c r="H1609" i="1"/>
  <c r="I1609" i="1"/>
  <c r="J1609" i="1"/>
  <c r="K1609" i="1"/>
  <c r="E1610" i="1"/>
  <c r="F1610" i="1"/>
  <c r="G1610" i="1"/>
  <c r="H1610" i="1"/>
  <c r="I1610" i="1"/>
  <c r="J1610" i="1"/>
  <c r="K1610" i="1"/>
  <c r="E3" i="1"/>
  <c r="F3" i="1"/>
  <c r="G3" i="1"/>
  <c r="H3" i="1"/>
  <c r="I3" i="1"/>
  <c r="J3" i="1"/>
  <c r="K3" i="1"/>
  <c r="E4" i="1"/>
  <c r="F4" i="1"/>
  <c r="G4" i="1"/>
  <c r="H4" i="1"/>
  <c r="I4" i="1"/>
  <c r="J4" i="1"/>
  <c r="K4" i="1"/>
  <c r="E5" i="1"/>
  <c r="F5" i="1"/>
  <c r="G5" i="1"/>
  <c r="H5" i="1"/>
  <c r="I5" i="1"/>
  <c r="J5" i="1"/>
  <c r="K5" i="1"/>
  <c r="E6" i="1"/>
  <c r="F6" i="1"/>
  <c r="G6" i="1"/>
  <c r="H6" i="1"/>
  <c r="I6" i="1"/>
  <c r="J6" i="1"/>
  <c r="K6" i="1"/>
  <c r="E7" i="1"/>
  <c r="F7" i="1"/>
  <c r="G7" i="1"/>
  <c r="H7" i="1"/>
  <c r="I7" i="1"/>
  <c r="J7" i="1"/>
  <c r="K7" i="1"/>
  <c r="E8" i="1"/>
  <c r="F8" i="1"/>
  <c r="G8" i="1"/>
  <c r="H8" i="1"/>
  <c r="I8" i="1"/>
  <c r="J8" i="1"/>
  <c r="K8" i="1"/>
  <c r="E9" i="1"/>
  <c r="F9" i="1"/>
  <c r="G9" i="1"/>
  <c r="H9" i="1"/>
  <c r="I9" i="1"/>
  <c r="J9" i="1"/>
  <c r="K9" i="1"/>
  <c r="E10" i="1"/>
  <c r="F10" i="1"/>
  <c r="G10" i="1"/>
  <c r="H10" i="1"/>
  <c r="I10" i="1"/>
  <c r="J10" i="1"/>
  <c r="K10" i="1"/>
  <c r="E11" i="1"/>
  <c r="F11" i="1"/>
  <c r="G11" i="1"/>
  <c r="H11" i="1"/>
  <c r="I11" i="1"/>
  <c r="J11" i="1"/>
  <c r="K11" i="1"/>
  <c r="E12" i="1"/>
  <c r="F12" i="1"/>
  <c r="G12" i="1"/>
  <c r="H12" i="1"/>
  <c r="I12" i="1"/>
  <c r="J12" i="1"/>
  <c r="K12" i="1"/>
  <c r="E13" i="1"/>
  <c r="F13" i="1"/>
  <c r="G13" i="1"/>
  <c r="H13" i="1"/>
  <c r="I13" i="1"/>
  <c r="J13" i="1"/>
  <c r="K13" i="1"/>
  <c r="E14" i="1"/>
  <c r="F14" i="1"/>
  <c r="G14" i="1"/>
  <c r="H14" i="1"/>
  <c r="I14" i="1"/>
  <c r="J14" i="1"/>
  <c r="K14" i="1"/>
  <c r="E15" i="1"/>
  <c r="F15" i="1"/>
  <c r="G15" i="1"/>
  <c r="H15" i="1"/>
  <c r="I15" i="1"/>
  <c r="J15" i="1"/>
  <c r="K15" i="1"/>
  <c r="E16" i="1"/>
  <c r="F16" i="1"/>
  <c r="G16" i="1"/>
  <c r="H16" i="1"/>
  <c r="I16" i="1"/>
  <c r="J16" i="1"/>
  <c r="K16" i="1"/>
  <c r="E17" i="1"/>
  <c r="F17" i="1"/>
  <c r="G17" i="1"/>
  <c r="H17" i="1"/>
  <c r="I17" i="1"/>
  <c r="J17" i="1"/>
  <c r="K17" i="1"/>
  <c r="E18" i="1"/>
  <c r="F18" i="1"/>
  <c r="G18" i="1"/>
  <c r="H18" i="1"/>
  <c r="I18" i="1"/>
  <c r="J18" i="1"/>
  <c r="K18" i="1"/>
  <c r="E19" i="1"/>
  <c r="F19" i="1"/>
  <c r="G19" i="1"/>
  <c r="H19" i="1"/>
  <c r="I19" i="1"/>
  <c r="J19" i="1"/>
  <c r="K19" i="1"/>
  <c r="E20" i="1"/>
  <c r="F20" i="1"/>
  <c r="G20" i="1"/>
  <c r="H20" i="1"/>
  <c r="I20" i="1"/>
  <c r="J20" i="1"/>
  <c r="K20" i="1"/>
  <c r="E21" i="1"/>
  <c r="F21" i="1"/>
  <c r="G21" i="1"/>
  <c r="H21" i="1"/>
  <c r="I21" i="1"/>
  <c r="J21" i="1"/>
  <c r="K21" i="1"/>
  <c r="E22" i="1"/>
  <c r="F22" i="1"/>
  <c r="G22" i="1"/>
  <c r="H22" i="1"/>
  <c r="I22" i="1"/>
  <c r="J22" i="1"/>
  <c r="K22" i="1"/>
  <c r="E23" i="1"/>
  <c r="F23" i="1"/>
  <c r="G23" i="1"/>
  <c r="H23" i="1"/>
  <c r="I23" i="1"/>
  <c r="J23" i="1"/>
  <c r="K23" i="1"/>
  <c r="E24" i="1"/>
  <c r="F24" i="1"/>
  <c r="G24" i="1"/>
  <c r="H24" i="1"/>
  <c r="I24" i="1"/>
  <c r="J24" i="1"/>
  <c r="K24" i="1"/>
  <c r="E25" i="1"/>
  <c r="F25" i="1"/>
  <c r="G25" i="1"/>
  <c r="H25" i="1"/>
  <c r="I25" i="1"/>
  <c r="J25" i="1"/>
  <c r="K25" i="1"/>
  <c r="E26" i="1"/>
  <c r="F26" i="1"/>
  <c r="G26" i="1"/>
  <c r="H26" i="1"/>
  <c r="I26" i="1"/>
  <c r="J26" i="1"/>
  <c r="K26" i="1"/>
  <c r="E27" i="1"/>
  <c r="F27" i="1"/>
  <c r="G27" i="1"/>
  <c r="H27" i="1"/>
  <c r="I27" i="1"/>
  <c r="J27" i="1"/>
  <c r="K27" i="1"/>
  <c r="E28" i="1"/>
  <c r="F28" i="1"/>
  <c r="G28" i="1"/>
  <c r="H28" i="1"/>
  <c r="I28" i="1"/>
  <c r="J28" i="1"/>
  <c r="K28" i="1"/>
  <c r="E29" i="1"/>
  <c r="F29" i="1"/>
  <c r="G29" i="1"/>
  <c r="H29" i="1"/>
  <c r="I29" i="1"/>
  <c r="J29" i="1"/>
  <c r="K29" i="1"/>
  <c r="E30" i="1"/>
  <c r="F30" i="1"/>
  <c r="G30" i="1"/>
  <c r="H30" i="1"/>
  <c r="I30" i="1"/>
  <c r="J30" i="1"/>
  <c r="K30" i="1"/>
  <c r="E31" i="1"/>
  <c r="F31" i="1"/>
  <c r="G31" i="1"/>
  <c r="H31" i="1"/>
  <c r="I31" i="1"/>
  <c r="J31" i="1"/>
  <c r="K31" i="1"/>
  <c r="E32" i="1"/>
  <c r="F32" i="1"/>
  <c r="G32" i="1"/>
  <c r="H32" i="1"/>
  <c r="I32" i="1"/>
  <c r="J32" i="1"/>
  <c r="K32" i="1"/>
  <c r="E33" i="1"/>
  <c r="F33" i="1"/>
  <c r="G33" i="1"/>
  <c r="H33" i="1"/>
  <c r="I33" i="1"/>
  <c r="J33" i="1"/>
  <c r="K33" i="1"/>
  <c r="E34" i="1"/>
  <c r="F34" i="1"/>
  <c r="G34" i="1"/>
  <c r="H34" i="1"/>
  <c r="I34" i="1"/>
  <c r="J34" i="1"/>
  <c r="K34" i="1"/>
  <c r="E35" i="1"/>
  <c r="F35" i="1"/>
  <c r="G35" i="1"/>
  <c r="H35" i="1"/>
  <c r="I35" i="1"/>
  <c r="J35" i="1"/>
  <c r="K35" i="1"/>
  <c r="E36" i="1"/>
  <c r="F36" i="1"/>
  <c r="G36" i="1"/>
  <c r="H36" i="1"/>
  <c r="I36" i="1"/>
  <c r="J36" i="1"/>
  <c r="K36" i="1"/>
  <c r="E37" i="1"/>
  <c r="F37" i="1"/>
  <c r="G37" i="1"/>
  <c r="H37" i="1"/>
  <c r="I37" i="1"/>
  <c r="J37" i="1"/>
  <c r="K37" i="1"/>
  <c r="E38" i="1"/>
  <c r="F38" i="1"/>
  <c r="G38" i="1"/>
  <c r="H38" i="1"/>
  <c r="I38" i="1"/>
  <c r="J38" i="1"/>
  <c r="K38" i="1"/>
  <c r="E39" i="1"/>
  <c r="F39" i="1"/>
  <c r="G39" i="1"/>
  <c r="H39" i="1"/>
  <c r="I39" i="1"/>
  <c r="J39" i="1"/>
  <c r="K39" i="1"/>
  <c r="E40" i="1"/>
  <c r="F40" i="1"/>
  <c r="G40" i="1"/>
  <c r="H40" i="1"/>
  <c r="I40" i="1"/>
  <c r="J40" i="1"/>
  <c r="K40" i="1"/>
  <c r="E41" i="1"/>
  <c r="F41" i="1"/>
  <c r="G41" i="1"/>
  <c r="H41" i="1"/>
  <c r="I41" i="1"/>
  <c r="J41" i="1"/>
  <c r="K41" i="1"/>
  <c r="E42" i="1"/>
  <c r="F42" i="1"/>
  <c r="G42" i="1"/>
  <c r="H42" i="1"/>
  <c r="I42" i="1"/>
  <c r="J42" i="1"/>
  <c r="K42" i="1"/>
  <c r="E43" i="1"/>
  <c r="F43" i="1"/>
  <c r="G43" i="1"/>
  <c r="H43" i="1"/>
  <c r="I43" i="1"/>
  <c r="J43" i="1"/>
  <c r="K43" i="1"/>
  <c r="E44" i="1"/>
  <c r="F44" i="1"/>
  <c r="G44" i="1"/>
  <c r="H44" i="1"/>
  <c r="I44" i="1"/>
  <c r="J44" i="1"/>
  <c r="K44" i="1"/>
  <c r="E45" i="1"/>
  <c r="F45" i="1"/>
  <c r="G45" i="1"/>
  <c r="H45" i="1"/>
  <c r="I45" i="1"/>
  <c r="J45" i="1"/>
  <c r="K45" i="1"/>
  <c r="E46" i="1"/>
  <c r="F46" i="1"/>
  <c r="G46" i="1"/>
  <c r="H46" i="1"/>
  <c r="I46" i="1"/>
  <c r="J46" i="1"/>
  <c r="K46" i="1"/>
  <c r="E47" i="1"/>
  <c r="F47" i="1"/>
  <c r="G47" i="1"/>
  <c r="H47" i="1"/>
  <c r="I47" i="1"/>
  <c r="J47" i="1"/>
  <c r="K47" i="1"/>
  <c r="E48" i="1"/>
  <c r="F48" i="1"/>
  <c r="G48" i="1"/>
  <c r="H48" i="1"/>
  <c r="I48" i="1"/>
  <c r="J48" i="1"/>
  <c r="K48" i="1"/>
  <c r="E49" i="1"/>
  <c r="F49" i="1"/>
  <c r="G49" i="1"/>
  <c r="H49" i="1"/>
  <c r="I49" i="1"/>
  <c r="J49" i="1"/>
  <c r="K49" i="1"/>
  <c r="E50" i="1"/>
  <c r="F50" i="1"/>
  <c r="G50" i="1"/>
  <c r="H50" i="1"/>
  <c r="I50" i="1"/>
  <c r="J50" i="1"/>
  <c r="K50" i="1"/>
  <c r="E51" i="1"/>
  <c r="F51" i="1"/>
  <c r="G51" i="1"/>
  <c r="H51" i="1"/>
  <c r="I51" i="1"/>
  <c r="J51" i="1"/>
  <c r="K51" i="1"/>
  <c r="E52" i="1"/>
  <c r="F52" i="1"/>
  <c r="G52" i="1"/>
  <c r="H52" i="1"/>
  <c r="I52" i="1"/>
  <c r="J52" i="1"/>
  <c r="K52" i="1"/>
  <c r="E53" i="1"/>
  <c r="F53" i="1"/>
  <c r="G53" i="1"/>
  <c r="H53" i="1"/>
  <c r="I53" i="1"/>
  <c r="J53" i="1"/>
  <c r="K53" i="1"/>
  <c r="E54" i="1"/>
  <c r="F54" i="1"/>
  <c r="G54" i="1"/>
  <c r="H54" i="1"/>
  <c r="I54" i="1"/>
  <c r="J54" i="1"/>
  <c r="K54" i="1"/>
  <c r="E55" i="1"/>
  <c r="F55" i="1"/>
  <c r="G55" i="1"/>
  <c r="H55" i="1"/>
  <c r="I55" i="1"/>
  <c r="J55" i="1"/>
  <c r="K55" i="1"/>
  <c r="E56" i="1"/>
  <c r="F56" i="1"/>
  <c r="G56" i="1"/>
  <c r="H56" i="1"/>
  <c r="I56" i="1"/>
  <c r="J56" i="1"/>
  <c r="K56" i="1"/>
  <c r="E57" i="1"/>
  <c r="F57" i="1"/>
  <c r="G57" i="1"/>
  <c r="H57" i="1"/>
  <c r="I57" i="1"/>
  <c r="J57" i="1"/>
  <c r="K57" i="1"/>
  <c r="E58" i="1"/>
  <c r="F58" i="1"/>
  <c r="G58" i="1"/>
  <c r="H58" i="1"/>
  <c r="I58" i="1"/>
  <c r="J58" i="1"/>
  <c r="K58" i="1"/>
  <c r="E59" i="1"/>
  <c r="F59" i="1"/>
  <c r="G59" i="1"/>
  <c r="H59" i="1"/>
  <c r="I59" i="1"/>
  <c r="J59" i="1"/>
  <c r="K59" i="1"/>
  <c r="E60" i="1"/>
  <c r="F60" i="1"/>
  <c r="G60" i="1"/>
  <c r="H60" i="1"/>
  <c r="I60" i="1"/>
  <c r="J60" i="1"/>
  <c r="K60" i="1"/>
  <c r="E61" i="1"/>
  <c r="F61" i="1"/>
  <c r="G61" i="1"/>
  <c r="H61" i="1"/>
  <c r="I61" i="1"/>
  <c r="J61" i="1"/>
  <c r="K61" i="1"/>
  <c r="E62" i="1"/>
  <c r="F62" i="1"/>
  <c r="G62" i="1"/>
  <c r="H62" i="1"/>
  <c r="I62" i="1"/>
  <c r="J62" i="1"/>
  <c r="K62" i="1"/>
  <c r="E63" i="1"/>
  <c r="F63" i="1"/>
  <c r="G63" i="1"/>
  <c r="H63" i="1"/>
  <c r="I63" i="1"/>
  <c r="J63" i="1"/>
  <c r="K63" i="1"/>
  <c r="E64" i="1"/>
  <c r="F64" i="1"/>
  <c r="G64" i="1"/>
  <c r="H64" i="1"/>
  <c r="I64" i="1"/>
  <c r="J64" i="1"/>
  <c r="K64" i="1"/>
  <c r="E65" i="1"/>
  <c r="F65" i="1"/>
  <c r="G65" i="1"/>
  <c r="H65" i="1"/>
  <c r="I65" i="1"/>
  <c r="J65" i="1"/>
  <c r="K65" i="1"/>
  <c r="E66" i="1"/>
  <c r="F66" i="1"/>
  <c r="G66" i="1"/>
  <c r="H66" i="1"/>
  <c r="I66" i="1"/>
  <c r="J66" i="1"/>
  <c r="K66" i="1"/>
  <c r="E67" i="1"/>
  <c r="F67" i="1"/>
  <c r="G67" i="1"/>
  <c r="H67" i="1"/>
  <c r="I67" i="1"/>
  <c r="J67" i="1"/>
  <c r="K67" i="1"/>
  <c r="E68" i="1"/>
  <c r="F68" i="1"/>
  <c r="G68" i="1"/>
  <c r="H68" i="1"/>
  <c r="I68" i="1"/>
  <c r="J68" i="1"/>
  <c r="K68" i="1"/>
  <c r="E69" i="1"/>
  <c r="F69" i="1"/>
  <c r="G69" i="1"/>
  <c r="H69" i="1"/>
  <c r="I69" i="1"/>
  <c r="J69" i="1"/>
  <c r="K69" i="1"/>
  <c r="E70" i="1"/>
  <c r="F70" i="1"/>
  <c r="G70" i="1"/>
  <c r="H70" i="1"/>
  <c r="I70" i="1"/>
  <c r="J70" i="1"/>
  <c r="K70" i="1"/>
  <c r="E71" i="1"/>
  <c r="F71" i="1"/>
  <c r="G71" i="1"/>
  <c r="H71" i="1"/>
  <c r="I71" i="1"/>
  <c r="J71" i="1"/>
  <c r="K71" i="1"/>
  <c r="E72" i="1"/>
  <c r="F72" i="1"/>
  <c r="G72" i="1"/>
  <c r="H72" i="1"/>
  <c r="I72" i="1"/>
  <c r="J72" i="1"/>
  <c r="K72" i="1"/>
  <c r="E73" i="1"/>
  <c r="F73" i="1"/>
  <c r="G73" i="1"/>
  <c r="H73" i="1"/>
  <c r="I73" i="1"/>
  <c r="J73" i="1"/>
  <c r="K73" i="1"/>
  <c r="E74" i="1"/>
  <c r="F74" i="1"/>
  <c r="G74" i="1"/>
  <c r="H74" i="1"/>
  <c r="I74" i="1"/>
  <c r="J74" i="1"/>
  <c r="K74" i="1"/>
  <c r="E75" i="1"/>
  <c r="F75" i="1"/>
  <c r="G75" i="1"/>
  <c r="H75" i="1"/>
  <c r="I75" i="1"/>
  <c r="J75" i="1"/>
  <c r="K75" i="1"/>
  <c r="E76" i="1"/>
  <c r="F76" i="1"/>
  <c r="G76" i="1"/>
  <c r="H76" i="1"/>
  <c r="I76" i="1"/>
  <c r="J76" i="1"/>
  <c r="K76" i="1"/>
  <c r="E77" i="1"/>
  <c r="F77" i="1"/>
  <c r="G77" i="1"/>
  <c r="H77" i="1"/>
  <c r="I77" i="1"/>
  <c r="J77" i="1"/>
  <c r="K77" i="1"/>
  <c r="E78" i="1"/>
  <c r="F78" i="1"/>
  <c r="G78" i="1"/>
  <c r="H78" i="1"/>
  <c r="I78" i="1"/>
  <c r="J78" i="1"/>
  <c r="K78" i="1"/>
  <c r="E79" i="1"/>
  <c r="F79" i="1"/>
  <c r="G79" i="1"/>
  <c r="H79" i="1"/>
  <c r="I79" i="1"/>
  <c r="J79" i="1"/>
  <c r="K79" i="1"/>
  <c r="E80" i="1"/>
  <c r="F80" i="1"/>
  <c r="G80" i="1"/>
  <c r="H80" i="1"/>
  <c r="I80" i="1"/>
  <c r="J80" i="1"/>
  <c r="K80" i="1"/>
  <c r="E81" i="1"/>
  <c r="F81" i="1"/>
  <c r="G81" i="1"/>
  <c r="H81" i="1"/>
  <c r="I81" i="1"/>
  <c r="J81" i="1"/>
  <c r="K81" i="1"/>
  <c r="E82" i="1"/>
  <c r="F82" i="1"/>
  <c r="G82" i="1"/>
  <c r="H82" i="1"/>
  <c r="I82" i="1"/>
  <c r="J82" i="1"/>
  <c r="K82" i="1"/>
  <c r="E83" i="1"/>
  <c r="F83" i="1"/>
  <c r="G83" i="1"/>
  <c r="H83" i="1"/>
  <c r="I83" i="1"/>
  <c r="J83" i="1"/>
  <c r="K83" i="1"/>
  <c r="E84" i="1"/>
  <c r="F84" i="1"/>
  <c r="G84" i="1"/>
  <c r="H84" i="1"/>
  <c r="I84" i="1"/>
  <c r="J84" i="1"/>
  <c r="K84" i="1"/>
  <c r="E85" i="1"/>
  <c r="F85" i="1"/>
  <c r="G85" i="1"/>
  <c r="H85" i="1"/>
  <c r="I85" i="1"/>
  <c r="J85" i="1"/>
  <c r="K85" i="1"/>
  <c r="E86" i="1"/>
  <c r="F86" i="1"/>
  <c r="G86" i="1"/>
  <c r="H86" i="1"/>
  <c r="I86" i="1"/>
  <c r="J86" i="1"/>
  <c r="K86" i="1"/>
  <c r="E87" i="1"/>
  <c r="F87" i="1"/>
  <c r="G87" i="1"/>
  <c r="H87" i="1"/>
  <c r="I87" i="1"/>
  <c r="J87" i="1"/>
  <c r="K87" i="1"/>
  <c r="E88" i="1"/>
  <c r="F88" i="1"/>
  <c r="G88" i="1"/>
  <c r="H88" i="1"/>
  <c r="I88" i="1"/>
  <c r="J88" i="1"/>
  <c r="K88" i="1"/>
  <c r="E89" i="1"/>
  <c r="F89" i="1"/>
  <c r="G89" i="1"/>
  <c r="H89" i="1"/>
  <c r="I89" i="1"/>
  <c r="J89" i="1"/>
  <c r="K89" i="1"/>
  <c r="E90" i="1"/>
  <c r="F90" i="1"/>
  <c r="G90" i="1"/>
  <c r="H90" i="1"/>
  <c r="I90" i="1"/>
  <c r="J90" i="1"/>
  <c r="K90" i="1"/>
  <c r="E91" i="1"/>
  <c r="F91" i="1"/>
  <c r="G91" i="1"/>
  <c r="H91" i="1"/>
  <c r="I91" i="1"/>
  <c r="J91" i="1"/>
  <c r="K91" i="1"/>
  <c r="E92" i="1"/>
  <c r="F92" i="1"/>
  <c r="G92" i="1"/>
  <c r="H92" i="1"/>
  <c r="I92" i="1"/>
  <c r="J92" i="1"/>
  <c r="K92" i="1"/>
  <c r="E93" i="1"/>
  <c r="F93" i="1"/>
  <c r="G93" i="1"/>
  <c r="H93" i="1"/>
  <c r="I93" i="1"/>
  <c r="J93" i="1"/>
  <c r="K93" i="1"/>
  <c r="E94" i="1"/>
  <c r="F94" i="1"/>
  <c r="G94" i="1"/>
  <c r="H94" i="1"/>
  <c r="I94" i="1"/>
  <c r="J94" i="1"/>
  <c r="K94" i="1"/>
  <c r="E95" i="1"/>
  <c r="F95" i="1"/>
  <c r="G95" i="1"/>
  <c r="H95" i="1"/>
  <c r="I95" i="1"/>
  <c r="J95" i="1"/>
  <c r="K95" i="1"/>
  <c r="E96" i="1"/>
  <c r="F96" i="1"/>
  <c r="G96" i="1"/>
  <c r="H96" i="1"/>
  <c r="I96" i="1"/>
  <c r="J96" i="1"/>
  <c r="K96" i="1"/>
  <c r="E97" i="1"/>
  <c r="F97" i="1"/>
  <c r="G97" i="1"/>
  <c r="H97" i="1"/>
  <c r="I97" i="1"/>
  <c r="J97" i="1"/>
  <c r="K97" i="1"/>
  <c r="E98" i="1"/>
  <c r="F98" i="1"/>
  <c r="G98" i="1"/>
  <c r="H98" i="1"/>
  <c r="I98" i="1"/>
  <c r="J98" i="1"/>
  <c r="K98" i="1"/>
  <c r="E99" i="1"/>
  <c r="F99" i="1"/>
  <c r="G99" i="1"/>
  <c r="H99" i="1"/>
  <c r="I99" i="1"/>
  <c r="J99" i="1"/>
  <c r="K99" i="1"/>
  <c r="E100" i="1"/>
  <c r="F100" i="1"/>
  <c r="G100" i="1"/>
  <c r="H100" i="1"/>
  <c r="I100" i="1"/>
  <c r="J100" i="1"/>
  <c r="K100" i="1"/>
  <c r="E101" i="1"/>
  <c r="F101" i="1"/>
  <c r="G101" i="1"/>
  <c r="H101" i="1"/>
  <c r="I101" i="1"/>
  <c r="J101" i="1"/>
  <c r="K101" i="1"/>
  <c r="E102" i="1"/>
  <c r="F102" i="1"/>
  <c r="G102" i="1"/>
  <c r="H102" i="1"/>
  <c r="I102" i="1"/>
  <c r="J102" i="1"/>
  <c r="K102" i="1"/>
  <c r="E103" i="1"/>
  <c r="F103" i="1"/>
  <c r="G103" i="1"/>
  <c r="H103" i="1"/>
  <c r="I103" i="1"/>
  <c r="J103" i="1"/>
  <c r="K103" i="1"/>
  <c r="E104" i="1"/>
  <c r="F104" i="1"/>
  <c r="G104" i="1"/>
  <c r="H104" i="1"/>
  <c r="I104" i="1"/>
  <c r="J104" i="1"/>
  <c r="K104" i="1"/>
  <c r="E105" i="1"/>
  <c r="F105" i="1"/>
  <c r="G105" i="1"/>
  <c r="H105" i="1"/>
  <c r="I105" i="1"/>
  <c r="J105" i="1"/>
  <c r="K105" i="1"/>
  <c r="E106" i="1"/>
  <c r="F106" i="1"/>
  <c r="G106" i="1"/>
  <c r="H106" i="1"/>
  <c r="I106" i="1"/>
  <c r="J106" i="1"/>
  <c r="K106" i="1"/>
  <c r="E107" i="1"/>
  <c r="F107" i="1"/>
  <c r="G107" i="1"/>
  <c r="H107" i="1"/>
  <c r="I107" i="1"/>
  <c r="J107" i="1"/>
  <c r="K107" i="1"/>
  <c r="E108" i="1"/>
  <c r="F108" i="1"/>
  <c r="G108" i="1"/>
  <c r="H108" i="1"/>
  <c r="I108" i="1"/>
  <c r="J108" i="1"/>
  <c r="K108" i="1"/>
  <c r="E109" i="1"/>
  <c r="F109" i="1"/>
  <c r="G109" i="1"/>
  <c r="H109" i="1"/>
  <c r="I109" i="1"/>
  <c r="J109" i="1"/>
  <c r="K109" i="1"/>
  <c r="E110" i="1"/>
  <c r="F110" i="1"/>
  <c r="G110" i="1"/>
  <c r="H110" i="1"/>
  <c r="I110" i="1"/>
  <c r="J110" i="1"/>
  <c r="K110" i="1"/>
  <c r="E111" i="1"/>
  <c r="F111" i="1"/>
  <c r="G111" i="1"/>
  <c r="H111" i="1"/>
  <c r="I111" i="1"/>
  <c r="J111" i="1"/>
  <c r="K111" i="1"/>
  <c r="E112" i="1"/>
  <c r="F112" i="1"/>
  <c r="G112" i="1"/>
  <c r="H112" i="1"/>
  <c r="I112" i="1"/>
  <c r="J112" i="1"/>
  <c r="K112" i="1"/>
  <c r="E113" i="1"/>
  <c r="F113" i="1"/>
  <c r="G113" i="1"/>
  <c r="H113" i="1"/>
  <c r="I113" i="1"/>
  <c r="J113" i="1"/>
  <c r="K113" i="1"/>
  <c r="E114" i="1"/>
  <c r="F114" i="1"/>
  <c r="G114" i="1"/>
  <c r="H114" i="1"/>
  <c r="I114" i="1"/>
  <c r="J114" i="1"/>
  <c r="K114" i="1"/>
  <c r="E115" i="1"/>
  <c r="F115" i="1"/>
  <c r="G115" i="1"/>
  <c r="H115" i="1"/>
  <c r="I115" i="1"/>
  <c r="J115" i="1"/>
  <c r="K115" i="1"/>
  <c r="E116" i="1"/>
  <c r="F116" i="1"/>
  <c r="G116" i="1"/>
  <c r="H116" i="1"/>
  <c r="I116" i="1"/>
  <c r="J116" i="1"/>
  <c r="K116" i="1"/>
  <c r="E117" i="1"/>
  <c r="F117" i="1"/>
  <c r="G117" i="1"/>
  <c r="H117" i="1"/>
  <c r="I117" i="1"/>
  <c r="J117" i="1"/>
  <c r="K117" i="1"/>
  <c r="E118" i="1"/>
  <c r="F118" i="1"/>
  <c r="G118" i="1"/>
  <c r="H118" i="1"/>
  <c r="I118" i="1"/>
  <c r="J118" i="1"/>
  <c r="K118" i="1"/>
  <c r="E119" i="1"/>
  <c r="F119" i="1"/>
  <c r="G119" i="1"/>
  <c r="H119" i="1"/>
  <c r="I119" i="1"/>
  <c r="J119" i="1"/>
  <c r="K119" i="1"/>
  <c r="E120" i="1"/>
  <c r="F120" i="1"/>
  <c r="G120" i="1"/>
  <c r="H120" i="1"/>
  <c r="I120" i="1"/>
  <c r="J120" i="1"/>
  <c r="K120" i="1"/>
  <c r="E121" i="1"/>
  <c r="F121" i="1"/>
  <c r="G121" i="1"/>
  <c r="H121" i="1"/>
  <c r="I121" i="1"/>
  <c r="J121" i="1"/>
  <c r="K121" i="1"/>
  <c r="E122" i="1"/>
  <c r="F122" i="1"/>
  <c r="G122" i="1"/>
  <c r="H122" i="1"/>
  <c r="I122" i="1"/>
  <c r="J122" i="1"/>
  <c r="K122" i="1"/>
  <c r="E123" i="1"/>
  <c r="F123" i="1"/>
  <c r="G123" i="1"/>
  <c r="H123" i="1"/>
  <c r="I123" i="1"/>
  <c r="J123" i="1"/>
  <c r="K123" i="1"/>
  <c r="E124" i="1"/>
  <c r="F124" i="1"/>
  <c r="G124" i="1"/>
  <c r="H124" i="1"/>
  <c r="I124" i="1"/>
  <c r="J124" i="1"/>
  <c r="K124" i="1"/>
  <c r="E125" i="1"/>
  <c r="F125" i="1"/>
  <c r="G125" i="1"/>
  <c r="H125" i="1"/>
  <c r="I125" i="1"/>
  <c r="J125" i="1"/>
  <c r="K125" i="1"/>
  <c r="E126" i="1"/>
  <c r="F126" i="1"/>
  <c r="G126" i="1"/>
  <c r="H126" i="1"/>
  <c r="I126" i="1"/>
  <c r="J126" i="1"/>
  <c r="K126" i="1"/>
  <c r="E127" i="1"/>
  <c r="F127" i="1"/>
  <c r="G127" i="1"/>
  <c r="H127" i="1"/>
  <c r="I127" i="1"/>
  <c r="J127" i="1"/>
  <c r="K127" i="1"/>
  <c r="E128" i="1"/>
  <c r="F128" i="1"/>
  <c r="G128" i="1"/>
  <c r="H128" i="1"/>
  <c r="I128" i="1"/>
  <c r="J128" i="1"/>
  <c r="K128" i="1"/>
  <c r="E129" i="1"/>
  <c r="F129" i="1"/>
  <c r="G129" i="1"/>
  <c r="H129" i="1"/>
  <c r="I129" i="1"/>
  <c r="J129" i="1"/>
  <c r="K129" i="1"/>
  <c r="E130" i="1"/>
  <c r="F130" i="1"/>
  <c r="G130" i="1"/>
  <c r="H130" i="1"/>
  <c r="I130" i="1"/>
  <c r="J130" i="1"/>
  <c r="K130" i="1"/>
  <c r="E131" i="1"/>
  <c r="F131" i="1"/>
  <c r="G131" i="1"/>
  <c r="H131" i="1"/>
  <c r="I131" i="1"/>
  <c r="J131" i="1"/>
  <c r="K131" i="1"/>
  <c r="E132" i="1"/>
  <c r="F132" i="1"/>
  <c r="G132" i="1"/>
  <c r="H132" i="1"/>
  <c r="I132" i="1"/>
  <c r="J132" i="1"/>
  <c r="K132" i="1"/>
  <c r="E133" i="1"/>
  <c r="F133" i="1"/>
  <c r="G133" i="1"/>
  <c r="H133" i="1"/>
  <c r="I133" i="1"/>
  <c r="J133" i="1"/>
  <c r="K133" i="1"/>
  <c r="E134" i="1"/>
  <c r="F134" i="1"/>
  <c r="G134" i="1"/>
  <c r="H134" i="1"/>
  <c r="I134" i="1"/>
  <c r="J134" i="1"/>
  <c r="K134" i="1"/>
  <c r="E135" i="1"/>
  <c r="F135" i="1"/>
  <c r="G135" i="1"/>
  <c r="H135" i="1"/>
  <c r="I135" i="1"/>
  <c r="J135" i="1"/>
  <c r="K135" i="1"/>
  <c r="E136" i="1"/>
  <c r="F136" i="1"/>
  <c r="G136" i="1"/>
  <c r="H136" i="1"/>
  <c r="I136" i="1"/>
  <c r="J136" i="1"/>
  <c r="K136" i="1"/>
  <c r="E137" i="1"/>
  <c r="F137" i="1"/>
  <c r="G137" i="1"/>
  <c r="H137" i="1"/>
  <c r="I137" i="1"/>
  <c r="J137" i="1"/>
  <c r="K137" i="1"/>
  <c r="E138" i="1"/>
  <c r="F138" i="1"/>
  <c r="G138" i="1"/>
  <c r="H138" i="1"/>
  <c r="I138" i="1"/>
  <c r="J138" i="1"/>
  <c r="K138" i="1"/>
  <c r="E139" i="1"/>
  <c r="F139" i="1"/>
  <c r="G139" i="1"/>
  <c r="H139" i="1"/>
  <c r="I139" i="1"/>
  <c r="J139" i="1"/>
  <c r="K139" i="1"/>
  <c r="E140" i="1"/>
  <c r="F140" i="1"/>
  <c r="G140" i="1"/>
  <c r="H140" i="1"/>
  <c r="I140" i="1"/>
  <c r="J140" i="1"/>
  <c r="K140" i="1"/>
  <c r="E141" i="1"/>
  <c r="F141" i="1"/>
  <c r="G141" i="1"/>
  <c r="H141" i="1"/>
  <c r="I141" i="1"/>
  <c r="J141" i="1"/>
  <c r="K141" i="1"/>
  <c r="E142" i="1"/>
  <c r="F142" i="1"/>
  <c r="G142" i="1"/>
  <c r="H142" i="1"/>
  <c r="I142" i="1"/>
  <c r="J142" i="1"/>
  <c r="K142" i="1"/>
  <c r="E143" i="1"/>
  <c r="F143" i="1"/>
  <c r="G143" i="1"/>
  <c r="H143" i="1"/>
  <c r="I143" i="1"/>
  <c r="J143" i="1"/>
  <c r="K143" i="1"/>
  <c r="E144" i="1"/>
  <c r="F144" i="1"/>
  <c r="G144" i="1"/>
  <c r="H144" i="1"/>
  <c r="I144" i="1"/>
  <c r="J144" i="1"/>
  <c r="K144" i="1"/>
  <c r="E145" i="1"/>
  <c r="F145" i="1"/>
  <c r="G145" i="1"/>
  <c r="H145" i="1"/>
  <c r="I145" i="1"/>
  <c r="J145" i="1"/>
  <c r="K145" i="1"/>
  <c r="E146" i="1"/>
  <c r="F146" i="1"/>
  <c r="G146" i="1"/>
  <c r="H146" i="1"/>
  <c r="I146" i="1"/>
  <c r="J146" i="1"/>
  <c r="K146" i="1"/>
  <c r="E147" i="1"/>
  <c r="F147" i="1"/>
  <c r="G147" i="1"/>
  <c r="H147" i="1"/>
  <c r="I147" i="1"/>
  <c r="J147" i="1"/>
  <c r="K147" i="1"/>
  <c r="E148" i="1"/>
  <c r="F148" i="1"/>
  <c r="G148" i="1"/>
  <c r="H148" i="1"/>
  <c r="I148" i="1"/>
  <c r="J148" i="1"/>
  <c r="K148" i="1"/>
  <c r="E149" i="1"/>
  <c r="F149" i="1"/>
  <c r="G149" i="1"/>
  <c r="H149" i="1"/>
  <c r="I149" i="1"/>
  <c r="J149" i="1"/>
  <c r="K149" i="1"/>
  <c r="E150" i="1"/>
  <c r="F150" i="1"/>
  <c r="G150" i="1"/>
  <c r="H150" i="1"/>
  <c r="I150" i="1"/>
  <c r="J150" i="1"/>
  <c r="K150" i="1"/>
  <c r="E151" i="1"/>
  <c r="F151" i="1"/>
  <c r="G151" i="1"/>
  <c r="H151" i="1"/>
  <c r="I151" i="1"/>
  <c r="J151" i="1"/>
  <c r="K151" i="1"/>
  <c r="E152" i="1"/>
  <c r="F152" i="1"/>
  <c r="G152" i="1"/>
  <c r="H152" i="1"/>
  <c r="I152" i="1"/>
  <c r="J152" i="1"/>
  <c r="K152" i="1"/>
  <c r="E153" i="1"/>
  <c r="F153" i="1"/>
  <c r="G153" i="1"/>
  <c r="H153" i="1"/>
  <c r="I153" i="1"/>
  <c r="J153" i="1"/>
  <c r="K153" i="1"/>
  <c r="E154" i="1"/>
  <c r="F154" i="1"/>
  <c r="G154" i="1"/>
  <c r="H154" i="1"/>
  <c r="I154" i="1"/>
  <c r="J154" i="1"/>
  <c r="K154" i="1"/>
  <c r="E155" i="1"/>
  <c r="F155" i="1"/>
  <c r="G155" i="1"/>
  <c r="H155" i="1"/>
  <c r="I155" i="1"/>
  <c r="J155" i="1"/>
  <c r="K155" i="1"/>
  <c r="E156" i="1"/>
  <c r="F156" i="1"/>
  <c r="G156" i="1"/>
  <c r="H156" i="1"/>
  <c r="I156" i="1"/>
  <c r="J156" i="1"/>
  <c r="K156" i="1"/>
  <c r="E157" i="1"/>
  <c r="F157" i="1"/>
  <c r="G157" i="1"/>
  <c r="H157" i="1"/>
  <c r="I157" i="1"/>
  <c r="J157" i="1"/>
  <c r="K157" i="1"/>
  <c r="E158" i="1"/>
  <c r="F158" i="1"/>
  <c r="G158" i="1"/>
  <c r="H158" i="1"/>
  <c r="I158" i="1"/>
  <c r="J158" i="1"/>
  <c r="K158" i="1"/>
  <c r="E159" i="1"/>
  <c r="F159" i="1"/>
  <c r="G159" i="1"/>
  <c r="H159" i="1"/>
  <c r="I159" i="1"/>
  <c r="J159" i="1"/>
  <c r="K159" i="1"/>
  <c r="E160" i="1"/>
  <c r="F160" i="1"/>
  <c r="G160" i="1"/>
  <c r="H160" i="1"/>
  <c r="I160" i="1"/>
  <c r="J160" i="1"/>
  <c r="K160" i="1"/>
  <c r="E161" i="1"/>
  <c r="F161" i="1"/>
  <c r="G161" i="1"/>
  <c r="H161" i="1"/>
  <c r="I161" i="1"/>
  <c r="J161" i="1"/>
  <c r="K161" i="1"/>
  <c r="E162" i="1"/>
  <c r="F162" i="1"/>
  <c r="G162" i="1"/>
  <c r="H162" i="1"/>
  <c r="I162" i="1"/>
  <c r="J162" i="1"/>
  <c r="K162" i="1"/>
  <c r="E163" i="1"/>
  <c r="F163" i="1"/>
  <c r="G163" i="1"/>
  <c r="H163" i="1"/>
  <c r="I163" i="1"/>
  <c r="J163" i="1"/>
  <c r="K163" i="1"/>
  <c r="E164" i="1"/>
  <c r="F164" i="1"/>
  <c r="G164" i="1"/>
  <c r="H164" i="1"/>
  <c r="I164" i="1"/>
  <c r="J164" i="1"/>
  <c r="K164" i="1"/>
  <c r="E165" i="1"/>
  <c r="F165" i="1"/>
  <c r="G165" i="1"/>
  <c r="H165" i="1"/>
  <c r="I165" i="1"/>
  <c r="J165" i="1"/>
  <c r="K165" i="1"/>
  <c r="E166" i="1"/>
  <c r="F166" i="1"/>
  <c r="G166" i="1"/>
  <c r="H166" i="1"/>
  <c r="I166" i="1"/>
  <c r="J166" i="1"/>
  <c r="K166" i="1"/>
  <c r="E167" i="1"/>
  <c r="F167" i="1"/>
  <c r="G167" i="1"/>
  <c r="H167" i="1"/>
  <c r="I167" i="1"/>
  <c r="J167" i="1"/>
  <c r="K167" i="1"/>
  <c r="E168" i="1"/>
  <c r="F168" i="1"/>
  <c r="G168" i="1"/>
  <c r="H168" i="1"/>
  <c r="I168" i="1"/>
  <c r="J168" i="1"/>
  <c r="K168" i="1"/>
  <c r="E169" i="1"/>
  <c r="F169" i="1"/>
  <c r="G169" i="1"/>
  <c r="H169" i="1"/>
  <c r="I169" i="1"/>
  <c r="J169" i="1"/>
  <c r="K169" i="1"/>
  <c r="E170" i="1"/>
  <c r="F170" i="1"/>
  <c r="G170" i="1"/>
  <c r="H170" i="1"/>
  <c r="I170" i="1"/>
  <c r="J170" i="1"/>
  <c r="K170" i="1"/>
  <c r="E171" i="1"/>
  <c r="F171" i="1"/>
  <c r="G171" i="1"/>
  <c r="H171" i="1"/>
  <c r="I171" i="1"/>
  <c r="J171" i="1"/>
  <c r="K171" i="1"/>
  <c r="E172" i="1"/>
  <c r="F172" i="1"/>
  <c r="G172" i="1"/>
  <c r="H172" i="1"/>
  <c r="I172" i="1"/>
  <c r="J172" i="1"/>
  <c r="K172" i="1"/>
  <c r="E173" i="1"/>
  <c r="F173" i="1"/>
  <c r="G173" i="1"/>
  <c r="H173" i="1"/>
  <c r="I173" i="1"/>
  <c r="J173" i="1"/>
  <c r="K173" i="1"/>
  <c r="E174" i="1"/>
  <c r="F174" i="1"/>
  <c r="G174" i="1"/>
  <c r="H174" i="1"/>
  <c r="I174" i="1"/>
  <c r="J174" i="1"/>
  <c r="K174" i="1"/>
  <c r="E175" i="1"/>
  <c r="F175" i="1"/>
  <c r="G175" i="1"/>
  <c r="H175" i="1"/>
  <c r="I175" i="1"/>
  <c r="J175" i="1"/>
  <c r="K175" i="1"/>
  <c r="E176" i="1"/>
  <c r="F176" i="1"/>
  <c r="G176" i="1"/>
  <c r="H176" i="1"/>
  <c r="I176" i="1"/>
  <c r="J176" i="1"/>
  <c r="K176" i="1"/>
  <c r="E177" i="1"/>
  <c r="F177" i="1"/>
  <c r="G177" i="1"/>
  <c r="H177" i="1"/>
  <c r="I177" i="1"/>
  <c r="J177" i="1"/>
  <c r="K177" i="1"/>
  <c r="E178" i="1"/>
  <c r="F178" i="1"/>
  <c r="G178" i="1"/>
  <c r="H178" i="1"/>
  <c r="I178" i="1"/>
  <c r="J178" i="1"/>
  <c r="K178" i="1"/>
  <c r="E179" i="1"/>
  <c r="F179" i="1"/>
  <c r="G179" i="1"/>
  <c r="H179" i="1"/>
  <c r="I179" i="1"/>
  <c r="J179" i="1"/>
  <c r="K179" i="1"/>
  <c r="E180" i="1"/>
  <c r="F180" i="1"/>
  <c r="G180" i="1"/>
  <c r="H180" i="1"/>
  <c r="I180" i="1"/>
  <c r="J180" i="1"/>
  <c r="K180" i="1"/>
  <c r="E181" i="1"/>
  <c r="F181" i="1"/>
  <c r="G181" i="1"/>
  <c r="H181" i="1"/>
  <c r="I181" i="1"/>
  <c r="J181" i="1"/>
  <c r="K181" i="1"/>
  <c r="E182" i="1"/>
  <c r="F182" i="1"/>
  <c r="G182" i="1"/>
  <c r="H182" i="1"/>
  <c r="I182" i="1"/>
  <c r="J182" i="1"/>
  <c r="K182" i="1"/>
  <c r="E183" i="1"/>
  <c r="F183" i="1"/>
  <c r="G183" i="1"/>
  <c r="H183" i="1"/>
  <c r="I183" i="1"/>
  <c r="J183" i="1"/>
  <c r="K183" i="1"/>
  <c r="E184" i="1"/>
  <c r="F184" i="1"/>
  <c r="G184" i="1"/>
  <c r="H184" i="1"/>
  <c r="I184" i="1"/>
  <c r="J184" i="1"/>
  <c r="K184" i="1"/>
  <c r="E185" i="1"/>
  <c r="F185" i="1"/>
  <c r="G185" i="1"/>
  <c r="H185" i="1"/>
  <c r="I185" i="1"/>
  <c r="J185" i="1"/>
  <c r="K185" i="1"/>
  <c r="E186" i="1"/>
  <c r="F186" i="1"/>
  <c r="G186" i="1"/>
  <c r="H186" i="1"/>
  <c r="I186" i="1"/>
  <c r="J186" i="1"/>
  <c r="K186" i="1"/>
  <c r="E187" i="1"/>
  <c r="F187" i="1"/>
  <c r="G187" i="1"/>
  <c r="H187" i="1"/>
  <c r="I187" i="1"/>
  <c r="J187" i="1"/>
  <c r="K187" i="1"/>
  <c r="E188" i="1"/>
  <c r="F188" i="1"/>
  <c r="G188" i="1"/>
  <c r="H188" i="1"/>
  <c r="I188" i="1"/>
  <c r="J188" i="1"/>
  <c r="K188" i="1"/>
  <c r="E189" i="1"/>
  <c r="F189" i="1"/>
  <c r="G189" i="1"/>
  <c r="H189" i="1"/>
  <c r="I189" i="1"/>
  <c r="J189" i="1"/>
  <c r="K189" i="1"/>
  <c r="E190" i="1"/>
  <c r="F190" i="1"/>
  <c r="G190" i="1"/>
  <c r="H190" i="1"/>
  <c r="I190" i="1"/>
  <c r="J190" i="1"/>
  <c r="K190" i="1"/>
  <c r="E191" i="1"/>
  <c r="F191" i="1"/>
  <c r="G191" i="1"/>
  <c r="H191" i="1"/>
  <c r="I191" i="1"/>
  <c r="J191" i="1"/>
  <c r="K191" i="1"/>
  <c r="E192" i="1"/>
  <c r="F192" i="1"/>
  <c r="G192" i="1"/>
  <c r="H192" i="1"/>
  <c r="I192" i="1"/>
  <c r="J192" i="1"/>
  <c r="K192" i="1"/>
  <c r="E193" i="1"/>
  <c r="F193" i="1"/>
  <c r="G193" i="1"/>
  <c r="H193" i="1"/>
  <c r="I193" i="1"/>
  <c r="J193" i="1"/>
  <c r="K193" i="1"/>
  <c r="E194" i="1"/>
  <c r="F194" i="1"/>
  <c r="G194" i="1"/>
  <c r="H194" i="1"/>
  <c r="I194" i="1"/>
  <c r="J194" i="1"/>
  <c r="K194" i="1"/>
  <c r="E195" i="1"/>
  <c r="F195" i="1"/>
  <c r="G195" i="1"/>
  <c r="H195" i="1"/>
  <c r="I195" i="1"/>
  <c r="J195" i="1"/>
  <c r="K195" i="1"/>
  <c r="E196" i="1"/>
  <c r="F196" i="1"/>
  <c r="G196" i="1"/>
  <c r="H196" i="1"/>
  <c r="I196" i="1"/>
  <c r="J196" i="1"/>
  <c r="K196" i="1"/>
  <c r="E197" i="1"/>
  <c r="F197" i="1"/>
  <c r="G197" i="1"/>
  <c r="H197" i="1"/>
  <c r="I197" i="1"/>
  <c r="J197" i="1"/>
  <c r="K197" i="1"/>
  <c r="E198" i="1"/>
  <c r="F198" i="1"/>
  <c r="G198" i="1"/>
  <c r="H198" i="1"/>
  <c r="I198" i="1"/>
  <c r="J198" i="1"/>
  <c r="K198" i="1"/>
  <c r="E199" i="1"/>
  <c r="F199" i="1"/>
  <c r="G199" i="1"/>
  <c r="H199" i="1"/>
  <c r="I199" i="1"/>
  <c r="J199" i="1"/>
  <c r="K199" i="1"/>
  <c r="E200" i="1"/>
  <c r="F200" i="1"/>
  <c r="G200" i="1"/>
  <c r="H200" i="1"/>
  <c r="I200" i="1"/>
  <c r="J200" i="1"/>
  <c r="K200" i="1"/>
  <c r="E201" i="1"/>
  <c r="F201" i="1"/>
  <c r="G201" i="1"/>
  <c r="H201" i="1"/>
  <c r="I201" i="1"/>
  <c r="J201" i="1"/>
  <c r="K201" i="1"/>
  <c r="E202" i="1"/>
  <c r="F202" i="1"/>
  <c r="G202" i="1"/>
  <c r="H202" i="1"/>
  <c r="I202" i="1"/>
  <c r="J202" i="1"/>
  <c r="K202" i="1"/>
  <c r="E203" i="1"/>
  <c r="F203" i="1"/>
  <c r="G203" i="1"/>
  <c r="H203" i="1"/>
  <c r="I203" i="1"/>
  <c r="J203" i="1"/>
  <c r="K203" i="1"/>
  <c r="E204" i="1"/>
  <c r="F204" i="1"/>
  <c r="G204" i="1"/>
  <c r="H204" i="1"/>
  <c r="I204" i="1"/>
  <c r="J204" i="1"/>
  <c r="K204" i="1"/>
  <c r="E205" i="1"/>
  <c r="F205" i="1"/>
  <c r="G205" i="1"/>
  <c r="H205" i="1"/>
  <c r="I205" i="1"/>
  <c r="J205" i="1"/>
  <c r="K205" i="1"/>
  <c r="E206" i="1"/>
  <c r="F206" i="1"/>
  <c r="G206" i="1"/>
  <c r="H206" i="1"/>
  <c r="I206" i="1"/>
  <c r="J206" i="1"/>
  <c r="K206" i="1"/>
  <c r="E207" i="1"/>
  <c r="F207" i="1"/>
  <c r="G207" i="1"/>
  <c r="H207" i="1"/>
  <c r="I207" i="1"/>
  <c r="J207" i="1"/>
  <c r="K207" i="1"/>
  <c r="E208" i="1"/>
  <c r="F208" i="1"/>
  <c r="G208" i="1"/>
  <c r="H208" i="1"/>
  <c r="I208" i="1"/>
  <c r="J208" i="1"/>
  <c r="K208" i="1"/>
  <c r="E209" i="1"/>
  <c r="F209" i="1"/>
  <c r="G209" i="1"/>
  <c r="H209" i="1"/>
  <c r="I209" i="1"/>
  <c r="J209" i="1"/>
  <c r="K209" i="1"/>
  <c r="E210" i="1"/>
  <c r="F210" i="1"/>
  <c r="G210" i="1"/>
  <c r="H210" i="1"/>
  <c r="I210" i="1"/>
  <c r="J210" i="1"/>
  <c r="K210" i="1"/>
  <c r="E211" i="1"/>
  <c r="F211" i="1"/>
  <c r="G211" i="1"/>
  <c r="H211" i="1"/>
  <c r="I211" i="1"/>
  <c r="J211" i="1"/>
  <c r="K211" i="1"/>
  <c r="E212" i="1"/>
  <c r="F212" i="1"/>
  <c r="G212" i="1"/>
  <c r="H212" i="1"/>
  <c r="I212" i="1"/>
  <c r="J212" i="1"/>
  <c r="K212" i="1"/>
  <c r="E213" i="1"/>
  <c r="F213" i="1"/>
  <c r="G213" i="1"/>
  <c r="H213" i="1"/>
  <c r="I213" i="1"/>
  <c r="J213" i="1"/>
  <c r="K213" i="1"/>
  <c r="E214" i="1"/>
  <c r="F214" i="1"/>
  <c r="G214" i="1"/>
  <c r="H214" i="1"/>
  <c r="I214" i="1"/>
  <c r="J214" i="1"/>
  <c r="K214" i="1"/>
  <c r="E215" i="1"/>
  <c r="F215" i="1"/>
  <c r="G215" i="1"/>
  <c r="H215" i="1"/>
  <c r="I215" i="1"/>
  <c r="J215" i="1"/>
  <c r="K215" i="1"/>
  <c r="E216" i="1"/>
  <c r="F216" i="1"/>
  <c r="G216" i="1"/>
  <c r="H216" i="1"/>
  <c r="I216" i="1"/>
  <c r="J216" i="1"/>
  <c r="K216" i="1"/>
  <c r="E217" i="1"/>
  <c r="F217" i="1"/>
  <c r="G217" i="1"/>
  <c r="H217" i="1"/>
  <c r="I217" i="1"/>
  <c r="J217" i="1"/>
  <c r="K217" i="1"/>
  <c r="E218" i="1"/>
  <c r="F218" i="1"/>
  <c r="G218" i="1"/>
  <c r="H218" i="1"/>
  <c r="I218" i="1"/>
  <c r="J218" i="1"/>
  <c r="K218" i="1"/>
  <c r="E219" i="1"/>
  <c r="F219" i="1"/>
  <c r="G219" i="1"/>
  <c r="H219" i="1"/>
  <c r="I219" i="1"/>
  <c r="J219" i="1"/>
  <c r="K219" i="1"/>
  <c r="E220" i="1"/>
  <c r="F220" i="1"/>
  <c r="G220" i="1"/>
  <c r="H220" i="1"/>
  <c r="I220" i="1"/>
  <c r="J220" i="1"/>
  <c r="K220" i="1"/>
  <c r="E221" i="1"/>
  <c r="F221" i="1"/>
  <c r="G221" i="1"/>
  <c r="H221" i="1"/>
  <c r="I221" i="1"/>
  <c r="J221" i="1"/>
  <c r="K221" i="1"/>
  <c r="E222" i="1"/>
  <c r="F222" i="1"/>
  <c r="G222" i="1"/>
  <c r="H222" i="1"/>
  <c r="I222" i="1"/>
  <c r="J222" i="1"/>
  <c r="K222" i="1"/>
  <c r="E223" i="1"/>
  <c r="F223" i="1"/>
  <c r="G223" i="1"/>
  <c r="H223" i="1"/>
  <c r="I223" i="1"/>
  <c r="J223" i="1"/>
  <c r="K223" i="1"/>
  <c r="E224" i="1"/>
  <c r="F224" i="1"/>
  <c r="G224" i="1"/>
  <c r="H224" i="1"/>
  <c r="I224" i="1"/>
  <c r="J224" i="1"/>
  <c r="K224" i="1"/>
  <c r="E225" i="1"/>
  <c r="F225" i="1"/>
  <c r="G225" i="1"/>
  <c r="H225" i="1"/>
  <c r="I225" i="1"/>
  <c r="J225" i="1"/>
  <c r="K225" i="1"/>
  <c r="E226" i="1"/>
  <c r="F226" i="1"/>
  <c r="G226" i="1"/>
  <c r="H226" i="1"/>
  <c r="I226" i="1"/>
  <c r="J226" i="1"/>
  <c r="K226" i="1"/>
  <c r="E227" i="1"/>
  <c r="F227" i="1"/>
  <c r="G227" i="1"/>
  <c r="H227" i="1"/>
  <c r="I227" i="1"/>
  <c r="J227" i="1"/>
  <c r="K227" i="1"/>
  <c r="E228" i="1"/>
  <c r="F228" i="1"/>
  <c r="G228" i="1"/>
  <c r="H228" i="1"/>
  <c r="I228" i="1"/>
  <c r="J228" i="1"/>
  <c r="K228" i="1"/>
  <c r="E229" i="1"/>
  <c r="F229" i="1"/>
  <c r="G229" i="1"/>
  <c r="H229" i="1"/>
  <c r="I229" i="1"/>
  <c r="J229" i="1"/>
  <c r="K229" i="1"/>
  <c r="E230" i="1"/>
  <c r="F230" i="1"/>
  <c r="G230" i="1"/>
  <c r="H230" i="1"/>
  <c r="I230" i="1"/>
  <c r="J230" i="1"/>
  <c r="K230" i="1"/>
  <c r="E231" i="1"/>
  <c r="F231" i="1"/>
  <c r="G231" i="1"/>
  <c r="H231" i="1"/>
  <c r="I231" i="1"/>
  <c r="J231" i="1"/>
  <c r="K231" i="1"/>
  <c r="E232" i="1"/>
  <c r="F232" i="1"/>
  <c r="G232" i="1"/>
  <c r="H232" i="1"/>
  <c r="I232" i="1"/>
  <c r="J232" i="1"/>
  <c r="K232" i="1"/>
  <c r="E233" i="1"/>
  <c r="F233" i="1"/>
  <c r="G233" i="1"/>
  <c r="H233" i="1"/>
  <c r="I233" i="1"/>
  <c r="J233" i="1"/>
  <c r="K233" i="1"/>
  <c r="E234" i="1"/>
  <c r="F234" i="1"/>
  <c r="G234" i="1"/>
  <c r="H234" i="1"/>
  <c r="I234" i="1"/>
  <c r="J234" i="1"/>
  <c r="K234" i="1"/>
  <c r="E235" i="1"/>
  <c r="F235" i="1"/>
  <c r="G235" i="1"/>
  <c r="H235" i="1"/>
  <c r="I235" i="1"/>
  <c r="J235" i="1"/>
  <c r="K235" i="1"/>
  <c r="E236" i="1"/>
  <c r="F236" i="1"/>
  <c r="G236" i="1"/>
  <c r="H236" i="1"/>
  <c r="I236" i="1"/>
  <c r="J236" i="1"/>
  <c r="K236" i="1"/>
  <c r="E237" i="1"/>
  <c r="F237" i="1"/>
  <c r="G237" i="1"/>
  <c r="H237" i="1"/>
  <c r="I237" i="1"/>
  <c r="J237" i="1"/>
  <c r="K237" i="1"/>
  <c r="E238" i="1"/>
  <c r="F238" i="1"/>
  <c r="G238" i="1"/>
  <c r="H238" i="1"/>
  <c r="I238" i="1"/>
  <c r="J238" i="1"/>
  <c r="K238" i="1"/>
  <c r="E239" i="1"/>
  <c r="F239" i="1"/>
  <c r="G239" i="1"/>
  <c r="H239" i="1"/>
  <c r="I239" i="1"/>
  <c r="J239" i="1"/>
  <c r="K239" i="1"/>
  <c r="E240" i="1"/>
  <c r="F240" i="1"/>
  <c r="G240" i="1"/>
  <c r="H240" i="1"/>
  <c r="I240" i="1"/>
  <c r="J240" i="1"/>
  <c r="K240" i="1"/>
  <c r="E241" i="1"/>
  <c r="F241" i="1"/>
  <c r="G241" i="1"/>
  <c r="H241" i="1"/>
  <c r="I241" i="1"/>
  <c r="J241" i="1"/>
  <c r="K241" i="1"/>
  <c r="E242" i="1"/>
  <c r="F242" i="1"/>
  <c r="G242" i="1"/>
  <c r="H242" i="1"/>
  <c r="I242" i="1"/>
  <c r="J242" i="1"/>
  <c r="K242" i="1"/>
  <c r="E243" i="1"/>
  <c r="F243" i="1"/>
  <c r="G243" i="1"/>
  <c r="H243" i="1"/>
  <c r="I243" i="1"/>
  <c r="J243" i="1"/>
  <c r="K243" i="1"/>
  <c r="E244" i="1"/>
  <c r="F244" i="1"/>
  <c r="G244" i="1"/>
  <c r="H244" i="1"/>
  <c r="I244" i="1"/>
  <c r="J244" i="1"/>
  <c r="K244" i="1"/>
  <c r="E245" i="1"/>
  <c r="F245" i="1"/>
  <c r="G245" i="1"/>
  <c r="H245" i="1"/>
  <c r="I245" i="1"/>
  <c r="J245" i="1"/>
  <c r="K245" i="1"/>
  <c r="E246" i="1"/>
  <c r="F246" i="1"/>
  <c r="G246" i="1"/>
  <c r="H246" i="1"/>
  <c r="I246" i="1"/>
  <c r="J246" i="1"/>
  <c r="K246" i="1"/>
  <c r="E247" i="1"/>
  <c r="F247" i="1"/>
  <c r="G247" i="1"/>
  <c r="H247" i="1"/>
  <c r="I247" i="1"/>
  <c r="J247" i="1"/>
  <c r="K247" i="1"/>
  <c r="E248" i="1"/>
  <c r="F248" i="1"/>
  <c r="G248" i="1"/>
  <c r="H248" i="1"/>
  <c r="I248" i="1"/>
  <c r="J248" i="1"/>
  <c r="K248" i="1"/>
  <c r="E249" i="1"/>
  <c r="F249" i="1"/>
  <c r="G249" i="1"/>
  <c r="H249" i="1"/>
  <c r="I249" i="1"/>
  <c r="J249" i="1"/>
  <c r="K249" i="1"/>
  <c r="E250" i="1"/>
  <c r="F250" i="1"/>
  <c r="G250" i="1"/>
  <c r="H250" i="1"/>
  <c r="I250" i="1"/>
  <c r="J250" i="1"/>
  <c r="K250" i="1"/>
  <c r="E251" i="1"/>
  <c r="F251" i="1"/>
  <c r="G251" i="1"/>
  <c r="H251" i="1"/>
  <c r="I251" i="1"/>
  <c r="J251" i="1"/>
  <c r="K251" i="1"/>
  <c r="E252" i="1"/>
  <c r="F252" i="1"/>
  <c r="G252" i="1"/>
  <c r="H252" i="1"/>
  <c r="I252" i="1"/>
  <c r="J252" i="1"/>
  <c r="K252" i="1"/>
  <c r="E253" i="1"/>
  <c r="F253" i="1"/>
  <c r="G253" i="1"/>
  <c r="H253" i="1"/>
  <c r="I253" i="1"/>
  <c r="J253" i="1"/>
  <c r="K253" i="1"/>
  <c r="E254" i="1"/>
  <c r="F254" i="1"/>
  <c r="G254" i="1"/>
  <c r="H254" i="1"/>
  <c r="I254" i="1"/>
  <c r="J254" i="1"/>
  <c r="K254" i="1"/>
  <c r="E255" i="1"/>
  <c r="F255" i="1"/>
  <c r="G255" i="1"/>
  <c r="H255" i="1"/>
  <c r="I255" i="1"/>
  <c r="J255" i="1"/>
  <c r="K255" i="1"/>
  <c r="E256" i="1"/>
  <c r="F256" i="1"/>
  <c r="G256" i="1"/>
  <c r="H256" i="1"/>
  <c r="I256" i="1"/>
  <c r="J256" i="1"/>
  <c r="K256" i="1"/>
  <c r="E257" i="1"/>
  <c r="F257" i="1"/>
  <c r="G257" i="1"/>
  <c r="H257" i="1"/>
  <c r="I257" i="1"/>
  <c r="J257" i="1"/>
  <c r="K257" i="1"/>
  <c r="E258" i="1"/>
  <c r="F258" i="1"/>
  <c r="G258" i="1"/>
  <c r="H258" i="1"/>
  <c r="I258" i="1"/>
  <c r="J258" i="1"/>
  <c r="K258" i="1"/>
  <c r="E259" i="1"/>
  <c r="F259" i="1"/>
  <c r="G259" i="1"/>
  <c r="H259" i="1"/>
  <c r="I259" i="1"/>
  <c r="J259" i="1"/>
  <c r="K259" i="1"/>
  <c r="E260" i="1"/>
  <c r="F260" i="1"/>
  <c r="G260" i="1"/>
  <c r="H260" i="1"/>
  <c r="I260" i="1"/>
  <c r="J260" i="1"/>
  <c r="K260" i="1"/>
  <c r="E261" i="1"/>
  <c r="F261" i="1"/>
  <c r="G261" i="1"/>
  <c r="H261" i="1"/>
  <c r="I261" i="1"/>
  <c r="J261" i="1"/>
  <c r="K261" i="1"/>
  <c r="E262" i="1"/>
  <c r="F262" i="1"/>
  <c r="G262" i="1"/>
  <c r="H262" i="1"/>
  <c r="I262" i="1"/>
  <c r="J262" i="1"/>
  <c r="K262" i="1"/>
  <c r="E263" i="1"/>
  <c r="F263" i="1"/>
  <c r="G263" i="1"/>
  <c r="H263" i="1"/>
  <c r="I263" i="1"/>
  <c r="J263" i="1"/>
  <c r="K263" i="1"/>
  <c r="E264" i="1"/>
  <c r="F264" i="1"/>
  <c r="G264" i="1"/>
  <c r="H264" i="1"/>
  <c r="I264" i="1"/>
  <c r="J264" i="1"/>
  <c r="K264" i="1"/>
  <c r="E265" i="1"/>
  <c r="F265" i="1"/>
  <c r="G265" i="1"/>
  <c r="H265" i="1"/>
  <c r="I265" i="1"/>
  <c r="J265" i="1"/>
  <c r="K265" i="1"/>
  <c r="E266" i="1"/>
  <c r="F266" i="1"/>
  <c r="G266" i="1"/>
  <c r="H266" i="1"/>
  <c r="I266" i="1"/>
  <c r="J266" i="1"/>
  <c r="K266" i="1"/>
  <c r="E267" i="1"/>
  <c r="F267" i="1"/>
  <c r="G267" i="1"/>
  <c r="H267" i="1"/>
  <c r="I267" i="1"/>
  <c r="J267" i="1"/>
  <c r="K267" i="1"/>
  <c r="E268" i="1"/>
  <c r="F268" i="1"/>
  <c r="G268" i="1"/>
  <c r="H268" i="1"/>
  <c r="I268" i="1"/>
  <c r="J268" i="1"/>
  <c r="K268" i="1"/>
  <c r="E269" i="1"/>
  <c r="F269" i="1"/>
  <c r="G269" i="1"/>
  <c r="H269" i="1"/>
  <c r="I269" i="1"/>
  <c r="J269" i="1"/>
  <c r="K269" i="1"/>
  <c r="E270" i="1"/>
  <c r="F270" i="1"/>
  <c r="G270" i="1"/>
  <c r="H270" i="1"/>
  <c r="I270" i="1"/>
  <c r="J270" i="1"/>
  <c r="K270" i="1"/>
  <c r="E271" i="1"/>
  <c r="F271" i="1"/>
  <c r="G271" i="1"/>
  <c r="H271" i="1"/>
  <c r="I271" i="1"/>
  <c r="J271" i="1"/>
  <c r="K271" i="1"/>
  <c r="E272" i="1"/>
  <c r="F272" i="1"/>
  <c r="G272" i="1"/>
  <c r="H272" i="1"/>
  <c r="I272" i="1"/>
  <c r="J272" i="1"/>
  <c r="K272" i="1"/>
  <c r="E273" i="1"/>
  <c r="F273" i="1"/>
  <c r="G273" i="1"/>
  <c r="H273" i="1"/>
  <c r="I273" i="1"/>
  <c r="J273" i="1"/>
  <c r="K273" i="1"/>
  <c r="E274" i="1"/>
  <c r="F274" i="1"/>
  <c r="G274" i="1"/>
  <c r="H274" i="1"/>
  <c r="I274" i="1"/>
  <c r="J274" i="1"/>
  <c r="K274" i="1"/>
  <c r="E275" i="1"/>
  <c r="F275" i="1"/>
  <c r="G275" i="1"/>
  <c r="H275" i="1"/>
  <c r="I275" i="1"/>
  <c r="J275" i="1"/>
  <c r="K275" i="1"/>
  <c r="E276" i="1"/>
  <c r="F276" i="1"/>
  <c r="G276" i="1"/>
  <c r="H276" i="1"/>
  <c r="I276" i="1"/>
  <c r="J276" i="1"/>
  <c r="K276" i="1"/>
  <c r="E277" i="1"/>
  <c r="F277" i="1"/>
  <c r="G277" i="1"/>
  <c r="H277" i="1"/>
  <c r="I277" i="1"/>
  <c r="J277" i="1"/>
  <c r="K277" i="1"/>
  <c r="E278" i="1"/>
  <c r="F278" i="1"/>
  <c r="G278" i="1"/>
  <c r="H278" i="1"/>
  <c r="I278" i="1"/>
  <c r="J278" i="1"/>
  <c r="K278" i="1"/>
  <c r="E279" i="1"/>
  <c r="F279" i="1"/>
  <c r="G279" i="1"/>
  <c r="H279" i="1"/>
  <c r="I279" i="1"/>
  <c r="J279" i="1"/>
  <c r="K279" i="1"/>
  <c r="E280" i="1"/>
  <c r="F280" i="1"/>
  <c r="G280" i="1"/>
  <c r="H280" i="1"/>
  <c r="I280" i="1"/>
  <c r="J280" i="1"/>
  <c r="K280" i="1"/>
  <c r="E281" i="1"/>
  <c r="F281" i="1"/>
  <c r="G281" i="1"/>
  <c r="H281" i="1"/>
  <c r="I281" i="1"/>
  <c r="J281" i="1"/>
  <c r="K281" i="1"/>
  <c r="E282" i="1"/>
  <c r="F282" i="1"/>
  <c r="G282" i="1"/>
  <c r="H282" i="1"/>
  <c r="I282" i="1"/>
  <c r="J282" i="1"/>
  <c r="K282" i="1"/>
  <c r="E283" i="1"/>
  <c r="F283" i="1"/>
  <c r="G283" i="1"/>
  <c r="H283" i="1"/>
  <c r="I283" i="1"/>
  <c r="J283" i="1"/>
  <c r="K283" i="1"/>
  <c r="E284" i="1"/>
  <c r="F284" i="1"/>
  <c r="G284" i="1"/>
  <c r="H284" i="1"/>
  <c r="I284" i="1"/>
  <c r="J284" i="1"/>
  <c r="K284" i="1"/>
  <c r="E285" i="1"/>
  <c r="F285" i="1"/>
  <c r="G285" i="1"/>
  <c r="H285" i="1"/>
  <c r="I285" i="1"/>
  <c r="J285" i="1"/>
  <c r="K285" i="1"/>
  <c r="E286" i="1"/>
  <c r="F286" i="1"/>
  <c r="G286" i="1"/>
  <c r="H286" i="1"/>
  <c r="I286" i="1"/>
  <c r="J286" i="1"/>
  <c r="K286" i="1"/>
  <c r="E287" i="1"/>
  <c r="F287" i="1"/>
  <c r="G287" i="1"/>
  <c r="H287" i="1"/>
  <c r="I287" i="1"/>
  <c r="J287" i="1"/>
  <c r="K287" i="1"/>
  <c r="E288" i="1"/>
  <c r="F288" i="1"/>
  <c r="G288" i="1"/>
  <c r="H288" i="1"/>
  <c r="I288" i="1"/>
  <c r="J288" i="1"/>
  <c r="K288" i="1"/>
  <c r="E289" i="1"/>
  <c r="F289" i="1"/>
  <c r="G289" i="1"/>
  <c r="H289" i="1"/>
  <c r="I289" i="1"/>
  <c r="J289" i="1"/>
  <c r="K289" i="1"/>
  <c r="E290" i="1"/>
  <c r="F290" i="1"/>
  <c r="G290" i="1"/>
  <c r="H290" i="1"/>
  <c r="I290" i="1"/>
  <c r="J290" i="1"/>
  <c r="K290" i="1"/>
  <c r="E291" i="1"/>
  <c r="F291" i="1"/>
  <c r="G291" i="1"/>
  <c r="H291" i="1"/>
  <c r="I291" i="1"/>
  <c r="J291" i="1"/>
  <c r="K291" i="1"/>
  <c r="E292" i="1"/>
  <c r="F292" i="1"/>
  <c r="G292" i="1"/>
  <c r="H292" i="1"/>
  <c r="I292" i="1"/>
  <c r="J292" i="1"/>
  <c r="K292" i="1"/>
  <c r="E293" i="1"/>
  <c r="F293" i="1"/>
  <c r="G293" i="1"/>
  <c r="H293" i="1"/>
  <c r="I293" i="1"/>
  <c r="J293" i="1"/>
  <c r="K293" i="1"/>
  <c r="E294" i="1"/>
  <c r="F294" i="1"/>
  <c r="G294" i="1"/>
  <c r="H294" i="1"/>
  <c r="I294" i="1"/>
  <c r="J294" i="1"/>
  <c r="K294" i="1"/>
  <c r="E295" i="1"/>
  <c r="F295" i="1"/>
  <c r="G295" i="1"/>
  <c r="H295" i="1"/>
  <c r="I295" i="1"/>
  <c r="J295" i="1"/>
  <c r="K295" i="1"/>
  <c r="E296" i="1"/>
  <c r="F296" i="1"/>
  <c r="G296" i="1"/>
  <c r="H296" i="1"/>
  <c r="I296" i="1"/>
  <c r="J296" i="1"/>
  <c r="K296" i="1"/>
  <c r="E297" i="1"/>
  <c r="F297" i="1"/>
  <c r="G297" i="1"/>
  <c r="H297" i="1"/>
  <c r="I297" i="1"/>
  <c r="J297" i="1"/>
  <c r="K297" i="1"/>
  <c r="E298" i="1"/>
  <c r="F298" i="1"/>
  <c r="G298" i="1"/>
  <c r="H298" i="1"/>
  <c r="I298" i="1"/>
  <c r="J298" i="1"/>
  <c r="K298" i="1"/>
  <c r="E299" i="1"/>
  <c r="F299" i="1"/>
  <c r="G299" i="1"/>
  <c r="H299" i="1"/>
  <c r="I299" i="1"/>
  <c r="J299" i="1"/>
  <c r="K299" i="1"/>
  <c r="E300" i="1"/>
  <c r="F300" i="1"/>
  <c r="G300" i="1"/>
  <c r="H300" i="1"/>
  <c r="I300" i="1"/>
  <c r="J300" i="1"/>
  <c r="K300" i="1"/>
  <c r="E301" i="1"/>
  <c r="F301" i="1"/>
  <c r="G301" i="1"/>
  <c r="H301" i="1"/>
  <c r="I301" i="1"/>
  <c r="J301" i="1"/>
  <c r="K301" i="1"/>
  <c r="E302" i="1"/>
  <c r="F302" i="1"/>
  <c r="G302" i="1"/>
  <c r="H302" i="1"/>
  <c r="I302" i="1"/>
  <c r="J302" i="1"/>
  <c r="K302" i="1"/>
  <c r="E303" i="1"/>
  <c r="F303" i="1"/>
  <c r="G303" i="1"/>
  <c r="H303" i="1"/>
  <c r="I303" i="1"/>
  <c r="J303" i="1"/>
  <c r="K303" i="1"/>
  <c r="E304" i="1"/>
  <c r="F304" i="1"/>
  <c r="G304" i="1"/>
  <c r="H304" i="1"/>
  <c r="I304" i="1"/>
  <c r="J304" i="1"/>
  <c r="K304" i="1"/>
  <c r="E305" i="1"/>
  <c r="F305" i="1"/>
  <c r="G305" i="1"/>
  <c r="H305" i="1"/>
  <c r="I305" i="1"/>
  <c r="J305" i="1"/>
  <c r="K305" i="1"/>
  <c r="E306" i="1"/>
  <c r="F306" i="1"/>
  <c r="G306" i="1"/>
  <c r="H306" i="1"/>
  <c r="I306" i="1"/>
  <c r="J306" i="1"/>
  <c r="K306" i="1"/>
  <c r="E307" i="1"/>
  <c r="F307" i="1"/>
  <c r="G307" i="1"/>
  <c r="H307" i="1"/>
  <c r="I307" i="1"/>
  <c r="J307" i="1"/>
  <c r="K307" i="1"/>
  <c r="E308" i="1"/>
  <c r="F308" i="1"/>
  <c r="G308" i="1"/>
  <c r="H308" i="1"/>
  <c r="I308" i="1"/>
  <c r="J308" i="1"/>
  <c r="K308" i="1"/>
  <c r="E309" i="1"/>
  <c r="F309" i="1"/>
  <c r="G309" i="1"/>
  <c r="H309" i="1"/>
  <c r="I309" i="1"/>
  <c r="J309" i="1"/>
  <c r="K309" i="1"/>
  <c r="E310" i="1"/>
  <c r="F310" i="1"/>
  <c r="G310" i="1"/>
  <c r="H310" i="1"/>
  <c r="I310" i="1"/>
  <c r="J310" i="1"/>
  <c r="K310" i="1"/>
  <c r="E311" i="1"/>
  <c r="F311" i="1"/>
  <c r="G311" i="1"/>
  <c r="H311" i="1"/>
  <c r="I311" i="1"/>
  <c r="J311" i="1"/>
  <c r="K311" i="1"/>
  <c r="E312" i="1"/>
  <c r="F312" i="1"/>
  <c r="G312" i="1"/>
  <c r="H312" i="1"/>
  <c r="I312" i="1"/>
  <c r="J312" i="1"/>
  <c r="K312" i="1"/>
  <c r="E313" i="1"/>
  <c r="F313" i="1"/>
  <c r="G313" i="1"/>
  <c r="H313" i="1"/>
  <c r="I313" i="1"/>
  <c r="J313" i="1"/>
  <c r="K313" i="1"/>
  <c r="E314" i="1"/>
  <c r="F314" i="1"/>
  <c r="G314" i="1"/>
  <c r="H314" i="1"/>
  <c r="I314" i="1"/>
  <c r="J314" i="1"/>
  <c r="K314" i="1"/>
  <c r="E315" i="1"/>
  <c r="F315" i="1"/>
  <c r="G315" i="1"/>
  <c r="H315" i="1"/>
  <c r="I315" i="1"/>
  <c r="J315" i="1"/>
  <c r="K315" i="1"/>
  <c r="E316" i="1"/>
  <c r="F316" i="1"/>
  <c r="G316" i="1"/>
  <c r="H316" i="1"/>
  <c r="I316" i="1"/>
  <c r="J316" i="1"/>
  <c r="K316" i="1"/>
  <c r="E317" i="1"/>
  <c r="F317" i="1"/>
  <c r="G317" i="1"/>
  <c r="H317" i="1"/>
  <c r="I317" i="1"/>
  <c r="J317" i="1"/>
  <c r="K317" i="1"/>
  <c r="E318" i="1"/>
  <c r="F318" i="1"/>
  <c r="G318" i="1"/>
  <c r="H318" i="1"/>
  <c r="I318" i="1"/>
  <c r="J318" i="1"/>
  <c r="K318" i="1"/>
  <c r="E319" i="1"/>
  <c r="F319" i="1"/>
  <c r="G319" i="1"/>
  <c r="H319" i="1"/>
  <c r="I319" i="1"/>
  <c r="J319" i="1"/>
  <c r="K319" i="1"/>
  <c r="E320" i="1"/>
  <c r="F320" i="1"/>
  <c r="G320" i="1"/>
  <c r="H320" i="1"/>
  <c r="I320" i="1"/>
  <c r="J320" i="1"/>
  <c r="K320" i="1"/>
  <c r="E321" i="1"/>
  <c r="F321" i="1"/>
  <c r="G321" i="1"/>
  <c r="H321" i="1"/>
  <c r="I321" i="1"/>
  <c r="J321" i="1"/>
  <c r="K321" i="1"/>
  <c r="E322" i="1"/>
  <c r="F322" i="1"/>
  <c r="G322" i="1"/>
  <c r="H322" i="1"/>
  <c r="I322" i="1"/>
  <c r="J322" i="1"/>
  <c r="K322" i="1"/>
  <c r="E323" i="1"/>
  <c r="F323" i="1"/>
  <c r="G323" i="1"/>
  <c r="H323" i="1"/>
  <c r="I323" i="1"/>
  <c r="J323" i="1"/>
  <c r="K323" i="1"/>
  <c r="E324" i="1"/>
  <c r="F324" i="1"/>
  <c r="G324" i="1"/>
  <c r="H324" i="1"/>
  <c r="I324" i="1"/>
  <c r="J324" i="1"/>
  <c r="K324" i="1"/>
  <c r="E325" i="1"/>
  <c r="F325" i="1"/>
  <c r="G325" i="1"/>
  <c r="H325" i="1"/>
  <c r="I325" i="1"/>
  <c r="J325" i="1"/>
  <c r="K325" i="1"/>
  <c r="E326" i="1"/>
  <c r="F326" i="1"/>
  <c r="G326" i="1"/>
  <c r="H326" i="1"/>
  <c r="I326" i="1"/>
  <c r="J326" i="1"/>
  <c r="K326" i="1"/>
  <c r="E327" i="1"/>
  <c r="F327" i="1"/>
  <c r="G327" i="1"/>
  <c r="H327" i="1"/>
  <c r="I327" i="1"/>
  <c r="J327" i="1"/>
  <c r="K327" i="1"/>
  <c r="E328" i="1"/>
  <c r="F328" i="1"/>
  <c r="G328" i="1"/>
  <c r="H328" i="1"/>
  <c r="I328" i="1"/>
  <c r="J328" i="1"/>
  <c r="K328" i="1"/>
  <c r="E329" i="1"/>
  <c r="F329" i="1"/>
  <c r="G329" i="1"/>
  <c r="H329" i="1"/>
  <c r="I329" i="1"/>
  <c r="J329" i="1"/>
  <c r="K329" i="1"/>
  <c r="E330" i="1"/>
  <c r="F330" i="1"/>
  <c r="G330" i="1"/>
  <c r="H330" i="1"/>
  <c r="I330" i="1"/>
  <c r="J330" i="1"/>
  <c r="K330" i="1"/>
  <c r="E331" i="1"/>
  <c r="F331" i="1"/>
  <c r="G331" i="1"/>
  <c r="H331" i="1"/>
  <c r="I331" i="1"/>
  <c r="J331" i="1"/>
  <c r="K331" i="1"/>
  <c r="E332" i="1"/>
  <c r="F332" i="1"/>
  <c r="G332" i="1"/>
  <c r="H332" i="1"/>
  <c r="I332" i="1"/>
  <c r="J332" i="1"/>
  <c r="K332" i="1"/>
  <c r="E333" i="1"/>
  <c r="F333" i="1"/>
  <c r="G333" i="1"/>
  <c r="H333" i="1"/>
  <c r="I333" i="1"/>
  <c r="J333" i="1"/>
  <c r="K333" i="1"/>
  <c r="E334" i="1"/>
  <c r="F334" i="1"/>
  <c r="G334" i="1"/>
  <c r="H334" i="1"/>
  <c r="I334" i="1"/>
  <c r="J334" i="1"/>
  <c r="K334" i="1"/>
  <c r="E335" i="1"/>
  <c r="F335" i="1"/>
  <c r="G335" i="1"/>
  <c r="H335" i="1"/>
  <c r="I335" i="1"/>
  <c r="J335" i="1"/>
  <c r="K335" i="1"/>
  <c r="E336" i="1"/>
  <c r="F336" i="1"/>
  <c r="G336" i="1"/>
  <c r="H336" i="1"/>
  <c r="I336" i="1"/>
  <c r="J336" i="1"/>
  <c r="K336" i="1"/>
  <c r="E337" i="1"/>
  <c r="F337" i="1"/>
  <c r="G337" i="1"/>
  <c r="H337" i="1"/>
  <c r="I337" i="1"/>
  <c r="J337" i="1"/>
  <c r="K337" i="1"/>
  <c r="E338" i="1"/>
  <c r="F338" i="1"/>
  <c r="G338" i="1"/>
  <c r="H338" i="1"/>
  <c r="I338" i="1"/>
  <c r="J338" i="1"/>
  <c r="K338" i="1"/>
  <c r="E339" i="1"/>
  <c r="F339" i="1"/>
  <c r="G339" i="1"/>
  <c r="H339" i="1"/>
  <c r="I339" i="1"/>
  <c r="J339" i="1"/>
  <c r="K339" i="1"/>
  <c r="E340" i="1"/>
  <c r="F340" i="1"/>
  <c r="G340" i="1"/>
  <c r="H340" i="1"/>
  <c r="I340" i="1"/>
  <c r="J340" i="1"/>
  <c r="K340" i="1"/>
  <c r="E341" i="1"/>
  <c r="F341" i="1"/>
  <c r="G341" i="1"/>
  <c r="H341" i="1"/>
  <c r="I341" i="1"/>
  <c r="J341" i="1"/>
  <c r="K341" i="1"/>
  <c r="E342" i="1"/>
  <c r="F342" i="1"/>
  <c r="G342" i="1"/>
  <c r="H342" i="1"/>
  <c r="I342" i="1"/>
  <c r="J342" i="1"/>
  <c r="K342" i="1"/>
  <c r="E343" i="1"/>
  <c r="F343" i="1"/>
  <c r="G343" i="1"/>
  <c r="H343" i="1"/>
  <c r="I343" i="1"/>
  <c r="J343" i="1"/>
  <c r="K343" i="1"/>
  <c r="E344" i="1"/>
  <c r="F344" i="1"/>
  <c r="G344" i="1"/>
  <c r="H344" i="1"/>
  <c r="I344" i="1"/>
  <c r="J344" i="1"/>
  <c r="K344" i="1"/>
  <c r="E345" i="1"/>
  <c r="F345" i="1"/>
  <c r="G345" i="1"/>
  <c r="H345" i="1"/>
  <c r="I345" i="1"/>
  <c r="J345" i="1"/>
  <c r="K345" i="1"/>
  <c r="E346" i="1"/>
  <c r="F346" i="1"/>
  <c r="G346" i="1"/>
  <c r="H346" i="1"/>
  <c r="I346" i="1"/>
  <c r="J346" i="1"/>
  <c r="K346" i="1"/>
  <c r="E347" i="1"/>
  <c r="F347" i="1"/>
  <c r="G347" i="1"/>
  <c r="H347" i="1"/>
  <c r="I347" i="1"/>
  <c r="J347" i="1"/>
  <c r="K347" i="1"/>
  <c r="E348" i="1"/>
  <c r="F348" i="1"/>
  <c r="G348" i="1"/>
  <c r="H348" i="1"/>
  <c r="I348" i="1"/>
  <c r="J348" i="1"/>
  <c r="K348" i="1"/>
  <c r="E349" i="1"/>
  <c r="F349" i="1"/>
  <c r="G349" i="1"/>
  <c r="H349" i="1"/>
  <c r="I349" i="1"/>
  <c r="J349" i="1"/>
  <c r="K349" i="1"/>
  <c r="E350" i="1"/>
  <c r="F350" i="1"/>
  <c r="G350" i="1"/>
  <c r="H350" i="1"/>
  <c r="I350" i="1"/>
  <c r="J350" i="1"/>
  <c r="K350" i="1"/>
  <c r="E351" i="1"/>
  <c r="F351" i="1"/>
  <c r="G351" i="1"/>
  <c r="H351" i="1"/>
  <c r="I351" i="1"/>
  <c r="J351" i="1"/>
  <c r="K351" i="1"/>
  <c r="E352" i="1"/>
  <c r="F352" i="1"/>
  <c r="G352" i="1"/>
  <c r="H352" i="1"/>
  <c r="I352" i="1"/>
  <c r="J352" i="1"/>
  <c r="K352" i="1"/>
  <c r="E353" i="1"/>
  <c r="F353" i="1"/>
  <c r="G353" i="1"/>
  <c r="H353" i="1"/>
  <c r="I353" i="1"/>
  <c r="J353" i="1"/>
  <c r="K353" i="1"/>
  <c r="E354" i="1"/>
  <c r="F354" i="1"/>
  <c r="G354" i="1"/>
  <c r="H354" i="1"/>
  <c r="I354" i="1"/>
  <c r="J354" i="1"/>
  <c r="K354" i="1"/>
  <c r="E355" i="1"/>
  <c r="F355" i="1"/>
  <c r="G355" i="1"/>
  <c r="H355" i="1"/>
  <c r="I355" i="1"/>
  <c r="J355" i="1"/>
  <c r="K355" i="1"/>
  <c r="E356" i="1"/>
  <c r="F356" i="1"/>
  <c r="G356" i="1"/>
  <c r="H356" i="1"/>
  <c r="I356" i="1"/>
  <c r="J356" i="1"/>
  <c r="K356" i="1"/>
  <c r="E357" i="1"/>
  <c r="F357" i="1"/>
  <c r="G357" i="1"/>
  <c r="H357" i="1"/>
  <c r="I357" i="1"/>
  <c r="J357" i="1"/>
  <c r="K357" i="1"/>
  <c r="E358" i="1"/>
  <c r="F358" i="1"/>
  <c r="G358" i="1"/>
  <c r="H358" i="1"/>
  <c r="I358" i="1"/>
  <c r="J358" i="1"/>
  <c r="K358" i="1"/>
  <c r="E359" i="1"/>
  <c r="F359" i="1"/>
  <c r="G359" i="1"/>
  <c r="H359" i="1"/>
  <c r="I359" i="1"/>
  <c r="J359" i="1"/>
  <c r="K359" i="1"/>
  <c r="E360" i="1"/>
  <c r="F360" i="1"/>
  <c r="G360" i="1"/>
  <c r="H360" i="1"/>
  <c r="I360" i="1"/>
  <c r="J360" i="1"/>
  <c r="K360" i="1"/>
  <c r="E361" i="1"/>
  <c r="F361" i="1"/>
  <c r="G361" i="1"/>
  <c r="H361" i="1"/>
  <c r="I361" i="1"/>
  <c r="J361" i="1"/>
  <c r="K361" i="1"/>
  <c r="E362" i="1"/>
  <c r="F362" i="1"/>
  <c r="G362" i="1"/>
  <c r="H362" i="1"/>
  <c r="I362" i="1"/>
  <c r="J362" i="1"/>
  <c r="K362" i="1"/>
  <c r="E363" i="1"/>
  <c r="F363" i="1"/>
  <c r="G363" i="1"/>
  <c r="H363" i="1"/>
  <c r="I363" i="1"/>
  <c r="J363" i="1"/>
  <c r="K363" i="1"/>
  <c r="E364" i="1"/>
  <c r="F364" i="1"/>
  <c r="G364" i="1"/>
  <c r="H364" i="1"/>
  <c r="I364" i="1"/>
  <c r="J364" i="1"/>
  <c r="K364" i="1"/>
  <c r="E365" i="1"/>
  <c r="F365" i="1"/>
  <c r="G365" i="1"/>
  <c r="H365" i="1"/>
  <c r="I365" i="1"/>
  <c r="J365" i="1"/>
  <c r="K365" i="1"/>
  <c r="E366" i="1"/>
  <c r="F366" i="1"/>
  <c r="G366" i="1"/>
  <c r="H366" i="1"/>
  <c r="I366" i="1"/>
  <c r="J366" i="1"/>
  <c r="K366" i="1"/>
  <c r="E367" i="1"/>
  <c r="F367" i="1"/>
  <c r="G367" i="1"/>
  <c r="H367" i="1"/>
  <c r="I367" i="1"/>
  <c r="J367" i="1"/>
  <c r="K367" i="1"/>
  <c r="E368" i="1"/>
  <c r="F368" i="1"/>
  <c r="G368" i="1"/>
  <c r="H368" i="1"/>
  <c r="I368" i="1"/>
  <c r="J368" i="1"/>
  <c r="K368" i="1"/>
  <c r="E369" i="1"/>
  <c r="F369" i="1"/>
  <c r="G369" i="1"/>
  <c r="H369" i="1"/>
  <c r="I369" i="1"/>
  <c r="J369" i="1"/>
  <c r="K369" i="1"/>
  <c r="E370" i="1"/>
  <c r="F370" i="1"/>
  <c r="G370" i="1"/>
  <c r="H370" i="1"/>
  <c r="I370" i="1"/>
  <c r="J370" i="1"/>
  <c r="K370" i="1"/>
  <c r="E371" i="1"/>
  <c r="F371" i="1"/>
  <c r="G371" i="1"/>
  <c r="H371" i="1"/>
  <c r="I371" i="1"/>
  <c r="J371" i="1"/>
  <c r="K371" i="1"/>
  <c r="E372" i="1"/>
  <c r="F372" i="1"/>
  <c r="G372" i="1"/>
  <c r="H372" i="1"/>
  <c r="I372" i="1"/>
  <c r="J372" i="1"/>
  <c r="K372" i="1"/>
  <c r="E373" i="1"/>
  <c r="F373" i="1"/>
  <c r="G373" i="1"/>
  <c r="H373" i="1"/>
  <c r="I373" i="1"/>
  <c r="J373" i="1"/>
  <c r="K373" i="1"/>
  <c r="E374" i="1"/>
  <c r="F374" i="1"/>
  <c r="G374" i="1"/>
  <c r="H374" i="1"/>
  <c r="I374" i="1"/>
  <c r="J374" i="1"/>
  <c r="K374" i="1"/>
  <c r="E375" i="1"/>
  <c r="F375" i="1"/>
  <c r="G375" i="1"/>
  <c r="H375" i="1"/>
  <c r="I375" i="1"/>
  <c r="J375" i="1"/>
  <c r="K375" i="1"/>
  <c r="E376" i="1"/>
  <c r="F376" i="1"/>
  <c r="G376" i="1"/>
  <c r="H376" i="1"/>
  <c r="I376" i="1"/>
  <c r="J376" i="1"/>
  <c r="K376" i="1"/>
  <c r="E377" i="1"/>
  <c r="F377" i="1"/>
  <c r="G377" i="1"/>
  <c r="H377" i="1"/>
  <c r="I377" i="1"/>
  <c r="J377" i="1"/>
  <c r="K377" i="1"/>
  <c r="E378" i="1"/>
  <c r="F378" i="1"/>
  <c r="G378" i="1"/>
  <c r="H378" i="1"/>
  <c r="I378" i="1"/>
  <c r="J378" i="1"/>
  <c r="K378" i="1"/>
  <c r="E379" i="1"/>
  <c r="F379" i="1"/>
  <c r="G379" i="1"/>
  <c r="H379" i="1"/>
  <c r="I379" i="1"/>
  <c r="J379" i="1"/>
  <c r="K379" i="1"/>
  <c r="E380" i="1"/>
  <c r="F380" i="1"/>
  <c r="G380" i="1"/>
  <c r="H380" i="1"/>
  <c r="I380" i="1"/>
  <c r="J380" i="1"/>
  <c r="K380" i="1"/>
  <c r="E381" i="1"/>
  <c r="F381" i="1"/>
  <c r="G381" i="1"/>
  <c r="H381" i="1"/>
  <c r="I381" i="1"/>
  <c r="J381" i="1"/>
  <c r="K381" i="1"/>
  <c r="E382" i="1"/>
  <c r="F382" i="1"/>
  <c r="G382" i="1"/>
  <c r="H382" i="1"/>
  <c r="I382" i="1"/>
  <c r="J382" i="1"/>
  <c r="K382" i="1"/>
  <c r="E383" i="1"/>
  <c r="F383" i="1"/>
  <c r="G383" i="1"/>
  <c r="H383" i="1"/>
  <c r="I383" i="1"/>
  <c r="J383" i="1"/>
  <c r="K383" i="1"/>
  <c r="E384" i="1"/>
  <c r="F384" i="1"/>
  <c r="G384" i="1"/>
  <c r="H384" i="1"/>
  <c r="I384" i="1"/>
  <c r="J384" i="1"/>
  <c r="K384" i="1"/>
  <c r="E385" i="1"/>
  <c r="F385" i="1"/>
  <c r="G385" i="1"/>
  <c r="H385" i="1"/>
  <c r="I385" i="1"/>
  <c r="J385" i="1"/>
  <c r="K385" i="1"/>
  <c r="E386" i="1"/>
  <c r="F386" i="1"/>
  <c r="G386" i="1"/>
  <c r="H386" i="1"/>
  <c r="I386" i="1"/>
  <c r="J386" i="1"/>
  <c r="K386" i="1"/>
  <c r="E387" i="1"/>
  <c r="F387" i="1"/>
  <c r="G387" i="1"/>
  <c r="H387" i="1"/>
  <c r="I387" i="1"/>
  <c r="J387" i="1"/>
  <c r="K387" i="1"/>
  <c r="E388" i="1"/>
  <c r="F388" i="1"/>
  <c r="G388" i="1"/>
  <c r="H388" i="1"/>
  <c r="I388" i="1"/>
  <c r="J388" i="1"/>
  <c r="K388" i="1"/>
  <c r="E389" i="1"/>
  <c r="F389" i="1"/>
  <c r="G389" i="1"/>
  <c r="H389" i="1"/>
  <c r="I389" i="1"/>
  <c r="J389" i="1"/>
  <c r="K389" i="1"/>
  <c r="E390" i="1"/>
  <c r="F390" i="1"/>
  <c r="G390" i="1"/>
  <c r="H390" i="1"/>
  <c r="I390" i="1"/>
  <c r="J390" i="1"/>
  <c r="K390" i="1"/>
  <c r="E391" i="1"/>
  <c r="F391" i="1"/>
  <c r="G391" i="1"/>
  <c r="H391" i="1"/>
  <c r="I391" i="1"/>
  <c r="J391" i="1"/>
  <c r="K391" i="1"/>
  <c r="E392" i="1"/>
  <c r="F392" i="1"/>
  <c r="G392" i="1"/>
  <c r="H392" i="1"/>
  <c r="I392" i="1"/>
  <c r="J392" i="1"/>
  <c r="K392" i="1"/>
  <c r="E393" i="1"/>
  <c r="F393" i="1"/>
  <c r="G393" i="1"/>
  <c r="H393" i="1"/>
  <c r="I393" i="1"/>
  <c r="J393" i="1"/>
  <c r="K393" i="1"/>
  <c r="E394" i="1"/>
  <c r="F394" i="1"/>
  <c r="G394" i="1"/>
  <c r="H394" i="1"/>
  <c r="I394" i="1"/>
  <c r="J394" i="1"/>
  <c r="K394" i="1"/>
  <c r="E395" i="1"/>
  <c r="F395" i="1"/>
  <c r="G395" i="1"/>
  <c r="H395" i="1"/>
  <c r="I395" i="1"/>
  <c r="J395" i="1"/>
  <c r="K395" i="1"/>
  <c r="E396" i="1"/>
  <c r="F396" i="1"/>
  <c r="G396" i="1"/>
  <c r="H396" i="1"/>
  <c r="I396" i="1"/>
  <c r="J396" i="1"/>
  <c r="K396" i="1"/>
  <c r="E397" i="1"/>
  <c r="F397" i="1"/>
  <c r="G397" i="1"/>
  <c r="H397" i="1"/>
  <c r="I397" i="1"/>
  <c r="J397" i="1"/>
  <c r="K397" i="1"/>
  <c r="E398" i="1"/>
  <c r="F398" i="1"/>
  <c r="G398" i="1"/>
  <c r="H398" i="1"/>
  <c r="I398" i="1"/>
  <c r="J398" i="1"/>
  <c r="K398" i="1"/>
  <c r="E399" i="1"/>
  <c r="F399" i="1"/>
  <c r="G399" i="1"/>
  <c r="H399" i="1"/>
  <c r="I399" i="1"/>
  <c r="J399" i="1"/>
  <c r="K399" i="1"/>
  <c r="E400" i="1"/>
  <c r="F400" i="1"/>
  <c r="G400" i="1"/>
  <c r="H400" i="1"/>
  <c r="I400" i="1"/>
  <c r="J400" i="1"/>
  <c r="K400" i="1"/>
  <c r="E401" i="1"/>
  <c r="F401" i="1"/>
  <c r="G401" i="1"/>
  <c r="H401" i="1"/>
  <c r="I401" i="1"/>
  <c r="J401" i="1"/>
  <c r="K401" i="1"/>
  <c r="E402" i="1"/>
  <c r="F402" i="1"/>
  <c r="G402" i="1"/>
  <c r="H402" i="1"/>
  <c r="I402" i="1"/>
  <c r="J402" i="1"/>
  <c r="K402" i="1"/>
  <c r="E403" i="1"/>
  <c r="F403" i="1"/>
  <c r="G403" i="1"/>
  <c r="H403" i="1"/>
  <c r="I403" i="1"/>
  <c r="J403" i="1"/>
  <c r="K403" i="1"/>
  <c r="E404" i="1"/>
  <c r="F404" i="1"/>
  <c r="G404" i="1"/>
  <c r="H404" i="1"/>
  <c r="I404" i="1"/>
  <c r="J404" i="1"/>
  <c r="K404" i="1"/>
  <c r="E405" i="1"/>
  <c r="F405" i="1"/>
  <c r="G405" i="1"/>
  <c r="H405" i="1"/>
  <c r="I405" i="1"/>
  <c r="J405" i="1"/>
  <c r="K405" i="1"/>
  <c r="E406" i="1"/>
  <c r="F406" i="1"/>
  <c r="G406" i="1"/>
  <c r="H406" i="1"/>
  <c r="I406" i="1"/>
  <c r="J406" i="1"/>
  <c r="K406" i="1"/>
  <c r="E407" i="1"/>
  <c r="F407" i="1"/>
  <c r="G407" i="1"/>
  <c r="H407" i="1"/>
  <c r="I407" i="1"/>
  <c r="J407" i="1"/>
  <c r="K407" i="1"/>
  <c r="E408" i="1"/>
  <c r="F408" i="1"/>
  <c r="G408" i="1"/>
  <c r="H408" i="1"/>
  <c r="I408" i="1"/>
  <c r="J408" i="1"/>
  <c r="K408" i="1"/>
  <c r="E409" i="1"/>
  <c r="F409" i="1"/>
  <c r="G409" i="1"/>
  <c r="H409" i="1"/>
  <c r="I409" i="1"/>
  <c r="J409" i="1"/>
  <c r="K409" i="1"/>
  <c r="E410" i="1"/>
  <c r="F410" i="1"/>
  <c r="G410" i="1"/>
  <c r="H410" i="1"/>
  <c r="I410" i="1"/>
  <c r="J410" i="1"/>
  <c r="K410" i="1"/>
  <c r="E411" i="1"/>
  <c r="F411" i="1"/>
  <c r="G411" i="1"/>
  <c r="H411" i="1"/>
  <c r="I411" i="1"/>
  <c r="J411" i="1"/>
  <c r="K411" i="1"/>
  <c r="E412" i="1"/>
  <c r="F412" i="1"/>
  <c r="G412" i="1"/>
  <c r="H412" i="1"/>
  <c r="I412" i="1"/>
  <c r="J412" i="1"/>
  <c r="K412" i="1"/>
  <c r="E413" i="1"/>
  <c r="F413" i="1"/>
  <c r="G413" i="1"/>
  <c r="H413" i="1"/>
  <c r="I413" i="1"/>
  <c r="J413" i="1"/>
  <c r="K413" i="1"/>
  <c r="E414" i="1"/>
  <c r="F414" i="1"/>
  <c r="G414" i="1"/>
  <c r="H414" i="1"/>
  <c r="I414" i="1"/>
  <c r="J414" i="1"/>
  <c r="K414" i="1"/>
  <c r="E415" i="1"/>
  <c r="F415" i="1"/>
  <c r="G415" i="1"/>
  <c r="H415" i="1"/>
  <c r="I415" i="1"/>
  <c r="J415" i="1"/>
  <c r="K415" i="1"/>
  <c r="E416" i="1"/>
  <c r="F416" i="1"/>
  <c r="G416" i="1"/>
  <c r="H416" i="1"/>
  <c r="I416" i="1"/>
  <c r="J416" i="1"/>
  <c r="K416" i="1"/>
  <c r="E417" i="1"/>
  <c r="F417" i="1"/>
  <c r="G417" i="1"/>
  <c r="H417" i="1"/>
  <c r="I417" i="1"/>
  <c r="J417" i="1"/>
  <c r="K417" i="1"/>
  <c r="E418" i="1"/>
  <c r="F418" i="1"/>
  <c r="G418" i="1"/>
  <c r="H418" i="1"/>
  <c r="I418" i="1"/>
  <c r="J418" i="1"/>
  <c r="K418" i="1"/>
  <c r="E419" i="1"/>
  <c r="F419" i="1"/>
  <c r="G419" i="1"/>
  <c r="H419" i="1"/>
  <c r="I419" i="1"/>
  <c r="J419" i="1"/>
  <c r="K419" i="1"/>
  <c r="E420" i="1"/>
  <c r="F420" i="1"/>
  <c r="G420" i="1"/>
  <c r="H420" i="1"/>
  <c r="I420" i="1"/>
  <c r="J420" i="1"/>
  <c r="K420" i="1"/>
  <c r="E421" i="1"/>
  <c r="F421" i="1"/>
  <c r="G421" i="1"/>
  <c r="H421" i="1"/>
  <c r="I421" i="1"/>
  <c r="J421" i="1"/>
  <c r="K421" i="1"/>
  <c r="E422" i="1"/>
  <c r="F422" i="1"/>
  <c r="G422" i="1"/>
  <c r="H422" i="1"/>
  <c r="I422" i="1"/>
  <c r="J422" i="1"/>
  <c r="K422" i="1"/>
  <c r="E423" i="1"/>
  <c r="F423" i="1"/>
  <c r="G423" i="1"/>
  <c r="H423" i="1"/>
  <c r="I423" i="1"/>
  <c r="J423" i="1"/>
  <c r="K423" i="1"/>
  <c r="E424" i="1"/>
  <c r="F424" i="1"/>
  <c r="G424" i="1"/>
  <c r="H424" i="1"/>
  <c r="I424" i="1"/>
  <c r="J424" i="1"/>
  <c r="K424" i="1"/>
  <c r="E425" i="1"/>
  <c r="F425" i="1"/>
  <c r="G425" i="1"/>
  <c r="H425" i="1"/>
  <c r="I425" i="1"/>
  <c r="J425" i="1"/>
  <c r="K425" i="1"/>
  <c r="E426" i="1"/>
  <c r="F426" i="1"/>
  <c r="G426" i="1"/>
  <c r="H426" i="1"/>
  <c r="I426" i="1"/>
  <c r="J426" i="1"/>
  <c r="K426" i="1"/>
  <c r="E427" i="1"/>
  <c r="F427" i="1"/>
  <c r="G427" i="1"/>
  <c r="H427" i="1"/>
  <c r="I427" i="1"/>
  <c r="J427" i="1"/>
  <c r="K427" i="1"/>
  <c r="E428" i="1"/>
  <c r="F428" i="1"/>
  <c r="G428" i="1"/>
  <c r="H428" i="1"/>
  <c r="I428" i="1"/>
  <c r="J428" i="1"/>
  <c r="K428" i="1"/>
  <c r="E429" i="1"/>
  <c r="F429" i="1"/>
  <c r="G429" i="1"/>
  <c r="H429" i="1"/>
  <c r="I429" i="1"/>
  <c r="J429" i="1"/>
  <c r="K429" i="1"/>
  <c r="E430" i="1"/>
  <c r="F430" i="1"/>
  <c r="G430" i="1"/>
  <c r="H430" i="1"/>
  <c r="I430" i="1"/>
  <c r="J430" i="1"/>
  <c r="K430" i="1"/>
  <c r="E431" i="1"/>
  <c r="F431" i="1"/>
  <c r="G431" i="1"/>
  <c r="H431" i="1"/>
  <c r="I431" i="1"/>
  <c r="J431" i="1"/>
  <c r="K431" i="1"/>
  <c r="E432" i="1"/>
  <c r="F432" i="1"/>
  <c r="G432" i="1"/>
  <c r="H432" i="1"/>
  <c r="I432" i="1"/>
  <c r="J432" i="1"/>
  <c r="K432" i="1"/>
  <c r="E433" i="1"/>
  <c r="F433" i="1"/>
  <c r="G433" i="1"/>
  <c r="H433" i="1"/>
  <c r="I433" i="1"/>
  <c r="J433" i="1"/>
  <c r="K433" i="1"/>
  <c r="E434" i="1"/>
  <c r="F434" i="1"/>
  <c r="G434" i="1"/>
  <c r="H434" i="1"/>
  <c r="I434" i="1"/>
  <c r="J434" i="1"/>
  <c r="K434" i="1"/>
  <c r="E435" i="1"/>
  <c r="F435" i="1"/>
  <c r="G435" i="1"/>
  <c r="H435" i="1"/>
  <c r="I435" i="1"/>
  <c r="J435" i="1"/>
  <c r="K435" i="1"/>
  <c r="E436" i="1"/>
  <c r="F436" i="1"/>
  <c r="G436" i="1"/>
  <c r="H436" i="1"/>
  <c r="I436" i="1"/>
  <c r="J436" i="1"/>
  <c r="K436" i="1"/>
  <c r="E437" i="1"/>
  <c r="F437" i="1"/>
  <c r="G437" i="1"/>
  <c r="H437" i="1"/>
  <c r="I437" i="1"/>
  <c r="J437" i="1"/>
  <c r="K437" i="1"/>
  <c r="E438" i="1"/>
  <c r="F438" i="1"/>
  <c r="G438" i="1"/>
  <c r="H438" i="1"/>
  <c r="I438" i="1"/>
  <c r="J438" i="1"/>
  <c r="K438" i="1"/>
  <c r="E439" i="1"/>
  <c r="F439" i="1"/>
  <c r="G439" i="1"/>
  <c r="H439" i="1"/>
  <c r="I439" i="1"/>
  <c r="J439" i="1"/>
  <c r="K439" i="1"/>
  <c r="E440" i="1"/>
  <c r="F440" i="1"/>
  <c r="G440" i="1"/>
  <c r="H440" i="1"/>
  <c r="I440" i="1"/>
  <c r="J440" i="1"/>
  <c r="K440" i="1"/>
  <c r="E441" i="1"/>
  <c r="F441" i="1"/>
  <c r="G441" i="1"/>
  <c r="H441" i="1"/>
  <c r="I441" i="1"/>
  <c r="J441" i="1"/>
  <c r="K441" i="1"/>
  <c r="E442" i="1"/>
  <c r="F442" i="1"/>
  <c r="G442" i="1"/>
  <c r="H442" i="1"/>
  <c r="I442" i="1"/>
  <c r="J442" i="1"/>
  <c r="K442" i="1"/>
  <c r="E443" i="1"/>
  <c r="F443" i="1"/>
  <c r="G443" i="1"/>
  <c r="H443" i="1"/>
  <c r="I443" i="1"/>
  <c r="J443" i="1"/>
  <c r="K443" i="1"/>
  <c r="E444" i="1"/>
  <c r="F444" i="1"/>
  <c r="G444" i="1"/>
  <c r="H444" i="1"/>
  <c r="I444" i="1"/>
  <c r="J444" i="1"/>
  <c r="K444" i="1"/>
  <c r="E445" i="1"/>
  <c r="F445" i="1"/>
  <c r="G445" i="1"/>
  <c r="H445" i="1"/>
  <c r="I445" i="1"/>
  <c r="J445" i="1"/>
  <c r="K445" i="1"/>
  <c r="E446" i="1"/>
  <c r="F446" i="1"/>
  <c r="G446" i="1"/>
  <c r="H446" i="1"/>
  <c r="I446" i="1"/>
  <c r="J446" i="1"/>
  <c r="K446" i="1"/>
  <c r="E447" i="1"/>
  <c r="F447" i="1"/>
  <c r="G447" i="1"/>
  <c r="H447" i="1"/>
  <c r="I447" i="1"/>
  <c r="J447" i="1"/>
  <c r="K447" i="1"/>
  <c r="E448" i="1"/>
  <c r="F448" i="1"/>
  <c r="G448" i="1"/>
  <c r="H448" i="1"/>
  <c r="I448" i="1"/>
  <c r="J448" i="1"/>
  <c r="K448" i="1"/>
  <c r="E449" i="1"/>
  <c r="F449" i="1"/>
  <c r="G449" i="1"/>
  <c r="H449" i="1"/>
  <c r="I449" i="1"/>
  <c r="J449" i="1"/>
  <c r="K449" i="1"/>
  <c r="E450" i="1"/>
  <c r="F450" i="1"/>
  <c r="G450" i="1"/>
  <c r="H450" i="1"/>
  <c r="I450" i="1"/>
  <c r="J450" i="1"/>
  <c r="K450" i="1"/>
  <c r="E451" i="1"/>
  <c r="F451" i="1"/>
  <c r="G451" i="1"/>
  <c r="H451" i="1"/>
  <c r="I451" i="1"/>
  <c r="J451" i="1"/>
  <c r="K451" i="1"/>
  <c r="E452" i="1"/>
  <c r="F452" i="1"/>
  <c r="G452" i="1"/>
  <c r="H452" i="1"/>
  <c r="I452" i="1"/>
  <c r="J452" i="1"/>
  <c r="K452" i="1"/>
  <c r="E453" i="1"/>
  <c r="F453" i="1"/>
  <c r="G453" i="1"/>
  <c r="H453" i="1"/>
  <c r="I453" i="1"/>
  <c r="J453" i="1"/>
  <c r="K453" i="1"/>
  <c r="E454" i="1"/>
  <c r="F454" i="1"/>
  <c r="G454" i="1"/>
  <c r="H454" i="1"/>
  <c r="I454" i="1"/>
  <c r="J454" i="1"/>
  <c r="K454" i="1"/>
  <c r="E455" i="1"/>
  <c r="F455" i="1"/>
  <c r="G455" i="1"/>
  <c r="H455" i="1"/>
  <c r="I455" i="1"/>
  <c r="J455" i="1"/>
  <c r="K455" i="1"/>
  <c r="E456" i="1"/>
  <c r="F456" i="1"/>
  <c r="G456" i="1"/>
  <c r="H456" i="1"/>
  <c r="I456" i="1"/>
  <c r="J456" i="1"/>
  <c r="K456" i="1"/>
  <c r="E457" i="1"/>
  <c r="F457" i="1"/>
  <c r="G457" i="1"/>
  <c r="H457" i="1"/>
  <c r="I457" i="1"/>
  <c r="J457" i="1"/>
  <c r="K457" i="1"/>
  <c r="E458" i="1"/>
  <c r="F458" i="1"/>
  <c r="G458" i="1"/>
  <c r="H458" i="1"/>
  <c r="I458" i="1"/>
  <c r="J458" i="1"/>
  <c r="K458" i="1"/>
  <c r="E459" i="1"/>
  <c r="F459" i="1"/>
  <c r="G459" i="1"/>
  <c r="H459" i="1"/>
  <c r="I459" i="1"/>
  <c r="J459" i="1"/>
  <c r="K459" i="1"/>
  <c r="E460" i="1"/>
  <c r="F460" i="1"/>
  <c r="G460" i="1"/>
  <c r="H460" i="1"/>
  <c r="I460" i="1"/>
  <c r="J460" i="1"/>
  <c r="K460" i="1"/>
  <c r="E461" i="1"/>
  <c r="F461" i="1"/>
  <c r="G461" i="1"/>
  <c r="H461" i="1"/>
  <c r="I461" i="1"/>
  <c r="J461" i="1"/>
  <c r="K461" i="1"/>
  <c r="E462" i="1"/>
  <c r="F462" i="1"/>
  <c r="G462" i="1"/>
  <c r="H462" i="1"/>
  <c r="I462" i="1"/>
  <c r="J462" i="1"/>
  <c r="K462" i="1"/>
  <c r="E463" i="1"/>
  <c r="F463" i="1"/>
  <c r="G463" i="1"/>
  <c r="H463" i="1"/>
  <c r="I463" i="1"/>
  <c r="J463" i="1"/>
  <c r="K463" i="1"/>
  <c r="E464" i="1"/>
  <c r="F464" i="1"/>
  <c r="G464" i="1"/>
  <c r="H464" i="1"/>
  <c r="I464" i="1"/>
  <c r="J464" i="1"/>
  <c r="K464" i="1"/>
  <c r="E465" i="1"/>
  <c r="F465" i="1"/>
  <c r="G465" i="1"/>
  <c r="H465" i="1"/>
  <c r="I465" i="1"/>
  <c r="J465" i="1"/>
  <c r="K465" i="1"/>
  <c r="E466" i="1"/>
  <c r="F466" i="1"/>
  <c r="G466" i="1"/>
  <c r="H466" i="1"/>
  <c r="I466" i="1"/>
  <c r="J466" i="1"/>
  <c r="K466" i="1"/>
  <c r="E467" i="1"/>
  <c r="F467" i="1"/>
  <c r="G467" i="1"/>
  <c r="H467" i="1"/>
  <c r="I467" i="1"/>
  <c r="J467" i="1"/>
  <c r="K467" i="1"/>
  <c r="E468" i="1"/>
  <c r="F468" i="1"/>
  <c r="G468" i="1"/>
  <c r="H468" i="1"/>
  <c r="I468" i="1"/>
  <c r="J468" i="1"/>
  <c r="K468" i="1"/>
  <c r="E469" i="1"/>
  <c r="F469" i="1"/>
  <c r="G469" i="1"/>
  <c r="H469" i="1"/>
  <c r="I469" i="1"/>
  <c r="J469" i="1"/>
  <c r="K469" i="1"/>
  <c r="E470" i="1"/>
  <c r="F470" i="1"/>
  <c r="G470" i="1"/>
  <c r="H470" i="1"/>
  <c r="I470" i="1"/>
  <c r="J470" i="1"/>
  <c r="K470" i="1"/>
  <c r="E471" i="1"/>
  <c r="F471" i="1"/>
  <c r="G471" i="1"/>
  <c r="H471" i="1"/>
  <c r="I471" i="1"/>
  <c r="J471" i="1"/>
  <c r="K471" i="1"/>
  <c r="E472" i="1"/>
  <c r="F472" i="1"/>
  <c r="G472" i="1"/>
  <c r="H472" i="1"/>
  <c r="I472" i="1"/>
  <c r="J472" i="1"/>
  <c r="K472" i="1"/>
  <c r="E473" i="1"/>
  <c r="F473" i="1"/>
  <c r="G473" i="1"/>
  <c r="H473" i="1"/>
  <c r="I473" i="1"/>
  <c r="J473" i="1"/>
  <c r="K473" i="1"/>
  <c r="E474" i="1"/>
  <c r="F474" i="1"/>
  <c r="G474" i="1"/>
  <c r="H474" i="1"/>
  <c r="I474" i="1"/>
  <c r="J474" i="1"/>
  <c r="K474" i="1"/>
  <c r="E475" i="1"/>
  <c r="F475" i="1"/>
  <c r="G475" i="1"/>
  <c r="H475" i="1"/>
  <c r="I475" i="1"/>
  <c r="J475" i="1"/>
  <c r="K475" i="1"/>
  <c r="E476" i="1"/>
  <c r="F476" i="1"/>
  <c r="G476" i="1"/>
  <c r="H476" i="1"/>
  <c r="I476" i="1"/>
  <c r="J476" i="1"/>
  <c r="K476" i="1"/>
  <c r="E477" i="1"/>
  <c r="F477" i="1"/>
  <c r="G477" i="1"/>
  <c r="H477" i="1"/>
  <c r="I477" i="1"/>
  <c r="J477" i="1"/>
  <c r="K477" i="1"/>
  <c r="E478" i="1"/>
  <c r="F478" i="1"/>
  <c r="G478" i="1"/>
  <c r="H478" i="1"/>
  <c r="I478" i="1"/>
  <c r="J478" i="1"/>
  <c r="K478" i="1"/>
  <c r="E479" i="1"/>
  <c r="F479" i="1"/>
  <c r="G479" i="1"/>
  <c r="H479" i="1"/>
  <c r="I479" i="1"/>
  <c r="J479" i="1"/>
  <c r="K479" i="1"/>
  <c r="E480" i="1"/>
  <c r="F480" i="1"/>
  <c r="G480" i="1"/>
  <c r="H480" i="1"/>
  <c r="I480" i="1"/>
  <c r="J480" i="1"/>
  <c r="K480" i="1"/>
  <c r="E481" i="1"/>
  <c r="F481" i="1"/>
  <c r="G481" i="1"/>
  <c r="H481" i="1"/>
  <c r="I481" i="1"/>
  <c r="J481" i="1"/>
  <c r="K481" i="1"/>
  <c r="E482" i="1"/>
  <c r="F482" i="1"/>
  <c r="G482" i="1"/>
  <c r="H482" i="1"/>
  <c r="I482" i="1"/>
  <c r="J482" i="1"/>
  <c r="K482" i="1"/>
  <c r="E483" i="1"/>
  <c r="F483" i="1"/>
  <c r="G483" i="1"/>
  <c r="H483" i="1"/>
  <c r="I483" i="1"/>
  <c r="J483" i="1"/>
  <c r="K483" i="1"/>
  <c r="E484" i="1"/>
  <c r="F484" i="1"/>
  <c r="G484" i="1"/>
  <c r="H484" i="1"/>
  <c r="I484" i="1"/>
  <c r="J484" i="1"/>
  <c r="K484" i="1"/>
  <c r="E485" i="1"/>
  <c r="F485" i="1"/>
  <c r="G485" i="1"/>
  <c r="H485" i="1"/>
  <c r="I485" i="1"/>
  <c r="J485" i="1"/>
  <c r="K485" i="1"/>
  <c r="E486" i="1"/>
  <c r="F486" i="1"/>
  <c r="G486" i="1"/>
  <c r="H486" i="1"/>
  <c r="I486" i="1"/>
  <c r="J486" i="1"/>
  <c r="K486" i="1"/>
  <c r="E487" i="1"/>
  <c r="F487" i="1"/>
  <c r="G487" i="1"/>
  <c r="H487" i="1"/>
  <c r="I487" i="1"/>
  <c r="J487" i="1"/>
  <c r="K487" i="1"/>
  <c r="E488" i="1"/>
  <c r="F488" i="1"/>
  <c r="G488" i="1"/>
  <c r="H488" i="1"/>
  <c r="I488" i="1"/>
  <c r="J488" i="1"/>
  <c r="K488" i="1"/>
  <c r="E489" i="1"/>
  <c r="F489" i="1"/>
  <c r="G489" i="1"/>
  <c r="H489" i="1"/>
  <c r="I489" i="1"/>
  <c r="J489" i="1"/>
  <c r="K489" i="1"/>
  <c r="E490" i="1"/>
  <c r="F490" i="1"/>
  <c r="G490" i="1"/>
  <c r="H490" i="1"/>
  <c r="I490" i="1"/>
  <c r="J490" i="1"/>
  <c r="K490" i="1"/>
  <c r="E491" i="1"/>
  <c r="F491" i="1"/>
  <c r="G491" i="1"/>
  <c r="H491" i="1"/>
  <c r="I491" i="1"/>
  <c r="J491" i="1"/>
  <c r="K491" i="1"/>
  <c r="E492" i="1"/>
  <c r="F492" i="1"/>
  <c r="G492" i="1"/>
  <c r="H492" i="1"/>
  <c r="I492" i="1"/>
  <c r="J492" i="1"/>
  <c r="K492" i="1"/>
  <c r="E493" i="1"/>
  <c r="F493" i="1"/>
  <c r="G493" i="1"/>
  <c r="H493" i="1"/>
  <c r="I493" i="1"/>
  <c r="J493" i="1"/>
  <c r="K493" i="1"/>
  <c r="E494" i="1"/>
  <c r="F494" i="1"/>
  <c r="G494" i="1"/>
  <c r="H494" i="1"/>
  <c r="I494" i="1"/>
  <c r="J494" i="1"/>
  <c r="K494" i="1"/>
  <c r="E495" i="1"/>
  <c r="F495" i="1"/>
  <c r="G495" i="1"/>
  <c r="H495" i="1"/>
  <c r="I495" i="1"/>
  <c r="J495" i="1"/>
  <c r="K495" i="1"/>
  <c r="E496" i="1"/>
  <c r="F496" i="1"/>
  <c r="G496" i="1"/>
  <c r="H496" i="1"/>
  <c r="I496" i="1"/>
  <c r="J496" i="1"/>
  <c r="K496" i="1"/>
  <c r="E497" i="1"/>
  <c r="F497" i="1"/>
  <c r="G497" i="1"/>
  <c r="H497" i="1"/>
  <c r="I497" i="1"/>
  <c r="J497" i="1"/>
  <c r="K497" i="1"/>
  <c r="E498" i="1"/>
  <c r="F498" i="1"/>
  <c r="G498" i="1"/>
  <c r="H498" i="1"/>
  <c r="I498" i="1"/>
  <c r="J498" i="1"/>
  <c r="K498" i="1"/>
  <c r="E499" i="1"/>
  <c r="F499" i="1"/>
  <c r="G499" i="1"/>
  <c r="H499" i="1"/>
  <c r="I499" i="1"/>
  <c r="J499" i="1"/>
  <c r="K499" i="1"/>
  <c r="E500" i="1"/>
  <c r="F500" i="1"/>
  <c r="G500" i="1"/>
  <c r="H500" i="1"/>
  <c r="I500" i="1"/>
  <c r="J500" i="1"/>
  <c r="K500" i="1"/>
  <c r="E501" i="1"/>
  <c r="F501" i="1"/>
  <c r="G501" i="1"/>
  <c r="H501" i="1"/>
  <c r="I501" i="1"/>
  <c r="J501" i="1"/>
  <c r="K501" i="1"/>
  <c r="E502" i="1"/>
  <c r="F502" i="1"/>
  <c r="G502" i="1"/>
  <c r="H502" i="1"/>
  <c r="I502" i="1"/>
  <c r="J502" i="1"/>
  <c r="K502" i="1"/>
  <c r="E503" i="1"/>
  <c r="F503" i="1"/>
  <c r="G503" i="1"/>
  <c r="H503" i="1"/>
  <c r="I503" i="1"/>
  <c r="J503" i="1"/>
  <c r="K503" i="1"/>
  <c r="E504" i="1"/>
  <c r="F504" i="1"/>
  <c r="G504" i="1"/>
  <c r="H504" i="1"/>
  <c r="I504" i="1"/>
  <c r="J504" i="1"/>
  <c r="K504" i="1"/>
  <c r="E505" i="1"/>
  <c r="F505" i="1"/>
  <c r="G505" i="1"/>
  <c r="H505" i="1"/>
  <c r="I505" i="1"/>
  <c r="J505" i="1"/>
  <c r="K505" i="1"/>
  <c r="E506" i="1"/>
  <c r="F506" i="1"/>
  <c r="G506" i="1"/>
  <c r="H506" i="1"/>
  <c r="I506" i="1"/>
  <c r="J506" i="1"/>
  <c r="K506" i="1"/>
  <c r="E507" i="1"/>
  <c r="F507" i="1"/>
  <c r="G507" i="1"/>
  <c r="H507" i="1"/>
  <c r="I507" i="1"/>
  <c r="J507" i="1"/>
  <c r="K507" i="1"/>
  <c r="E508" i="1"/>
  <c r="F508" i="1"/>
  <c r="G508" i="1"/>
  <c r="H508" i="1"/>
  <c r="I508" i="1"/>
  <c r="J508" i="1"/>
  <c r="K508" i="1"/>
  <c r="E509" i="1"/>
  <c r="F509" i="1"/>
  <c r="G509" i="1"/>
  <c r="H509" i="1"/>
  <c r="I509" i="1"/>
  <c r="J509" i="1"/>
  <c r="K509" i="1"/>
  <c r="E510" i="1"/>
  <c r="F510" i="1"/>
  <c r="G510" i="1"/>
  <c r="H510" i="1"/>
  <c r="I510" i="1"/>
  <c r="J510" i="1"/>
  <c r="K510" i="1"/>
  <c r="E511" i="1"/>
  <c r="F511" i="1"/>
  <c r="G511" i="1"/>
  <c r="H511" i="1"/>
  <c r="I511" i="1"/>
  <c r="J511" i="1"/>
  <c r="K511" i="1"/>
  <c r="E512" i="1"/>
  <c r="F512" i="1"/>
  <c r="G512" i="1"/>
  <c r="H512" i="1"/>
  <c r="I512" i="1"/>
  <c r="J512" i="1"/>
  <c r="K512" i="1"/>
  <c r="E513" i="1"/>
  <c r="F513" i="1"/>
  <c r="G513" i="1"/>
  <c r="H513" i="1"/>
  <c r="I513" i="1"/>
  <c r="J513" i="1"/>
  <c r="K513" i="1"/>
  <c r="E514" i="1"/>
  <c r="F514" i="1"/>
  <c r="G514" i="1"/>
  <c r="H514" i="1"/>
  <c r="I514" i="1"/>
  <c r="J514" i="1"/>
  <c r="K514" i="1"/>
  <c r="E515" i="1"/>
  <c r="F515" i="1"/>
  <c r="G515" i="1"/>
  <c r="H515" i="1"/>
  <c r="I515" i="1"/>
  <c r="J515" i="1"/>
  <c r="K515" i="1"/>
  <c r="E516" i="1"/>
  <c r="F516" i="1"/>
  <c r="G516" i="1"/>
  <c r="H516" i="1"/>
  <c r="I516" i="1"/>
  <c r="J516" i="1"/>
  <c r="K516" i="1"/>
  <c r="E517" i="1"/>
  <c r="F517" i="1"/>
  <c r="G517" i="1"/>
  <c r="H517" i="1"/>
  <c r="I517" i="1"/>
  <c r="J517" i="1"/>
  <c r="K517" i="1"/>
  <c r="E518" i="1"/>
  <c r="F518" i="1"/>
  <c r="G518" i="1"/>
  <c r="H518" i="1"/>
  <c r="I518" i="1"/>
  <c r="J518" i="1"/>
  <c r="K518" i="1"/>
  <c r="E519" i="1"/>
  <c r="F519" i="1"/>
  <c r="G519" i="1"/>
  <c r="H519" i="1"/>
  <c r="I519" i="1"/>
  <c r="J519" i="1"/>
  <c r="K519" i="1"/>
  <c r="E520" i="1"/>
  <c r="F520" i="1"/>
  <c r="G520" i="1"/>
  <c r="H520" i="1"/>
  <c r="I520" i="1"/>
  <c r="J520" i="1"/>
  <c r="K520" i="1"/>
  <c r="E521" i="1"/>
  <c r="F521" i="1"/>
  <c r="G521" i="1"/>
  <c r="H521" i="1"/>
  <c r="I521" i="1"/>
  <c r="J521" i="1"/>
  <c r="K521" i="1"/>
  <c r="E522" i="1"/>
  <c r="F522" i="1"/>
  <c r="G522" i="1"/>
  <c r="H522" i="1"/>
  <c r="I522" i="1"/>
  <c r="J522" i="1"/>
  <c r="K522" i="1"/>
  <c r="E523" i="1"/>
  <c r="F523" i="1"/>
  <c r="G523" i="1"/>
  <c r="H523" i="1"/>
  <c r="I523" i="1"/>
  <c r="J523" i="1"/>
  <c r="K523" i="1"/>
  <c r="E524" i="1"/>
  <c r="F524" i="1"/>
  <c r="G524" i="1"/>
  <c r="H524" i="1"/>
  <c r="I524" i="1"/>
  <c r="J524" i="1"/>
  <c r="K524" i="1"/>
  <c r="E525" i="1"/>
  <c r="F525" i="1"/>
  <c r="G525" i="1"/>
  <c r="H525" i="1"/>
  <c r="I525" i="1"/>
  <c r="J525" i="1"/>
  <c r="K525" i="1"/>
  <c r="E526" i="1"/>
  <c r="F526" i="1"/>
  <c r="G526" i="1"/>
  <c r="H526" i="1"/>
  <c r="I526" i="1"/>
  <c r="J526" i="1"/>
  <c r="K526" i="1"/>
  <c r="E527" i="1"/>
  <c r="F527" i="1"/>
  <c r="G527" i="1"/>
  <c r="H527" i="1"/>
  <c r="I527" i="1"/>
  <c r="J527" i="1"/>
  <c r="K527" i="1"/>
  <c r="E528" i="1"/>
  <c r="F528" i="1"/>
  <c r="G528" i="1"/>
  <c r="H528" i="1"/>
  <c r="I528" i="1"/>
  <c r="J528" i="1"/>
  <c r="K528" i="1"/>
  <c r="E529" i="1"/>
  <c r="F529" i="1"/>
  <c r="G529" i="1"/>
  <c r="H529" i="1"/>
  <c r="I529" i="1"/>
  <c r="J529" i="1"/>
  <c r="K529" i="1"/>
  <c r="E530" i="1"/>
  <c r="F530" i="1"/>
  <c r="G530" i="1"/>
  <c r="H530" i="1"/>
  <c r="I530" i="1"/>
  <c r="J530" i="1"/>
  <c r="K530" i="1"/>
  <c r="E531" i="1"/>
  <c r="F531" i="1"/>
  <c r="G531" i="1"/>
  <c r="H531" i="1"/>
  <c r="I531" i="1"/>
  <c r="J531" i="1"/>
  <c r="K531" i="1"/>
  <c r="E532" i="1"/>
  <c r="F532" i="1"/>
  <c r="G532" i="1"/>
  <c r="H532" i="1"/>
  <c r="I532" i="1"/>
  <c r="J532" i="1"/>
  <c r="K532" i="1"/>
  <c r="E533" i="1"/>
  <c r="F533" i="1"/>
  <c r="G533" i="1"/>
  <c r="H533" i="1"/>
  <c r="I533" i="1"/>
  <c r="J533" i="1"/>
  <c r="K533" i="1"/>
  <c r="E534" i="1"/>
  <c r="F534" i="1"/>
  <c r="G534" i="1"/>
  <c r="H534" i="1"/>
  <c r="I534" i="1"/>
  <c r="J534" i="1"/>
  <c r="K534" i="1"/>
  <c r="E535" i="1"/>
  <c r="F535" i="1"/>
  <c r="G535" i="1"/>
  <c r="H535" i="1"/>
  <c r="I535" i="1"/>
  <c r="J535" i="1"/>
  <c r="K535" i="1"/>
  <c r="E536" i="1"/>
  <c r="F536" i="1"/>
  <c r="G536" i="1"/>
  <c r="H536" i="1"/>
  <c r="I536" i="1"/>
  <c r="J536" i="1"/>
  <c r="K536" i="1"/>
  <c r="E537" i="1"/>
  <c r="F537" i="1"/>
  <c r="G537" i="1"/>
  <c r="H537" i="1"/>
  <c r="I537" i="1"/>
  <c r="J537" i="1"/>
  <c r="K537" i="1"/>
  <c r="E538" i="1"/>
  <c r="F538" i="1"/>
  <c r="G538" i="1"/>
  <c r="H538" i="1"/>
  <c r="I538" i="1"/>
  <c r="J538" i="1"/>
  <c r="K538" i="1"/>
  <c r="E539" i="1"/>
  <c r="F539" i="1"/>
  <c r="G539" i="1"/>
  <c r="H539" i="1"/>
  <c r="I539" i="1"/>
  <c r="J539" i="1"/>
  <c r="K539" i="1"/>
  <c r="E540" i="1"/>
  <c r="F540" i="1"/>
  <c r="G540" i="1"/>
  <c r="H540" i="1"/>
  <c r="I540" i="1"/>
  <c r="J540" i="1"/>
  <c r="K540" i="1"/>
  <c r="E541" i="1"/>
  <c r="F541" i="1"/>
  <c r="G541" i="1"/>
  <c r="H541" i="1"/>
  <c r="I541" i="1"/>
  <c r="J541" i="1"/>
  <c r="K541" i="1"/>
  <c r="E542" i="1"/>
  <c r="F542" i="1"/>
  <c r="G542" i="1"/>
  <c r="H542" i="1"/>
  <c r="I542" i="1"/>
  <c r="J542" i="1"/>
  <c r="K542" i="1"/>
  <c r="E543" i="1"/>
  <c r="F543" i="1"/>
  <c r="G543" i="1"/>
  <c r="H543" i="1"/>
  <c r="I543" i="1"/>
  <c r="J543" i="1"/>
  <c r="K543" i="1"/>
  <c r="E544" i="1"/>
  <c r="F544" i="1"/>
  <c r="G544" i="1"/>
  <c r="H544" i="1"/>
  <c r="I544" i="1"/>
  <c r="J544" i="1"/>
  <c r="K544" i="1"/>
  <c r="E545" i="1"/>
  <c r="F545" i="1"/>
  <c r="G545" i="1"/>
  <c r="H545" i="1"/>
  <c r="I545" i="1"/>
  <c r="J545" i="1"/>
  <c r="K545" i="1"/>
  <c r="E546" i="1"/>
  <c r="F546" i="1"/>
  <c r="G546" i="1"/>
  <c r="H546" i="1"/>
  <c r="I546" i="1"/>
  <c r="J546" i="1"/>
  <c r="K546" i="1"/>
  <c r="E547" i="1"/>
  <c r="F547" i="1"/>
  <c r="G547" i="1"/>
  <c r="H547" i="1"/>
  <c r="I547" i="1"/>
  <c r="J547" i="1"/>
  <c r="K547" i="1"/>
  <c r="E548" i="1"/>
  <c r="F548" i="1"/>
  <c r="G548" i="1"/>
  <c r="H548" i="1"/>
  <c r="I548" i="1"/>
  <c r="J548" i="1"/>
  <c r="K548" i="1"/>
  <c r="E549" i="1"/>
  <c r="F549" i="1"/>
  <c r="G549" i="1"/>
  <c r="H549" i="1"/>
  <c r="I549" i="1"/>
  <c r="J549" i="1"/>
  <c r="K549" i="1"/>
  <c r="E550" i="1"/>
  <c r="F550" i="1"/>
  <c r="G550" i="1"/>
  <c r="H550" i="1"/>
  <c r="I550" i="1"/>
  <c r="J550" i="1"/>
  <c r="K550" i="1"/>
  <c r="E551" i="1"/>
  <c r="F551" i="1"/>
  <c r="G551" i="1"/>
  <c r="H551" i="1"/>
  <c r="I551" i="1"/>
  <c r="J551" i="1"/>
  <c r="K551" i="1"/>
  <c r="E552" i="1"/>
  <c r="F552" i="1"/>
  <c r="G552" i="1"/>
  <c r="H552" i="1"/>
  <c r="I552" i="1"/>
  <c r="J552" i="1"/>
  <c r="K552" i="1"/>
  <c r="E553" i="1"/>
  <c r="F553" i="1"/>
  <c r="G553" i="1"/>
  <c r="H553" i="1"/>
  <c r="I553" i="1"/>
  <c r="J553" i="1"/>
  <c r="K553" i="1"/>
  <c r="E554" i="1"/>
  <c r="F554" i="1"/>
  <c r="G554" i="1"/>
  <c r="H554" i="1"/>
  <c r="I554" i="1"/>
  <c r="J554" i="1"/>
  <c r="K554" i="1"/>
  <c r="E555" i="1"/>
  <c r="F555" i="1"/>
  <c r="G555" i="1"/>
  <c r="H555" i="1"/>
  <c r="I555" i="1"/>
  <c r="J555" i="1"/>
  <c r="K555" i="1"/>
  <c r="E556" i="1"/>
  <c r="F556" i="1"/>
  <c r="G556" i="1"/>
  <c r="H556" i="1"/>
  <c r="I556" i="1"/>
  <c r="J556" i="1"/>
  <c r="K556" i="1"/>
  <c r="E557" i="1"/>
  <c r="F557" i="1"/>
  <c r="G557" i="1"/>
  <c r="H557" i="1"/>
  <c r="I557" i="1"/>
  <c r="J557" i="1"/>
  <c r="K557" i="1"/>
  <c r="E558" i="1"/>
  <c r="F558" i="1"/>
  <c r="G558" i="1"/>
  <c r="H558" i="1"/>
  <c r="I558" i="1"/>
  <c r="J558" i="1"/>
  <c r="K558" i="1"/>
  <c r="E559" i="1"/>
  <c r="F559" i="1"/>
  <c r="G559" i="1"/>
  <c r="H559" i="1"/>
  <c r="I559" i="1"/>
  <c r="J559" i="1"/>
  <c r="K559" i="1"/>
  <c r="E560" i="1"/>
  <c r="F560" i="1"/>
  <c r="G560" i="1"/>
  <c r="H560" i="1"/>
  <c r="I560" i="1"/>
  <c r="J560" i="1"/>
  <c r="K560" i="1"/>
  <c r="E561" i="1"/>
  <c r="F561" i="1"/>
  <c r="G561" i="1"/>
  <c r="H561" i="1"/>
  <c r="I561" i="1"/>
  <c r="J561" i="1"/>
  <c r="K561" i="1"/>
  <c r="E562" i="1"/>
  <c r="F562" i="1"/>
  <c r="G562" i="1"/>
  <c r="H562" i="1"/>
  <c r="I562" i="1"/>
  <c r="J562" i="1"/>
  <c r="K562" i="1"/>
  <c r="E563" i="1"/>
  <c r="F563" i="1"/>
  <c r="G563" i="1"/>
  <c r="H563" i="1"/>
  <c r="I563" i="1"/>
  <c r="J563" i="1"/>
  <c r="K563" i="1"/>
  <c r="E564" i="1"/>
  <c r="F564" i="1"/>
  <c r="G564" i="1"/>
  <c r="H564" i="1"/>
  <c r="I564" i="1"/>
  <c r="J564" i="1"/>
  <c r="K564" i="1"/>
  <c r="E565" i="1"/>
  <c r="F565" i="1"/>
  <c r="G565" i="1"/>
  <c r="H565" i="1"/>
  <c r="I565" i="1"/>
  <c r="J565" i="1"/>
  <c r="K565" i="1"/>
  <c r="E566" i="1"/>
  <c r="F566" i="1"/>
  <c r="G566" i="1"/>
  <c r="H566" i="1"/>
  <c r="I566" i="1"/>
  <c r="J566" i="1"/>
  <c r="K566" i="1"/>
  <c r="E567" i="1"/>
  <c r="F567" i="1"/>
  <c r="G567" i="1"/>
  <c r="H567" i="1"/>
  <c r="I567" i="1"/>
  <c r="J567" i="1"/>
  <c r="K567" i="1"/>
  <c r="E568" i="1"/>
  <c r="F568" i="1"/>
  <c r="G568" i="1"/>
  <c r="H568" i="1"/>
  <c r="I568" i="1"/>
  <c r="J568" i="1"/>
  <c r="K568" i="1"/>
  <c r="E569" i="1"/>
  <c r="F569" i="1"/>
  <c r="G569" i="1"/>
  <c r="H569" i="1"/>
  <c r="I569" i="1"/>
  <c r="J569" i="1"/>
  <c r="K569" i="1"/>
  <c r="E570" i="1"/>
  <c r="F570" i="1"/>
  <c r="G570" i="1"/>
  <c r="H570" i="1"/>
  <c r="I570" i="1"/>
  <c r="J570" i="1"/>
  <c r="K570" i="1"/>
  <c r="E571" i="1"/>
  <c r="F571" i="1"/>
  <c r="G571" i="1"/>
  <c r="H571" i="1"/>
  <c r="I571" i="1"/>
  <c r="J571" i="1"/>
  <c r="K571" i="1"/>
  <c r="E572" i="1"/>
  <c r="F572" i="1"/>
  <c r="G572" i="1"/>
  <c r="H572" i="1"/>
  <c r="I572" i="1"/>
  <c r="J572" i="1"/>
  <c r="K572" i="1"/>
  <c r="E573" i="1"/>
  <c r="F573" i="1"/>
  <c r="G573" i="1"/>
  <c r="H573" i="1"/>
  <c r="I573" i="1"/>
  <c r="J573" i="1"/>
  <c r="K573" i="1"/>
  <c r="E574" i="1"/>
  <c r="F574" i="1"/>
  <c r="G574" i="1"/>
  <c r="H574" i="1"/>
  <c r="I574" i="1"/>
  <c r="J574" i="1"/>
  <c r="K574" i="1"/>
  <c r="E575" i="1"/>
  <c r="F575" i="1"/>
  <c r="G575" i="1"/>
  <c r="H575" i="1"/>
  <c r="I575" i="1"/>
  <c r="J575" i="1"/>
  <c r="K575" i="1"/>
  <c r="E576" i="1"/>
  <c r="F576" i="1"/>
  <c r="G576" i="1"/>
  <c r="H576" i="1"/>
  <c r="I576" i="1"/>
  <c r="J576" i="1"/>
  <c r="K576" i="1"/>
  <c r="E577" i="1"/>
  <c r="F577" i="1"/>
  <c r="G577" i="1"/>
  <c r="H577" i="1"/>
  <c r="I577" i="1"/>
  <c r="J577" i="1"/>
  <c r="K577" i="1"/>
  <c r="E578" i="1"/>
  <c r="F578" i="1"/>
  <c r="G578" i="1"/>
  <c r="H578" i="1"/>
  <c r="I578" i="1"/>
  <c r="J578" i="1"/>
  <c r="K578" i="1"/>
  <c r="E579" i="1"/>
  <c r="F579" i="1"/>
  <c r="G579" i="1"/>
  <c r="H579" i="1"/>
  <c r="I579" i="1"/>
  <c r="J579" i="1"/>
  <c r="K579" i="1"/>
  <c r="E580" i="1"/>
  <c r="F580" i="1"/>
  <c r="G580" i="1"/>
  <c r="H580" i="1"/>
  <c r="I580" i="1"/>
  <c r="J580" i="1"/>
  <c r="K580" i="1"/>
  <c r="E581" i="1"/>
  <c r="F581" i="1"/>
  <c r="G581" i="1"/>
  <c r="H581" i="1"/>
  <c r="I581" i="1"/>
  <c r="J581" i="1"/>
  <c r="K581" i="1"/>
  <c r="E582" i="1"/>
  <c r="F582" i="1"/>
  <c r="G582" i="1"/>
  <c r="H582" i="1"/>
  <c r="I582" i="1"/>
  <c r="J582" i="1"/>
  <c r="K582" i="1"/>
  <c r="E583" i="1"/>
  <c r="F583" i="1"/>
  <c r="G583" i="1"/>
  <c r="H583" i="1"/>
  <c r="I583" i="1"/>
  <c r="J583" i="1"/>
  <c r="K583" i="1"/>
  <c r="E584" i="1"/>
  <c r="F584" i="1"/>
  <c r="G584" i="1"/>
  <c r="H584" i="1"/>
  <c r="I584" i="1"/>
  <c r="J584" i="1"/>
  <c r="K584" i="1"/>
  <c r="E585" i="1"/>
  <c r="F585" i="1"/>
  <c r="G585" i="1"/>
  <c r="H585" i="1"/>
  <c r="I585" i="1"/>
  <c r="J585" i="1"/>
  <c r="K585" i="1"/>
  <c r="E586" i="1"/>
  <c r="F586" i="1"/>
  <c r="G586" i="1"/>
  <c r="H586" i="1"/>
  <c r="I586" i="1"/>
  <c r="J586" i="1"/>
  <c r="K586" i="1"/>
  <c r="E587" i="1"/>
  <c r="F587" i="1"/>
  <c r="G587" i="1"/>
  <c r="H587" i="1"/>
  <c r="I587" i="1"/>
  <c r="J587" i="1"/>
  <c r="K587" i="1"/>
  <c r="E588" i="1"/>
  <c r="F588" i="1"/>
  <c r="G588" i="1"/>
  <c r="H588" i="1"/>
  <c r="I588" i="1"/>
  <c r="J588" i="1"/>
  <c r="K588" i="1"/>
  <c r="E589" i="1"/>
  <c r="F589" i="1"/>
  <c r="G589" i="1"/>
  <c r="H589" i="1"/>
  <c r="I589" i="1"/>
  <c r="J589" i="1"/>
  <c r="K589" i="1"/>
  <c r="E590" i="1"/>
  <c r="F590" i="1"/>
  <c r="G590" i="1"/>
  <c r="H590" i="1"/>
  <c r="I590" i="1"/>
  <c r="J590" i="1"/>
  <c r="K590" i="1"/>
  <c r="E591" i="1"/>
  <c r="F591" i="1"/>
  <c r="G591" i="1"/>
  <c r="H591" i="1"/>
  <c r="I591" i="1"/>
  <c r="J591" i="1"/>
  <c r="K591" i="1"/>
  <c r="E592" i="1"/>
  <c r="F592" i="1"/>
  <c r="G592" i="1"/>
  <c r="H592" i="1"/>
  <c r="I592" i="1"/>
  <c r="J592" i="1"/>
  <c r="K592" i="1"/>
  <c r="E593" i="1"/>
  <c r="F593" i="1"/>
  <c r="G593" i="1"/>
  <c r="H593" i="1"/>
  <c r="I593" i="1"/>
  <c r="J593" i="1"/>
  <c r="K593" i="1"/>
  <c r="E594" i="1"/>
  <c r="F594" i="1"/>
  <c r="G594" i="1"/>
  <c r="H594" i="1"/>
  <c r="I594" i="1"/>
  <c r="J594" i="1"/>
  <c r="K594" i="1"/>
  <c r="E595" i="1"/>
  <c r="F595" i="1"/>
  <c r="G595" i="1"/>
  <c r="H595" i="1"/>
  <c r="I595" i="1"/>
  <c r="J595" i="1"/>
  <c r="K595" i="1"/>
  <c r="E596" i="1"/>
  <c r="F596" i="1"/>
  <c r="G596" i="1"/>
  <c r="H596" i="1"/>
  <c r="I596" i="1"/>
  <c r="J596" i="1"/>
  <c r="K596" i="1"/>
  <c r="E597" i="1"/>
  <c r="F597" i="1"/>
  <c r="G597" i="1"/>
  <c r="H597" i="1"/>
  <c r="I597" i="1"/>
  <c r="J597" i="1"/>
  <c r="K597" i="1"/>
  <c r="E598" i="1"/>
  <c r="F598" i="1"/>
  <c r="G598" i="1"/>
  <c r="H598" i="1"/>
  <c r="I598" i="1"/>
  <c r="J598" i="1"/>
  <c r="K598" i="1"/>
  <c r="E599" i="1"/>
  <c r="F599" i="1"/>
  <c r="G599" i="1"/>
  <c r="H599" i="1"/>
  <c r="I599" i="1"/>
  <c r="J599" i="1"/>
  <c r="K599" i="1"/>
  <c r="E600" i="1"/>
  <c r="F600" i="1"/>
  <c r="G600" i="1"/>
  <c r="H600" i="1"/>
  <c r="I600" i="1"/>
  <c r="J600" i="1"/>
  <c r="K600" i="1"/>
  <c r="E601" i="1"/>
  <c r="F601" i="1"/>
  <c r="G601" i="1"/>
  <c r="H601" i="1"/>
  <c r="I601" i="1"/>
  <c r="J601" i="1"/>
  <c r="K601" i="1"/>
  <c r="E602" i="1"/>
  <c r="F602" i="1"/>
  <c r="G602" i="1"/>
  <c r="H602" i="1"/>
  <c r="I602" i="1"/>
  <c r="J602" i="1"/>
  <c r="K602" i="1"/>
  <c r="E603" i="1"/>
  <c r="F603" i="1"/>
  <c r="G603" i="1"/>
  <c r="H603" i="1"/>
  <c r="I603" i="1"/>
  <c r="J603" i="1"/>
  <c r="K603" i="1"/>
  <c r="E604" i="1"/>
  <c r="F604" i="1"/>
  <c r="G604" i="1"/>
  <c r="H604" i="1"/>
  <c r="I604" i="1"/>
  <c r="J604" i="1"/>
  <c r="K604" i="1"/>
  <c r="E605" i="1"/>
  <c r="F605" i="1"/>
  <c r="G605" i="1"/>
  <c r="H605" i="1"/>
  <c r="I605" i="1"/>
  <c r="J605" i="1"/>
  <c r="K605" i="1"/>
  <c r="E606" i="1"/>
  <c r="F606" i="1"/>
  <c r="G606" i="1"/>
  <c r="H606" i="1"/>
  <c r="I606" i="1"/>
  <c r="J606" i="1"/>
  <c r="K606" i="1"/>
  <c r="E607" i="1"/>
  <c r="F607" i="1"/>
  <c r="G607" i="1"/>
  <c r="H607" i="1"/>
  <c r="I607" i="1"/>
  <c r="J607" i="1"/>
  <c r="K607" i="1"/>
  <c r="E608" i="1"/>
  <c r="F608" i="1"/>
  <c r="G608" i="1"/>
  <c r="H608" i="1"/>
  <c r="I608" i="1"/>
  <c r="J608" i="1"/>
  <c r="K608" i="1"/>
  <c r="E609" i="1"/>
  <c r="F609" i="1"/>
  <c r="G609" i="1"/>
  <c r="H609" i="1"/>
  <c r="I609" i="1"/>
  <c r="J609" i="1"/>
  <c r="K609" i="1"/>
  <c r="E610" i="1"/>
  <c r="F610" i="1"/>
  <c r="G610" i="1"/>
  <c r="H610" i="1"/>
  <c r="I610" i="1"/>
  <c r="J610" i="1"/>
  <c r="K610" i="1"/>
  <c r="E611" i="1"/>
  <c r="F611" i="1"/>
  <c r="G611" i="1"/>
  <c r="H611" i="1"/>
  <c r="I611" i="1"/>
  <c r="J611" i="1"/>
  <c r="K611" i="1"/>
  <c r="E612" i="1"/>
  <c r="F612" i="1"/>
  <c r="G612" i="1"/>
  <c r="H612" i="1"/>
  <c r="I612" i="1"/>
  <c r="J612" i="1"/>
  <c r="K612" i="1"/>
  <c r="E613" i="1"/>
  <c r="F613" i="1"/>
  <c r="G613" i="1"/>
  <c r="H613" i="1"/>
  <c r="I613" i="1"/>
  <c r="J613" i="1"/>
  <c r="K613" i="1"/>
  <c r="E614" i="1"/>
  <c r="F614" i="1"/>
  <c r="G614" i="1"/>
  <c r="H614" i="1"/>
  <c r="I614" i="1"/>
  <c r="J614" i="1"/>
  <c r="K614" i="1"/>
  <c r="E615" i="1"/>
  <c r="F615" i="1"/>
  <c r="G615" i="1"/>
  <c r="H615" i="1"/>
  <c r="I615" i="1"/>
  <c r="J615" i="1"/>
  <c r="K615" i="1"/>
  <c r="E616" i="1"/>
  <c r="F616" i="1"/>
  <c r="G616" i="1"/>
  <c r="H616" i="1"/>
  <c r="I616" i="1"/>
  <c r="J616" i="1"/>
  <c r="K616" i="1"/>
  <c r="E617" i="1"/>
  <c r="F617" i="1"/>
  <c r="G617" i="1"/>
  <c r="H617" i="1"/>
  <c r="I617" i="1"/>
  <c r="J617" i="1"/>
  <c r="K617" i="1"/>
  <c r="E618" i="1"/>
  <c r="F618" i="1"/>
  <c r="G618" i="1"/>
  <c r="H618" i="1"/>
  <c r="I618" i="1"/>
  <c r="J618" i="1"/>
  <c r="K618" i="1"/>
  <c r="E619" i="1"/>
  <c r="F619" i="1"/>
  <c r="G619" i="1"/>
  <c r="H619" i="1"/>
  <c r="I619" i="1"/>
  <c r="J619" i="1"/>
  <c r="K619" i="1"/>
  <c r="E620" i="1"/>
  <c r="F620" i="1"/>
  <c r="G620" i="1"/>
  <c r="H620" i="1"/>
  <c r="I620" i="1"/>
  <c r="J620" i="1"/>
  <c r="K620" i="1"/>
  <c r="E621" i="1"/>
  <c r="F621" i="1"/>
  <c r="G621" i="1"/>
  <c r="H621" i="1"/>
  <c r="I621" i="1"/>
  <c r="J621" i="1"/>
  <c r="K621" i="1"/>
  <c r="E622" i="1"/>
  <c r="F622" i="1"/>
  <c r="G622" i="1"/>
  <c r="H622" i="1"/>
  <c r="I622" i="1"/>
  <c r="J622" i="1"/>
  <c r="K622" i="1"/>
  <c r="E623" i="1"/>
  <c r="F623" i="1"/>
  <c r="G623" i="1"/>
  <c r="H623" i="1"/>
  <c r="I623" i="1"/>
  <c r="J623" i="1"/>
  <c r="K623" i="1"/>
  <c r="E624" i="1"/>
  <c r="F624" i="1"/>
  <c r="G624" i="1"/>
  <c r="H624" i="1"/>
  <c r="I624" i="1"/>
  <c r="J624" i="1"/>
  <c r="K624" i="1"/>
  <c r="E625" i="1"/>
  <c r="F625" i="1"/>
  <c r="G625" i="1"/>
  <c r="H625" i="1"/>
  <c r="I625" i="1"/>
  <c r="J625" i="1"/>
  <c r="K625" i="1"/>
  <c r="E626" i="1"/>
  <c r="F626" i="1"/>
  <c r="G626" i="1"/>
  <c r="H626" i="1"/>
  <c r="I626" i="1"/>
  <c r="J626" i="1"/>
  <c r="K626" i="1"/>
  <c r="E627" i="1"/>
  <c r="F627" i="1"/>
  <c r="G627" i="1"/>
  <c r="H627" i="1"/>
  <c r="I627" i="1"/>
  <c r="J627" i="1"/>
  <c r="K627" i="1"/>
  <c r="E628" i="1"/>
  <c r="F628" i="1"/>
  <c r="G628" i="1"/>
  <c r="H628" i="1"/>
  <c r="I628" i="1"/>
  <c r="J628" i="1"/>
  <c r="K628" i="1"/>
  <c r="E629" i="1"/>
  <c r="F629" i="1"/>
  <c r="G629" i="1"/>
  <c r="H629" i="1"/>
  <c r="I629" i="1"/>
  <c r="J629" i="1"/>
  <c r="K629" i="1"/>
  <c r="E630" i="1"/>
  <c r="F630" i="1"/>
  <c r="G630" i="1"/>
  <c r="H630" i="1"/>
  <c r="I630" i="1"/>
  <c r="J630" i="1"/>
  <c r="K630" i="1"/>
  <c r="E631" i="1"/>
  <c r="F631" i="1"/>
  <c r="G631" i="1"/>
  <c r="H631" i="1"/>
  <c r="I631" i="1"/>
  <c r="J631" i="1"/>
  <c r="K631" i="1"/>
  <c r="E632" i="1"/>
  <c r="F632" i="1"/>
  <c r="G632" i="1"/>
  <c r="H632" i="1"/>
  <c r="I632" i="1"/>
  <c r="J632" i="1"/>
  <c r="K632" i="1"/>
  <c r="E633" i="1"/>
  <c r="F633" i="1"/>
  <c r="G633" i="1"/>
  <c r="H633" i="1"/>
  <c r="I633" i="1"/>
  <c r="J633" i="1"/>
  <c r="K633" i="1"/>
  <c r="E634" i="1"/>
  <c r="F634" i="1"/>
  <c r="G634" i="1"/>
  <c r="H634" i="1"/>
  <c r="I634" i="1"/>
  <c r="J634" i="1"/>
  <c r="K634" i="1"/>
  <c r="E635" i="1"/>
  <c r="F635" i="1"/>
  <c r="G635" i="1"/>
  <c r="H635" i="1"/>
  <c r="I635" i="1"/>
  <c r="J635" i="1"/>
  <c r="K635" i="1"/>
  <c r="E636" i="1"/>
  <c r="F636" i="1"/>
  <c r="G636" i="1"/>
  <c r="H636" i="1"/>
  <c r="I636" i="1"/>
  <c r="J636" i="1"/>
  <c r="K636" i="1"/>
  <c r="E637" i="1"/>
  <c r="F637" i="1"/>
  <c r="G637" i="1"/>
  <c r="H637" i="1"/>
  <c r="I637" i="1"/>
  <c r="J637" i="1"/>
  <c r="K637" i="1"/>
  <c r="E638" i="1"/>
  <c r="F638" i="1"/>
  <c r="G638" i="1"/>
  <c r="H638" i="1"/>
  <c r="I638" i="1"/>
  <c r="J638" i="1"/>
  <c r="K638" i="1"/>
  <c r="E639" i="1"/>
  <c r="F639" i="1"/>
  <c r="G639" i="1"/>
  <c r="H639" i="1"/>
  <c r="I639" i="1"/>
  <c r="J639" i="1"/>
  <c r="K639" i="1"/>
  <c r="E640" i="1"/>
  <c r="F640" i="1"/>
  <c r="G640" i="1"/>
  <c r="H640" i="1"/>
  <c r="I640" i="1"/>
  <c r="J640" i="1"/>
  <c r="K640" i="1"/>
  <c r="E641" i="1"/>
  <c r="F641" i="1"/>
  <c r="G641" i="1"/>
  <c r="H641" i="1"/>
  <c r="I641" i="1"/>
  <c r="J641" i="1"/>
  <c r="K641" i="1"/>
  <c r="E642" i="1"/>
  <c r="F642" i="1"/>
  <c r="G642" i="1"/>
  <c r="H642" i="1"/>
  <c r="I642" i="1"/>
  <c r="J642" i="1"/>
  <c r="K642" i="1"/>
  <c r="E643" i="1"/>
  <c r="F643" i="1"/>
  <c r="G643" i="1"/>
  <c r="H643" i="1"/>
  <c r="I643" i="1"/>
  <c r="J643" i="1"/>
  <c r="K643" i="1"/>
  <c r="E644" i="1"/>
  <c r="F644" i="1"/>
  <c r="G644" i="1"/>
  <c r="H644" i="1"/>
  <c r="I644" i="1"/>
  <c r="J644" i="1"/>
  <c r="K644" i="1"/>
  <c r="E645" i="1"/>
  <c r="F645" i="1"/>
  <c r="G645" i="1"/>
  <c r="H645" i="1"/>
  <c r="I645" i="1"/>
  <c r="J645" i="1"/>
  <c r="K645" i="1"/>
  <c r="E646" i="1"/>
  <c r="F646" i="1"/>
  <c r="G646" i="1"/>
  <c r="H646" i="1"/>
  <c r="I646" i="1"/>
  <c r="J646" i="1"/>
  <c r="K646" i="1"/>
  <c r="E647" i="1"/>
  <c r="F647" i="1"/>
  <c r="G647" i="1"/>
  <c r="H647" i="1"/>
  <c r="I647" i="1"/>
  <c r="J647" i="1"/>
  <c r="K647" i="1"/>
  <c r="E648" i="1"/>
  <c r="F648" i="1"/>
  <c r="G648" i="1"/>
  <c r="H648" i="1"/>
  <c r="I648" i="1"/>
  <c r="J648" i="1"/>
  <c r="K648" i="1"/>
  <c r="E649" i="1"/>
  <c r="F649" i="1"/>
  <c r="G649" i="1"/>
  <c r="H649" i="1"/>
  <c r="I649" i="1"/>
  <c r="J649" i="1"/>
  <c r="K649" i="1"/>
  <c r="E650" i="1"/>
  <c r="F650" i="1"/>
  <c r="G650" i="1"/>
  <c r="H650" i="1"/>
  <c r="I650" i="1"/>
  <c r="J650" i="1"/>
  <c r="K650" i="1"/>
  <c r="E651" i="1"/>
  <c r="F651" i="1"/>
  <c r="G651" i="1"/>
  <c r="H651" i="1"/>
  <c r="I651" i="1"/>
  <c r="J651" i="1"/>
  <c r="K651" i="1"/>
  <c r="E652" i="1"/>
  <c r="F652" i="1"/>
  <c r="G652" i="1"/>
  <c r="H652" i="1"/>
  <c r="I652" i="1"/>
  <c r="J652" i="1"/>
  <c r="K652" i="1"/>
  <c r="E653" i="1"/>
  <c r="F653" i="1"/>
  <c r="G653" i="1"/>
  <c r="H653" i="1"/>
  <c r="I653" i="1"/>
  <c r="J653" i="1"/>
  <c r="K653" i="1"/>
  <c r="E654" i="1"/>
  <c r="F654" i="1"/>
  <c r="G654" i="1"/>
  <c r="H654" i="1"/>
  <c r="I654" i="1"/>
  <c r="J654" i="1"/>
  <c r="K654" i="1"/>
  <c r="E655" i="1"/>
  <c r="F655" i="1"/>
  <c r="G655" i="1"/>
  <c r="H655" i="1"/>
  <c r="I655" i="1"/>
  <c r="J655" i="1"/>
  <c r="K655" i="1"/>
  <c r="E656" i="1"/>
  <c r="F656" i="1"/>
  <c r="G656" i="1"/>
  <c r="H656" i="1"/>
  <c r="I656" i="1"/>
  <c r="J656" i="1"/>
  <c r="K656" i="1"/>
  <c r="E657" i="1"/>
  <c r="F657" i="1"/>
  <c r="G657" i="1"/>
  <c r="H657" i="1"/>
  <c r="I657" i="1"/>
  <c r="J657" i="1"/>
  <c r="K657" i="1"/>
  <c r="E658" i="1"/>
  <c r="F658" i="1"/>
  <c r="G658" i="1"/>
  <c r="H658" i="1"/>
  <c r="I658" i="1"/>
  <c r="J658" i="1"/>
  <c r="K658" i="1"/>
  <c r="E659" i="1"/>
  <c r="F659" i="1"/>
  <c r="G659" i="1"/>
  <c r="H659" i="1"/>
  <c r="I659" i="1"/>
  <c r="J659" i="1"/>
  <c r="K659" i="1"/>
  <c r="E660" i="1"/>
  <c r="F660" i="1"/>
  <c r="G660" i="1"/>
  <c r="H660" i="1"/>
  <c r="I660" i="1"/>
  <c r="J660" i="1"/>
  <c r="K660" i="1"/>
  <c r="E661" i="1"/>
  <c r="F661" i="1"/>
  <c r="G661" i="1"/>
  <c r="H661" i="1"/>
  <c r="I661" i="1"/>
  <c r="J661" i="1"/>
  <c r="K661" i="1"/>
  <c r="E662" i="1"/>
  <c r="F662" i="1"/>
  <c r="G662" i="1"/>
  <c r="H662" i="1"/>
  <c r="I662" i="1"/>
  <c r="J662" i="1"/>
  <c r="K662" i="1"/>
  <c r="E663" i="1"/>
  <c r="F663" i="1"/>
  <c r="G663" i="1"/>
  <c r="H663" i="1"/>
  <c r="I663" i="1"/>
  <c r="J663" i="1"/>
  <c r="K663" i="1"/>
  <c r="E664" i="1"/>
  <c r="F664" i="1"/>
  <c r="G664" i="1"/>
  <c r="H664" i="1"/>
  <c r="I664" i="1"/>
  <c r="J664" i="1"/>
  <c r="K664" i="1"/>
  <c r="E665" i="1"/>
  <c r="F665" i="1"/>
  <c r="G665" i="1"/>
  <c r="H665" i="1"/>
  <c r="I665" i="1"/>
  <c r="J665" i="1"/>
  <c r="K665" i="1"/>
  <c r="E666" i="1"/>
  <c r="F666" i="1"/>
  <c r="G666" i="1"/>
  <c r="H666" i="1"/>
  <c r="I666" i="1"/>
  <c r="J666" i="1"/>
  <c r="K666" i="1"/>
  <c r="E667" i="1"/>
  <c r="F667" i="1"/>
  <c r="G667" i="1"/>
  <c r="H667" i="1"/>
  <c r="I667" i="1"/>
  <c r="J667" i="1"/>
  <c r="K667" i="1"/>
  <c r="E668" i="1"/>
  <c r="F668" i="1"/>
  <c r="G668" i="1"/>
  <c r="H668" i="1"/>
  <c r="I668" i="1"/>
  <c r="J668" i="1"/>
  <c r="K668" i="1"/>
  <c r="E669" i="1"/>
  <c r="F669" i="1"/>
  <c r="G669" i="1"/>
  <c r="H669" i="1"/>
  <c r="I669" i="1"/>
  <c r="J669" i="1"/>
  <c r="K669" i="1"/>
  <c r="E670" i="1"/>
  <c r="F670" i="1"/>
  <c r="G670" i="1"/>
  <c r="H670" i="1"/>
  <c r="I670" i="1"/>
  <c r="J670" i="1"/>
  <c r="K670" i="1"/>
  <c r="E671" i="1"/>
  <c r="F671" i="1"/>
  <c r="G671" i="1"/>
  <c r="H671" i="1"/>
  <c r="I671" i="1"/>
  <c r="J671" i="1"/>
  <c r="K671" i="1"/>
  <c r="E672" i="1"/>
  <c r="F672" i="1"/>
  <c r="G672" i="1"/>
  <c r="H672" i="1"/>
  <c r="I672" i="1"/>
  <c r="J672" i="1"/>
  <c r="K672" i="1"/>
  <c r="E673" i="1"/>
  <c r="F673" i="1"/>
  <c r="G673" i="1"/>
  <c r="H673" i="1"/>
  <c r="I673" i="1"/>
  <c r="J673" i="1"/>
  <c r="K673" i="1"/>
  <c r="E674" i="1"/>
  <c r="F674" i="1"/>
  <c r="G674" i="1"/>
  <c r="H674" i="1"/>
  <c r="I674" i="1"/>
  <c r="J674" i="1"/>
  <c r="K674" i="1"/>
  <c r="E675" i="1"/>
  <c r="F675" i="1"/>
  <c r="G675" i="1"/>
  <c r="H675" i="1"/>
  <c r="I675" i="1"/>
  <c r="J675" i="1"/>
  <c r="K675" i="1"/>
  <c r="E676" i="1"/>
  <c r="F676" i="1"/>
  <c r="G676" i="1"/>
  <c r="H676" i="1"/>
  <c r="I676" i="1"/>
  <c r="J676" i="1"/>
  <c r="K676" i="1"/>
  <c r="E677" i="1"/>
  <c r="F677" i="1"/>
  <c r="G677" i="1"/>
  <c r="H677" i="1"/>
  <c r="I677" i="1"/>
  <c r="J677" i="1"/>
  <c r="K677" i="1"/>
  <c r="E678" i="1"/>
  <c r="F678" i="1"/>
  <c r="G678" i="1"/>
  <c r="H678" i="1"/>
  <c r="I678" i="1"/>
  <c r="J678" i="1"/>
  <c r="K678" i="1"/>
  <c r="E679" i="1"/>
  <c r="F679" i="1"/>
  <c r="G679" i="1"/>
  <c r="H679" i="1"/>
  <c r="I679" i="1"/>
  <c r="J679" i="1"/>
  <c r="K679" i="1"/>
  <c r="E680" i="1"/>
  <c r="F680" i="1"/>
  <c r="G680" i="1"/>
  <c r="H680" i="1"/>
  <c r="I680" i="1"/>
  <c r="J680" i="1"/>
  <c r="K680" i="1"/>
  <c r="E681" i="1"/>
  <c r="F681" i="1"/>
  <c r="G681" i="1"/>
  <c r="H681" i="1"/>
  <c r="I681" i="1"/>
  <c r="J681" i="1"/>
  <c r="K681" i="1"/>
  <c r="E682" i="1"/>
  <c r="F682" i="1"/>
  <c r="G682" i="1"/>
  <c r="H682" i="1"/>
  <c r="I682" i="1"/>
  <c r="J682" i="1"/>
  <c r="K682" i="1"/>
  <c r="E683" i="1"/>
  <c r="F683" i="1"/>
  <c r="G683" i="1"/>
  <c r="H683" i="1"/>
  <c r="I683" i="1"/>
  <c r="J683" i="1"/>
  <c r="K683" i="1"/>
  <c r="E684" i="1"/>
  <c r="F684" i="1"/>
  <c r="G684" i="1"/>
  <c r="H684" i="1"/>
  <c r="I684" i="1"/>
  <c r="J684" i="1"/>
  <c r="K684" i="1"/>
  <c r="E685" i="1"/>
  <c r="F685" i="1"/>
  <c r="G685" i="1"/>
  <c r="H685" i="1"/>
  <c r="I685" i="1"/>
  <c r="J685" i="1"/>
  <c r="K685" i="1"/>
  <c r="E686" i="1"/>
  <c r="F686" i="1"/>
  <c r="G686" i="1"/>
  <c r="H686" i="1"/>
  <c r="I686" i="1"/>
  <c r="J686" i="1"/>
  <c r="K686" i="1"/>
  <c r="E687" i="1"/>
  <c r="F687" i="1"/>
  <c r="G687" i="1"/>
  <c r="H687" i="1"/>
  <c r="I687" i="1"/>
  <c r="J687" i="1"/>
  <c r="K687" i="1"/>
  <c r="E688" i="1"/>
  <c r="F688" i="1"/>
  <c r="G688" i="1"/>
  <c r="H688" i="1"/>
  <c r="I688" i="1"/>
  <c r="J688" i="1"/>
  <c r="K688" i="1"/>
  <c r="E689" i="1"/>
  <c r="F689" i="1"/>
  <c r="G689" i="1"/>
  <c r="H689" i="1"/>
  <c r="I689" i="1"/>
  <c r="J689" i="1"/>
  <c r="K689" i="1"/>
  <c r="E690" i="1"/>
  <c r="F690" i="1"/>
  <c r="G690" i="1"/>
  <c r="H690" i="1"/>
  <c r="I690" i="1"/>
  <c r="J690" i="1"/>
  <c r="K690" i="1"/>
  <c r="E691" i="1"/>
  <c r="F691" i="1"/>
  <c r="G691" i="1"/>
  <c r="H691" i="1"/>
  <c r="I691" i="1"/>
  <c r="J691" i="1"/>
  <c r="K691" i="1"/>
  <c r="E692" i="1"/>
  <c r="F692" i="1"/>
  <c r="G692" i="1"/>
  <c r="H692" i="1"/>
  <c r="I692" i="1"/>
  <c r="J692" i="1"/>
  <c r="K692" i="1"/>
  <c r="E693" i="1"/>
  <c r="F693" i="1"/>
  <c r="G693" i="1"/>
  <c r="H693" i="1"/>
  <c r="I693" i="1"/>
  <c r="J693" i="1"/>
  <c r="K693" i="1"/>
  <c r="E694" i="1"/>
  <c r="F694" i="1"/>
  <c r="G694" i="1"/>
  <c r="H694" i="1"/>
  <c r="I694" i="1"/>
  <c r="J694" i="1"/>
  <c r="K694" i="1"/>
  <c r="E695" i="1"/>
  <c r="F695" i="1"/>
  <c r="G695" i="1"/>
  <c r="H695" i="1"/>
  <c r="I695" i="1"/>
  <c r="J695" i="1"/>
  <c r="K695" i="1"/>
  <c r="E696" i="1"/>
  <c r="F696" i="1"/>
  <c r="G696" i="1"/>
  <c r="H696" i="1"/>
  <c r="I696" i="1"/>
  <c r="J696" i="1"/>
  <c r="K696" i="1"/>
  <c r="E697" i="1"/>
  <c r="F697" i="1"/>
  <c r="G697" i="1"/>
  <c r="H697" i="1"/>
  <c r="I697" i="1"/>
  <c r="J697" i="1"/>
  <c r="K697" i="1"/>
  <c r="E698" i="1"/>
  <c r="F698" i="1"/>
  <c r="G698" i="1"/>
  <c r="H698" i="1"/>
  <c r="I698" i="1"/>
  <c r="J698" i="1"/>
  <c r="K698" i="1"/>
  <c r="E699" i="1"/>
  <c r="F699" i="1"/>
  <c r="G699" i="1"/>
  <c r="H699" i="1"/>
  <c r="I699" i="1"/>
  <c r="J699" i="1"/>
  <c r="K699" i="1"/>
  <c r="E700" i="1"/>
  <c r="F700" i="1"/>
  <c r="G700" i="1"/>
  <c r="H700" i="1"/>
  <c r="I700" i="1"/>
  <c r="J700" i="1"/>
  <c r="K700" i="1"/>
  <c r="E701" i="1"/>
  <c r="F701" i="1"/>
  <c r="G701" i="1"/>
  <c r="H701" i="1"/>
  <c r="I701" i="1"/>
  <c r="J701" i="1"/>
  <c r="K701" i="1"/>
  <c r="E702" i="1"/>
  <c r="F702" i="1"/>
  <c r="G702" i="1"/>
  <c r="H702" i="1"/>
  <c r="I702" i="1"/>
  <c r="J702" i="1"/>
  <c r="K702" i="1"/>
  <c r="E703" i="1"/>
  <c r="F703" i="1"/>
  <c r="G703" i="1"/>
  <c r="H703" i="1"/>
  <c r="I703" i="1"/>
  <c r="J703" i="1"/>
  <c r="K703" i="1"/>
  <c r="E704" i="1"/>
  <c r="F704" i="1"/>
  <c r="G704" i="1"/>
  <c r="H704" i="1"/>
  <c r="I704" i="1"/>
  <c r="J704" i="1"/>
  <c r="K704" i="1"/>
  <c r="E705" i="1"/>
  <c r="F705" i="1"/>
  <c r="G705" i="1"/>
  <c r="H705" i="1"/>
  <c r="I705" i="1"/>
  <c r="J705" i="1"/>
  <c r="K705" i="1"/>
  <c r="E706" i="1"/>
  <c r="F706" i="1"/>
  <c r="G706" i="1"/>
  <c r="H706" i="1"/>
  <c r="I706" i="1"/>
  <c r="J706" i="1"/>
  <c r="K706" i="1"/>
  <c r="E707" i="1"/>
  <c r="F707" i="1"/>
  <c r="G707" i="1"/>
  <c r="H707" i="1"/>
  <c r="I707" i="1"/>
  <c r="J707" i="1"/>
  <c r="K707" i="1"/>
  <c r="E708" i="1"/>
  <c r="F708" i="1"/>
  <c r="G708" i="1"/>
  <c r="H708" i="1"/>
  <c r="I708" i="1"/>
  <c r="J708" i="1"/>
  <c r="K708" i="1"/>
  <c r="E709" i="1"/>
  <c r="F709" i="1"/>
  <c r="G709" i="1"/>
  <c r="H709" i="1"/>
  <c r="I709" i="1"/>
  <c r="J709" i="1"/>
  <c r="K709" i="1"/>
  <c r="E710" i="1"/>
  <c r="F710" i="1"/>
  <c r="G710" i="1"/>
  <c r="H710" i="1"/>
  <c r="I710" i="1"/>
  <c r="J710" i="1"/>
  <c r="K710" i="1"/>
  <c r="E711" i="1"/>
  <c r="F711" i="1"/>
  <c r="G711" i="1"/>
  <c r="H711" i="1"/>
  <c r="I711" i="1"/>
  <c r="J711" i="1"/>
  <c r="K711" i="1"/>
  <c r="E712" i="1"/>
  <c r="F712" i="1"/>
  <c r="G712" i="1"/>
  <c r="H712" i="1"/>
  <c r="I712" i="1"/>
  <c r="J712" i="1"/>
  <c r="K712" i="1"/>
  <c r="E713" i="1"/>
  <c r="F713" i="1"/>
  <c r="G713" i="1"/>
  <c r="H713" i="1"/>
  <c r="I713" i="1"/>
  <c r="J713" i="1"/>
  <c r="K713" i="1"/>
  <c r="E714" i="1"/>
  <c r="F714" i="1"/>
  <c r="G714" i="1"/>
  <c r="H714" i="1"/>
  <c r="I714" i="1"/>
  <c r="J714" i="1"/>
  <c r="K714" i="1"/>
  <c r="E715" i="1"/>
  <c r="F715" i="1"/>
  <c r="G715" i="1"/>
  <c r="H715" i="1"/>
  <c r="I715" i="1"/>
  <c r="J715" i="1"/>
  <c r="K715" i="1"/>
  <c r="E716" i="1"/>
  <c r="F716" i="1"/>
  <c r="G716" i="1"/>
  <c r="H716" i="1"/>
  <c r="I716" i="1"/>
  <c r="J716" i="1"/>
  <c r="K716" i="1"/>
  <c r="E717" i="1"/>
  <c r="F717" i="1"/>
  <c r="G717" i="1"/>
  <c r="H717" i="1"/>
  <c r="I717" i="1"/>
  <c r="J717" i="1"/>
  <c r="K717" i="1"/>
  <c r="E718" i="1"/>
  <c r="F718" i="1"/>
  <c r="G718" i="1"/>
  <c r="H718" i="1"/>
  <c r="I718" i="1"/>
  <c r="J718" i="1"/>
  <c r="K718" i="1"/>
  <c r="E719" i="1"/>
  <c r="F719" i="1"/>
  <c r="G719" i="1"/>
  <c r="H719" i="1"/>
  <c r="I719" i="1"/>
  <c r="J719" i="1"/>
  <c r="K719" i="1"/>
  <c r="E720" i="1"/>
  <c r="F720" i="1"/>
  <c r="G720" i="1"/>
  <c r="H720" i="1"/>
  <c r="I720" i="1"/>
  <c r="J720" i="1"/>
  <c r="K720" i="1"/>
  <c r="E721" i="1"/>
  <c r="F721" i="1"/>
  <c r="G721" i="1"/>
  <c r="H721" i="1"/>
  <c r="I721" i="1"/>
  <c r="J721" i="1"/>
  <c r="K721" i="1"/>
  <c r="E722" i="1"/>
  <c r="F722" i="1"/>
  <c r="G722" i="1"/>
  <c r="H722" i="1"/>
  <c r="I722" i="1"/>
  <c r="J722" i="1"/>
  <c r="K722" i="1"/>
  <c r="E723" i="1"/>
  <c r="F723" i="1"/>
  <c r="G723" i="1"/>
  <c r="H723" i="1"/>
  <c r="I723" i="1"/>
  <c r="J723" i="1"/>
  <c r="K723" i="1"/>
  <c r="E724" i="1"/>
  <c r="F724" i="1"/>
  <c r="G724" i="1"/>
  <c r="H724" i="1"/>
  <c r="I724" i="1"/>
  <c r="J724" i="1"/>
  <c r="K724" i="1"/>
  <c r="E725" i="1"/>
  <c r="F725" i="1"/>
  <c r="G725" i="1"/>
  <c r="H725" i="1"/>
  <c r="I725" i="1"/>
  <c r="J725" i="1"/>
  <c r="K725" i="1"/>
  <c r="E726" i="1"/>
  <c r="F726" i="1"/>
  <c r="G726" i="1"/>
  <c r="H726" i="1"/>
  <c r="I726" i="1"/>
  <c r="J726" i="1"/>
  <c r="K726" i="1"/>
  <c r="E727" i="1"/>
  <c r="F727" i="1"/>
  <c r="G727" i="1"/>
  <c r="H727" i="1"/>
  <c r="I727" i="1"/>
  <c r="J727" i="1"/>
  <c r="K727" i="1"/>
  <c r="E728" i="1"/>
  <c r="F728" i="1"/>
  <c r="G728" i="1"/>
  <c r="H728" i="1"/>
  <c r="I728" i="1"/>
  <c r="J728" i="1"/>
  <c r="K728" i="1"/>
  <c r="E729" i="1"/>
  <c r="F729" i="1"/>
  <c r="G729" i="1"/>
  <c r="H729" i="1"/>
  <c r="I729" i="1"/>
  <c r="J729" i="1"/>
  <c r="K729" i="1"/>
  <c r="E730" i="1"/>
  <c r="F730" i="1"/>
  <c r="G730" i="1"/>
  <c r="H730" i="1"/>
  <c r="I730" i="1"/>
  <c r="J730" i="1"/>
  <c r="K730" i="1"/>
  <c r="E731" i="1"/>
  <c r="F731" i="1"/>
  <c r="G731" i="1"/>
  <c r="H731" i="1"/>
  <c r="I731" i="1"/>
  <c r="J731" i="1"/>
  <c r="K731" i="1"/>
  <c r="K2" i="1"/>
  <c r="J2" i="1"/>
  <c r="I2" i="1"/>
  <c r="H2" i="1"/>
  <c r="G2" i="1"/>
  <c r="F2" i="1"/>
  <c r="E2" i="1"/>
  <c r="AE620" i="2"/>
  <c r="AE619" i="2"/>
  <c r="AE618" i="2"/>
  <c r="AE616" i="2"/>
  <c r="AE615" i="2"/>
  <c r="AE606" i="2"/>
  <c r="AE605" i="2"/>
  <c r="AE604" i="2"/>
  <c r="AE603" i="2"/>
  <c r="AE602" i="2"/>
  <c r="AE601" i="2"/>
  <c r="AE599" i="2"/>
  <c r="AE598" i="2"/>
  <c r="AE596" i="2"/>
  <c r="AE593" i="2"/>
  <c r="AE591" i="2"/>
  <c r="AE583" i="2"/>
  <c r="AE561" i="2"/>
  <c r="AE560" i="2"/>
  <c r="AE559" i="2"/>
  <c r="AE558" i="2"/>
  <c r="AE557" i="2"/>
  <c r="AE556" i="2"/>
  <c r="AE555" i="2"/>
  <c r="AE554" i="2"/>
  <c r="AE553" i="2"/>
  <c r="AE552" i="2"/>
  <c r="AE551" i="2"/>
  <c r="AE550" i="2"/>
  <c r="AE540" i="2"/>
  <c r="AE539" i="2"/>
  <c r="AE538" i="2"/>
  <c r="AE537" i="2"/>
  <c r="AE531" i="2"/>
  <c r="AE530" i="2"/>
  <c r="AE529" i="2"/>
  <c r="AE528" i="2"/>
  <c r="AE527" i="2"/>
  <c r="AE526" i="2"/>
  <c r="AE525" i="2"/>
  <c r="AE524" i="2"/>
  <c r="AE523" i="2"/>
  <c r="AE522" i="2"/>
  <c r="AE520" i="2"/>
  <c r="AE519" i="2"/>
  <c r="AF310" i="2"/>
  <c r="AF309" i="2"/>
  <c r="AF308" i="2"/>
  <c r="AF307" i="2"/>
  <c r="AF306" i="2"/>
  <c r="AF305" i="2"/>
  <c r="AF304" i="2"/>
  <c r="AF303" i="2"/>
  <c r="AF302" i="2"/>
  <c r="AF301" i="2"/>
  <c r="AF300" i="2"/>
  <c r="AF299" i="2"/>
</calcChain>
</file>

<file path=xl/sharedStrings.xml><?xml version="1.0" encoding="utf-8"?>
<sst xmlns="http://schemas.openxmlformats.org/spreadsheetml/2006/main" count="16351" uniqueCount="6584">
  <si>
    <t>Fabric</t>
  </si>
  <si>
    <t>Frame</t>
  </si>
  <si>
    <t>1003881136072</t>
  </si>
  <si>
    <t>Apparel</t>
  </si>
  <si>
    <t>Flying Stock</t>
  </si>
  <si>
    <t>GPR-GSL-WOM-TTS-ONE-FST-ORA-L</t>
  </si>
  <si>
    <t>1008462507470</t>
  </si>
  <si>
    <t>Flying Fish</t>
  </si>
  <si>
    <t>GPR-GCV-MEN-SIS-BUT-FLH-WHI-L</t>
  </si>
  <si>
    <t>Constable</t>
  </si>
  <si>
    <t>Bardot</t>
  </si>
  <si>
    <t>1036704952177</t>
  </si>
  <si>
    <t>Saigon Traffic</t>
  </si>
  <si>
    <t>GPR-GBA-MEN-TSS-ONE-STC-WHI-XXL</t>
  </si>
  <si>
    <t>CA PARADISE ZOOM LEFT</t>
  </si>
  <si>
    <t>1040317153234</t>
  </si>
  <si>
    <t>Star map</t>
  </si>
  <si>
    <t>GPR-GOR-MEN-TSS-ONE-SMP-BLK-M</t>
  </si>
  <si>
    <t>1044940745071</t>
  </si>
  <si>
    <t>Accessories</t>
  </si>
  <si>
    <t>Headband</t>
  </si>
  <si>
    <t>GPR-OTH-UNI-HWR-HEA-MIX-MIX-0</t>
  </si>
  <si>
    <t>1053187208201</t>
  </si>
  <si>
    <t>Urban</t>
  </si>
  <si>
    <t>GPR-GOR-MEN-TSS-ONE-URB-JBG-L</t>
  </si>
  <si>
    <t>1067914257486</t>
  </si>
  <si>
    <t>Autumn Lion</t>
  </si>
  <si>
    <t>GPR-GSL-KID-TSS-ONE-AUL-WHI-10</t>
  </si>
  <si>
    <t>1068272385279</t>
  </si>
  <si>
    <t>Shuttlecock</t>
  </si>
  <si>
    <t>GPR-GSP-MEN-POL-MAN-SHU-NAV-S</t>
  </si>
  <si>
    <t>Damascus M390 Santoku 18cm</t>
  </si>
  <si>
    <t>1078842893035</t>
  </si>
  <si>
    <t>Vietnam Telecom</t>
  </si>
  <si>
    <t>GPR-GOR-MEN-TSS-ONE-VTM-GRE-XXL</t>
  </si>
  <si>
    <t>FRAME</t>
  </si>
  <si>
    <t>Sitting Buddha</t>
  </si>
  <si>
    <t>1103930901535</t>
  </si>
  <si>
    <t>Logo</t>
  </si>
  <si>
    <t>GPR-GPI-MEN-POL-MAN-LOG-AGD-S</t>
  </si>
  <si>
    <t>Cora I</t>
  </si>
  <si>
    <t>1113470118409</t>
  </si>
  <si>
    <t>The Eight Horses of Triumph</t>
  </si>
  <si>
    <t>GPR-GSU-WOM-TTB-BNE-EHT-YEL-M</t>
  </si>
  <si>
    <t>1113524387249</t>
  </si>
  <si>
    <t>Di Dau</t>
  </si>
  <si>
    <t>GPR-GOR-MEN-TSS-ONE-DDU-GRE-M</t>
  </si>
  <si>
    <t>1145470298133</t>
  </si>
  <si>
    <t>Gao</t>
  </si>
  <si>
    <t>GPR-GOR-MEN-TSS-HNE-GAO-BLK-L</t>
  </si>
  <si>
    <t>HER HAIR, THE LAST REFUGE</t>
  </si>
  <si>
    <t>Schaeffer</t>
  </si>
  <si>
    <t>CS-HN-KG-GK HA 129</t>
  </si>
  <si>
    <t>CS-HN-KG-GINKGO 76</t>
  </si>
  <si>
    <t>1165815805543</t>
  </si>
  <si>
    <t>Lily Pattern</t>
  </si>
  <si>
    <t>GPR-OTH-UNI-HWR-CAP-LPN-BOR-S</t>
  </si>
  <si>
    <t>1170845549305</t>
  </si>
  <si>
    <t>Linen Pants</t>
  </si>
  <si>
    <t>GPR-GLI-MEN-PAF-BBT-LIN-WHI-XL</t>
  </si>
  <si>
    <t>1180395777400</t>
  </si>
  <si>
    <t>Red Lantern</t>
  </si>
  <si>
    <t>GPR-GPI-MEN-POL-MAN-RLN-OLI-S</t>
  </si>
  <si>
    <t>1182703260376</t>
  </si>
  <si>
    <t>Notebook Hoi an</t>
  </si>
  <si>
    <t>GPR-OTH-UNI-SOU-NBI-HAI-MIX-A5</t>
  </si>
  <si>
    <t>1192948041722</t>
  </si>
  <si>
    <t>Wolf</t>
  </si>
  <si>
    <t>GPR-GOR-WOM-TTB-BNE-WOL-GRE-S</t>
  </si>
  <si>
    <t>CF</t>
  </si>
  <si>
    <t>Ruby Plum Tea</t>
  </si>
  <si>
    <t>Aznavour I</t>
  </si>
  <si>
    <t>Bertrand Loafer I</t>
  </si>
  <si>
    <t>Men’s Seurat</t>
  </si>
  <si>
    <t>1232111333077</t>
  </si>
  <si>
    <t>Hoa</t>
  </si>
  <si>
    <t>GPR-GSL-WOM-APP-BNE-HOA-WHI-S</t>
  </si>
  <si>
    <t>1232144517772</t>
  </si>
  <si>
    <t>Street coffee</t>
  </si>
  <si>
    <t>GPR-GBA-MEN-TSS-ONE-STE-WHI-M</t>
  </si>
  <si>
    <t>1236357218495</t>
  </si>
  <si>
    <t>Jungle</t>
  </si>
  <si>
    <t>GPR-GPI-MEN-POL-MAN-JUN-WHI-S</t>
  </si>
  <si>
    <t>1237698231372</t>
  </si>
  <si>
    <t>Hoi An</t>
  </si>
  <si>
    <t>GPR-GBA-MEN-TSS-ONE-HAI-BLK-M</t>
  </si>
  <si>
    <t>1245855030119</t>
  </si>
  <si>
    <t>GPR-GOR-MEN-TSS-ONE-VTM-GRE-M</t>
  </si>
  <si>
    <t>1256403278563</t>
  </si>
  <si>
    <t>GPR-GOR-MEN-TSS-ONE-DDU-GRE-S</t>
  </si>
  <si>
    <t>Spice Road Gin</t>
  </si>
  <si>
    <t>1276875050108</t>
  </si>
  <si>
    <t>Street Vendor</t>
  </si>
  <si>
    <t>GPR-GFI-MEN-HLS-ONE-SVR-WHI-XS</t>
  </si>
  <si>
    <t>SAIGON CLASSIQUE' 24</t>
  </si>
  <si>
    <t>1289409839605</t>
  </si>
  <si>
    <t>Hanoi Corner</t>
  </si>
  <si>
    <t>GPR-OTH-UNI-SOU-NBS-HNC-NAV-A6</t>
  </si>
  <si>
    <t>Bộ cờ tỷ phú lumina Hà Nội</t>
  </si>
  <si>
    <t>Phsar Dek</t>
  </si>
  <si>
    <t>Laughing Buddha</t>
  </si>
  <si>
    <t>CS-GN-LBSB-1</t>
  </si>
  <si>
    <t>Loofah back scrubbing belt</t>
  </si>
  <si>
    <t>1311825206706</t>
  </si>
  <si>
    <t>GPR-GSP-MEN-POL-MAN-SHU-BLK-M</t>
  </si>
  <si>
    <t>Standing Buddha</t>
  </si>
  <si>
    <t>1321701205020</t>
  </si>
  <si>
    <t>Crossbody Bag</t>
  </si>
  <si>
    <t>GPR-OTH-UNI-BAG-CRB-LOG-YEO-0</t>
  </si>
  <si>
    <t>1344315990465</t>
  </si>
  <si>
    <t>Traffic Light</t>
  </si>
  <si>
    <t>GPR-GSL-KID-TSS-ONE-TLT-BLK-2</t>
  </si>
  <si>
    <t>1346755967038</t>
  </si>
  <si>
    <t>The Chairs</t>
  </si>
  <si>
    <t>GPR-GOR-MEN-TSS-HNE-TCS-WHI-XXL</t>
  </si>
  <si>
    <t>Gaskell I (Hard)</t>
  </si>
  <si>
    <t>1353809571370</t>
  </si>
  <si>
    <t>GPR-GOR-MEN-TSP-ONE-JUN-JBG-S</t>
  </si>
  <si>
    <t>1353868565105</t>
  </si>
  <si>
    <t>Vietnam waves</t>
  </si>
  <si>
    <t>GPR-GBA-MEN-TSS-ONE-VNW-WHI-S</t>
  </si>
  <si>
    <t>1359007809932</t>
  </si>
  <si>
    <t>GPR-GLI-MEN-PAF-BBT-LIN-NAV-S</t>
  </si>
  <si>
    <t>CS-HN-KG- EAR 32R</t>
  </si>
  <si>
    <t>Slipper Neruda</t>
  </si>
  <si>
    <t>1392579771047</t>
  </si>
  <si>
    <t>GPR-OTH-UNI-FWR-SLI-URB-ORA-38</t>
  </si>
  <si>
    <t>Bronte</t>
  </si>
  <si>
    <t>1405646387130</t>
  </si>
  <si>
    <t>Traffic jam</t>
  </si>
  <si>
    <t>GPR-GBA-MEN-TSP-ONE-TJM-OLI-XXL</t>
  </si>
  <si>
    <t>CS-HN-KG-MEN 10</t>
  </si>
  <si>
    <t>CS-HN-KG-GINKGO 110</t>
  </si>
  <si>
    <t>Sơn La Blend</t>
  </si>
  <si>
    <t>CS-HN-KG-GINKGO 117</t>
  </si>
  <si>
    <t>KM Mint &amp; Lemon</t>
  </si>
  <si>
    <t>1438769038405</t>
  </si>
  <si>
    <t>Hang Hoa</t>
  </si>
  <si>
    <t>GPR-GBA-WOM-PZE-ONE-HHA-WHI-L</t>
  </si>
  <si>
    <t>1442671629606</t>
  </si>
  <si>
    <t>GPR-GBA-MEN-TSS-ONE-URB-GRE-S</t>
  </si>
  <si>
    <t>Cezanne</t>
  </si>
  <si>
    <t>1470176402004</t>
  </si>
  <si>
    <t>Monfox</t>
  </si>
  <si>
    <t>GPR-GOR-KID-TSS-ONE-MOX-PPA-6</t>
  </si>
  <si>
    <t>1482326209173</t>
  </si>
  <si>
    <t>Beer Pop</t>
  </si>
  <si>
    <t>GPR-GBA-MEN-TSS-ONE-BPP-BLK-S</t>
  </si>
  <si>
    <t>1485050713725</t>
  </si>
  <si>
    <t>Old Quarter</t>
  </si>
  <si>
    <t>GPR-GOR-MEN-TSS-ONE-OQR-GRE-M</t>
  </si>
  <si>
    <t>1494166532731</t>
  </si>
  <si>
    <t>GPR-GOR-MEN-TSS-ONE-HNC-WHI-XL</t>
  </si>
  <si>
    <t>1499362406534</t>
  </si>
  <si>
    <t>Tropical Night</t>
  </si>
  <si>
    <t>GPR-GCL-MEN-TSO-ONE-TNT-WHI-S</t>
  </si>
  <si>
    <t>CS-HN-HD 73</t>
  </si>
  <si>
    <t>SneakerBannister</t>
  </si>
  <si>
    <t>1503559832577</t>
  </si>
  <si>
    <t>GPR-GBA-MEN-TSS-ONE-URB-GRE-XXL</t>
  </si>
  <si>
    <t>1507148756701</t>
  </si>
  <si>
    <t>GPR-GBA-MEN-TSP-ONE-JUN-JBG-L</t>
  </si>
  <si>
    <t>Men's Bags Sisley</t>
  </si>
  <si>
    <t>Fouquet</t>
  </si>
  <si>
    <t>1522292250615</t>
  </si>
  <si>
    <t>GPR-OTH-UNI-BAG-CRB-LOG-COB-0</t>
  </si>
  <si>
    <t>1523642648205</t>
  </si>
  <si>
    <t>Traffic Jam</t>
  </si>
  <si>
    <t>GPR-GKK-WOM-SHH-FBT-TJM-BLK-M</t>
  </si>
  <si>
    <t>1529799738974</t>
  </si>
  <si>
    <t>GPR-GSL-KID-TSS-ONE-URB-ORA-2</t>
  </si>
  <si>
    <t>Martial Slipper</t>
  </si>
  <si>
    <t>Alex Loafer</t>
  </si>
  <si>
    <t>1546101472302</t>
  </si>
  <si>
    <t>GPR-GPI-MEN-POL-RIB-LOG-OLI-L</t>
  </si>
  <si>
    <t>1562456176832</t>
  </si>
  <si>
    <t>Aphrodite</t>
  </si>
  <si>
    <t>GPR-GSL-WOM-TSB-ONE-APH-CRE-L</t>
  </si>
  <si>
    <t>1568036959635</t>
  </si>
  <si>
    <t>GPR-GBA-MEN-TSP-ONE-JUN-JBG-S</t>
  </si>
  <si>
    <t>1576617705076</t>
  </si>
  <si>
    <t>Street Cafe</t>
  </si>
  <si>
    <t>GPR-OTH-UNI-SOU-HFS-STE-BLU-0</t>
  </si>
  <si>
    <t>CS-HN-KG-GINKGO 1</t>
  </si>
  <si>
    <t>Giỏ trà hoa giấy RuNam</t>
  </si>
  <si>
    <t>1643590205906</t>
  </si>
  <si>
    <t>GPR-GOR-MEN-TSS-ONE-HAI-BLK-M</t>
  </si>
  <si>
    <t>1653056442677</t>
  </si>
  <si>
    <t>Motor</t>
  </si>
  <si>
    <t>GPR-GOR-MEN-TSS-ONE-MOT-WHI-S</t>
  </si>
  <si>
    <t>CS-HN-HD 70</t>
  </si>
  <si>
    <t>1666379711801</t>
  </si>
  <si>
    <t>Viet Nam</t>
  </si>
  <si>
    <t>GPR-OTH-UNI-HDR-CUS-VNM-BLK-0</t>
  </si>
  <si>
    <t>1668946471033</t>
  </si>
  <si>
    <t>GPR-GLI-MEN-PAF-BBT-LIN-NAV-L</t>
  </si>
  <si>
    <t>Aznavour Python</t>
  </si>
  <si>
    <t>Vietnamese Coconut Coffee</t>
  </si>
  <si>
    <t>Easy Loafer I</t>
  </si>
  <si>
    <t>1720055071839</t>
  </si>
  <si>
    <t>GPR-GBA-MEN-TSS-ONE-LOG-JBG-XXL</t>
  </si>
  <si>
    <t>1728754545736</t>
  </si>
  <si>
    <t>GPR-GSL-MEN-TTS-ONE-URB-WHI-L</t>
  </si>
  <si>
    <t>1745660023370</t>
  </si>
  <si>
    <t>Gecko</t>
  </si>
  <si>
    <t>GPR-GFI-MEN-HLS-ONE-GEC-RED-L</t>
  </si>
  <si>
    <t>1764911675779</t>
  </si>
  <si>
    <t>GPR-GBA-WOM-CRO-ONE-TCS-BLK-S</t>
  </si>
  <si>
    <t>Star Loafer</t>
  </si>
  <si>
    <t>Chatto</t>
  </si>
  <si>
    <t>1776887369279</t>
  </si>
  <si>
    <t>GPR-GBA-MEN-TSS-ONE-TLT-BLK-XXL</t>
  </si>
  <si>
    <t>1780943284802</t>
  </si>
  <si>
    <t>GPR-GFI-MEN-SHS-EBT-LOG-BLK-S</t>
  </si>
  <si>
    <t>1782940083730</t>
  </si>
  <si>
    <t>GPR-GOR-MEN-TSS-ONE-STC-WHI-L</t>
  </si>
  <si>
    <t>Boxer</t>
  </si>
  <si>
    <t>1785923839584</t>
  </si>
  <si>
    <t>GPR-GOR-MEN-TSS-ONE-DDU-GRE-XL</t>
  </si>
  <si>
    <t>1792092139278</t>
  </si>
  <si>
    <t>GPR-GCA-UNI-BAG-SHB-DDU-CRE-0</t>
  </si>
  <si>
    <t>Shelley</t>
  </si>
  <si>
    <t>1804176449330</t>
  </si>
  <si>
    <t>Banana Leaf</t>
  </si>
  <si>
    <t>GPR-GSU-WOM-TTB-BNE-BLF-WHI-M</t>
  </si>
  <si>
    <t>Men’s Piaf</t>
  </si>
  <si>
    <t>1822891332287</t>
  </si>
  <si>
    <t>GPR-GCV-WOM-BLA-BNE-WOL-WHI-S</t>
  </si>
  <si>
    <t>1831840541076</t>
  </si>
  <si>
    <t>Rain Forest</t>
  </si>
  <si>
    <t>GPR-GCV-MEN-SIS-BUT-RFT-WHI-L</t>
  </si>
  <si>
    <t>Duchamp</t>
  </si>
  <si>
    <t>1854747393937</t>
  </si>
  <si>
    <t>Saigon Motor</t>
  </si>
  <si>
    <t>GPR-GOR-MEN-TSS-ONE-SMR-WHI-XXL</t>
  </si>
  <si>
    <t>1866701161568</t>
  </si>
  <si>
    <t>Star</t>
  </si>
  <si>
    <t>GPR-GOR-KID-TSS-ONE-STA-RED-12</t>
  </si>
  <si>
    <t>SanMai 440C 19cm Dao Bau</t>
  </si>
  <si>
    <t>Men's Bags
Millais</t>
  </si>
  <si>
    <t>1892728744033</t>
  </si>
  <si>
    <t>GPR-GCV-MEN-SIS-BUT-RFT-WHI-S</t>
  </si>
  <si>
    <t>1893668306671</t>
  </si>
  <si>
    <t>GPR-GBA-MEN-TSS-ONE-TJM-OLI-M</t>
  </si>
  <si>
    <t>Lady Shoes</t>
  </si>
  <si>
    <t>Men’s Cezanne</t>
  </si>
  <si>
    <t>1903912558906</t>
  </si>
  <si>
    <t>GPR-GOR-MEN-TSS-HNE-GAO-BLK-XXL</t>
  </si>
  <si>
    <t>1914102783435</t>
  </si>
  <si>
    <t>GPR-OTH-UNI-FWR-SLI-URB-ORA-40</t>
  </si>
  <si>
    <t>CS-HN-KG-GINKGO 121</t>
  </si>
  <si>
    <t>1928375451922</t>
  </si>
  <si>
    <t>Fighting Roosters</t>
  </si>
  <si>
    <t>GPR-OTH-UNI-SOU-HFS-FRO-RED-0</t>
  </si>
  <si>
    <t>1934877361508</t>
  </si>
  <si>
    <t>GPR-GSU-MEN-POL-MAN-RFT-VIO-S</t>
  </si>
  <si>
    <t>1934970924037</t>
  </si>
  <si>
    <t>GPR-GKK-WOM-SHD-FBT-FLH-BLK-S</t>
  </si>
  <si>
    <t>1938063577407</t>
  </si>
  <si>
    <t>GPR-GBA-KID-TSS-ONE-TLT-BLK-2</t>
  </si>
  <si>
    <t>Letter Rack</t>
  </si>
  <si>
    <t>1947268523973</t>
  </si>
  <si>
    <t>Xich Lo</t>
  </si>
  <si>
    <t>GPR-GBA-MEN-TSS-ONE-XLO-BLK-XL</t>
  </si>
  <si>
    <t>1953855182935</t>
  </si>
  <si>
    <t>GPR-GBA-MEN-TSS-ONE-DDU-GRE-S</t>
  </si>
  <si>
    <t>Men’s Schaeffer</t>
  </si>
  <si>
    <t>1957358222839</t>
  </si>
  <si>
    <t>Saigon Story</t>
  </si>
  <si>
    <t>GPR-GBA-MEN-TSP-ONE-SSY-GRE-XXL</t>
  </si>
  <si>
    <t>1960312611730</t>
  </si>
  <si>
    <t>GPR-GOR-MEN-POL-MAN-LOG-JBG-XL</t>
  </si>
  <si>
    <t>1972881994800</t>
  </si>
  <si>
    <t>GPR-GOR-MEN-TSS-ONE-SMP-BLK-S</t>
  </si>
  <si>
    <t>1985253393736</t>
  </si>
  <si>
    <t>Túi đa dụng ( Double Bag )</t>
  </si>
  <si>
    <t>GPR-OTH-UNI-BAG-OTH-DBG-YEL-0</t>
  </si>
  <si>
    <t>1985752049738</t>
  </si>
  <si>
    <t>GPR-GOR-MEN-TSS-ONE-URB-JBG-M</t>
  </si>
  <si>
    <t>1992018545989</t>
  </si>
  <si>
    <t>GPR-GSL-WOM-FZE-BNE-HAI-BLK-M</t>
  </si>
  <si>
    <t>PG Blend Arabica, Robusta</t>
  </si>
  <si>
    <t>Being calm Buddhas</t>
  </si>
  <si>
    <t>2014743385902</t>
  </si>
  <si>
    <t>GPR-GBA-MEN-TSS-ONE-DDU-GRE-XXL</t>
  </si>
  <si>
    <t>2029354056578</t>
  </si>
  <si>
    <t>GPR-GOR-MEN-TSS-HNE-TCS-WHI-XL</t>
  </si>
  <si>
    <t>Khe Sanh Blend</t>
  </si>
  <si>
    <t>Ruskin</t>
  </si>
  <si>
    <t>SneakerBronson</t>
  </si>
  <si>
    <t>2044742206175</t>
  </si>
  <si>
    <t>GPR-GBA-MEN-TSS-ONE-SMR-WHI-S</t>
  </si>
  <si>
    <t>2069961212578</t>
  </si>
  <si>
    <t>GPR-GBA-MEN-TSS-ONE-XLO-BLK-S</t>
  </si>
  <si>
    <t>2083845299707</t>
  </si>
  <si>
    <t>Water Buffalo</t>
  </si>
  <si>
    <t>GPR-GOR-KID-TSS-ONE-WBO-JBG-2</t>
  </si>
  <si>
    <t>2100054093633</t>
  </si>
  <si>
    <t>GPR-GOR-KID-TSS-ONE-TLT-BLK-2</t>
  </si>
  <si>
    <t>2102573429979</t>
  </si>
  <si>
    <t>Star Map</t>
  </si>
  <si>
    <t>GPR-GSL-WOM-TSS-VNE-SMP-WHI-XL</t>
  </si>
  <si>
    <t>2107486247900</t>
  </si>
  <si>
    <t>Street Coffee</t>
  </si>
  <si>
    <t>GPR-GOR-MEN-TSS-ONE-STE-WHI-XXL</t>
  </si>
  <si>
    <t>2108862355431</t>
  </si>
  <si>
    <t>Hộp viết (Pencil Case)</t>
  </si>
  <si>
    <t>GPR-OTH-UNI-BAG-PCE-PCE-GRE-0</t>
  </si>
  <si>
    <t>2112349047801</t>
  </si>
  <si>
    <t>GPR-GCV-MEN-SIS-BUT-URB-WHI-M</t>
  </si>
  <si>
    <t>2121119009970</t>
  </si>
  <si>
    <t>Ginkgo Leaf 2</t>
  </si>
  <si>
    <t>GPR-GSP-WOM-PZE-ONE-GL2-NAV-M</t>
  </si>
  <si>
    <t>2125351771473</t>
  </si>
  <si>
    <t>Xich lo</t>
  </si>
  <si>
    <t>GPR-GOR-MEN-TSP-ONE-XLO-WHI-XL</t>
  </si>
  <si>
    <t>2146272515601</t>
  </si>
  <si>
    <t>GPR-GBA-MEN-TSS-ONE-HAI-BLK-XXL</t>
  </si>
  <si>
    <t>2166982481904</t>
  </si>
  <si>
    <t>Playing Cards</t>
  </si>
  <si>
    <t>GPR-OTH-UNI-SOU-PLC-LOG-WHI-0</t>
  </si>
  <si>
    <t>CS-HN-KG-GK HA 131</t>
  </si>
  <si>
    <t>2173304235206</t>
  </si>
  <si>
    <t>GPR-GSP-MEN-POL-MAN-LOG-BLK-L</t>
  </si>
  <si>
    <t>CS-HN-KG-GINKGO 54</t>
  </si>
  <si>
    <t>2187067092105</t>
  </si>
  <si>
    <t>Tropical Morning</t>
  </si>
  <si>
    <t>GPR-OTH-UNI-SOU-NBP-TMG-WHI-A5</t>
  </si>
  <si>
    <t>Watch Box</t>
  </si>
  <si>
    <t>2192086224802</t>
  </si>
  <si>
    <t>Ghe Sup</t>
  </si>
  <si>
    <t>GPR-GFN-KID-SHS-EBT-GSP-BLK-6</t>
  </si>
  <si>
    <t>2208651897873</t>
  </si>
  <si>
    <t>Glitch Chair</t>
  </si>
  <si>
    <t>GPR-OTH-UNI-HWR-CAP-GHR-BLK-L</t>
  </si>
  <si>
    <t>2247515686505</t>
  </si>
  <si>
    <t>GPR-GOR-MEN-TSS-ONE-SMP-BLK-XXL</t>
  </si>
  <si>
    <t>CS-HN-KG-GK LL 134</t>
  </si>
  <si>
    <t>2263969729339</t>
  </si>
  <si>
    <t>GPR-GOR-MEN-TSS-ONE-HHA-WHI-M</t>
  </si>
  <si>
    <t>2269838214432</t>
  </si>
  <si>
    <t>GPR-GOR-MEN-TSS-ONE-BPP-BLK-S</t>
  </si>
  <si>
    <t>2279922380233</t>
  </si>
  <si>
    <t>GPR-GSP-MEN-POL-MAN-RFT-VIO-S</t>
  </si>
  <si>
    <t>2283391711139</t>
  </si>
  <si>
    <t>GPR-GFI-KID-SWL-ONE-TCS-CRE-4</t>
  </si>
  <si>
    <t>2283625584508</t>
  </si>
  <si>
    <t>GPR-GOR-MEN-TSP-ONE-JUN-JBG-XXL</t>
  </si>
  <si>
    <t>2291313021730</t>
  </si>
  <si>
    <t>GPR-GPI-MEN-POL-RIB-LOG-AGD-XL</t>
  </si>
  <si>
    <t>2291960129230</t>
  </si>
  <si>
    <t>GPR-GBA-MEN-TSS-ONE-SMR-WHI-XXL</t>
  </si>
  <si>
    <t>2299773437009</t>
  </si>
  <si>
    <t>GPR-OTH-UNI-BAG-PCE-PCE-ARM-0</t>
  </si>
  <si>
    <t>Three Wise Box</t>
  </si>
  <si>
    <t>2324857932306</t>
  </si>
  <si>
    <t>GPR-GOR-MEN-TSS-ONE-HHA-WHI-XL</t>
  </si>
  <si>
    <t>2326299667778</t>
  </si>
  <si>
    <t>The Huc Bridge</t>
  </si>
  <si>
    <t>GPR-GOR-MEN-TSS-HNE-THB-WHI-XXL</t>
  </si>
  <si>
    <t>2328174427705</t>
  </si>
  <si>
    <t>GPR-GOR-KID-TSS-ONE-WBO-JBG-10</t>
  </si>
  <si>
    <t>Stromae II</t>
  </si>
  <si>
    <t>2343751087103</t>
  </si>
  <si>
    <t>GPR-OTH-UNI-SOU-NBS-RLN-CRE-A6</t>
  </si>
  <si>
    <t>2347879473206</t>
  </si>
  <si>
    <t>GPR-GLI-MEN-SIS-CLA-LOG-CAM-XXL</t>
  </si>
  <si>
    <t>CS-HN-KG-EAR 42</t>
  </si>
  <si>
    <t>2352460841807</t>
  </si>
  <si>
    <t>GPR-GLI-MEN-PAF-BBT-LIN-NAV-XL</t>
  </si>
  <si>
    <t>2379767958274</t>
  </si>
  <si>
    <t>GPR-GOR-MEN-TSS-ONE-HAI-BLK-XXL</t>
  </si>
  <si>
    <t>SanMai M390 16cm Nakiri</t>
  </si>
  <si>
    <t>2390831122179</t>
  </si>
  <si>
    <t>GPR-GFN-MEN-SHS-EBT-TJM-NAV-S</t>
  </si>
  <si>
    <t>Bernard Loafer</t>
  </si>
  <si>
    <t>2399116136351</t>
  </si>
  <si>
    <t>Notebook Saigon</t>
  </si>
  <si>
    <t>GPR-OTH-UNI-SOU-NBI-SGN-MIX-A5</t>
  </si>
  <si>
    <t>TIC TAC TOE - GME025</t>
  </si>
  <si>
    <t>The Countryman - Owen</t>
  </si>
  <si>
    <t>CS-HN-GK 27</t>
  </si>
  <si>
    <t>2459982732573</t>
  </si>
  <si>
    <t>Holy Cat</t>
  </si>
  <si>
    <t>GPR-GFI-MEN-SWL-ONE-HCT-RED-XL</t>
  </si>
  <si>
    <t>CS-HN-KG-GK HN17</t>
  </si>
  <si>
    <t>CS-HN-KG-GK HN50</t>
  </si>
  <si>
    <t>Americano</t>
  </si>
  <si>
    <t>The Citizen - Lawrence</t>
  </si>
  <si>
    <t>2489271565865</t>
  </si>
  <si>
    <t>GPR-GOR-MEN-TSS-ONE-OQR-GRE-XXL</t>
  </si>
  <si>
    <t>2492272189978</t>
  </si>
  <si>
    <t>GPR-GSL-WOM-TSB-ONE-APH-CRE-S</t>
  </si>
  <si>
    <t>2507346673700</t>
  </si>
  <si>
    <t>GPR-GOR-KID-TSS-ONE-DDU-BOR-10</t>
  </si>
  <si>
    <t>2507931994630</t>
  </si>
  <si>
    <t>GPR-GOR-MEN-TSP-ONE-HAI-BLK-XXL</t>
  </si>
  <si>
    <t>Lady Martial Slipper</t>
  </si>
  <si>
    <t>Bộ cờ tỷ phú lumina Sai Gon</t>
  </si>
  <si>
    <t>2542908635208</t>
  </si>
  <si>
    <t>GPR-GOR-MEN-TSS-ONE-URB-GRE-S</t>
  </si>
  <si>
    <t>2559334308170</t>
  </si>
  <si>
    <t>GPR-GCV-MEN-SIS-BUT-JUN-WHI-L</t>
  </si>
  <si>
    <t>CS-HN-HD 68</t>
  </si>
  <si>
    <t>2579158567706</t>
  </si>
  <si>
    <t>Postcard</t>
  </si>
  <si>
    <t>GPR-OTH-UNI-SOU-POS-MIX-MIX-L</t>
  </si>
  <si>
    <t>Lawrence</t>
  </si>
  <si>
    <t>MESMERISING</t>
  </si>
  <si>
    <t>2585309298405</t>
  </si>
  <si>
    <t>GPR-GSL-WOM-TSB-ONE-APH-CRE-M</t>
  </si>
  <si>
    <t>2586322135104</t>
  </si>
  <si>
    <t>Mono Weedy</t>
  </si>
  <si>
    <t>GPR-GCV-WOM-BLB-ONE-MWY-WHI-L</t>
  </si>
  <si>
    <t>2603191541833</t>
  </si>
  <si>
    <t>GPR-GPI-MEN-POL-RIB-LOG-OLI-M</t>
  </si>
  <si>
    <t>CS-HN-KG-HD 45</t>
  </si>
  <si>
    <t>2624871151609</t>
  </si>
  <si>
    <t>GPR-GSL-WOM-TSS-VNE-VTM-WHI-L</t>
  </si>
  <si>
    <t>2628034071131</t>
  </si>
  <si>
    <t>GPR-GBA-MEN-TSP-ONE-XLO-WHI-S</t>
  </si>
  <si>
    <t>2634442483275</t>
  </si>
  <si>
    <t>GPR-GBA-MEN-TSS-ONE-LOG-JBG-XL</t>
  </si>
  <si>
    <t>2638024179273</t>
  </si>
  <si>
    <t>GPR-GOR-KID-TSS-ONE-SMP-WHI-6</t>
  </si>
  <si>
    <t>2647210348102</t>
  </si>
  <si>
    <t>GPR-GCV-WOM-BLB-ONE-MWY-WHI-S</t>
  </si>
  <si>
    <t>2662478839032</t>
  </si>
  <si>
    <t>GPR-GSL-WOM-TSS-VNE-SMP-WHI-M</t>
  </si>
  <si>
    <t>Alcott</t>
  </si>
  <si>
    <t>2687693558643</t>
  </si>
  <si>
    <t>GPR-GSL-KID-TSS-ONE-AUL-WHI-6</t>
  </si>
  <si>
    <t>2691103432775</t>
  </si>
  <si>
    <t>GPR-GBA-MEN-TSS-ONE-HAI-BLK-S</t>
  </si>
  <si>
    <t>2693514338530</t>
  </si>
  <si>
    <t>GPR-GOR-KID-TSS-ONE-STA-RED-8</t>
  </si>
  <si>
    <t>Tassel Loafer</t>
  </si>
  <si>
    <t>CS-HN-KG-GK HN47</t>
  </si>
  <si>
    <t>DSP Tray (50*35*7cm)</t>
  </si>
  <si>
    <t>A Lưới Blend</t>
  </si>
  <si>
    <t>2735652266006</t>
  </si>
  <si>
    <t>GPR-GCV-MEN-SIS-BUT-URB-WHI-S</t>
  </si>
  <si>
    <t>2740605533630</t>
  </si>
  <si>
    <t>GPR-GSP-KID-TSS-ONE-TJM-EMR-10</t>
  </si>
  <si>
    <t>2741574703871</t>
  </si>
  <si>
    <t>GPR-GSP-MEN-POL-MAN-SHU-NAV-M</t>
  </si>
  <si>
    <t>2765453664879</t>
  </si>
  <si>
    <t>Gio Vit</t>
  </si>
  <si>
    <t>GPR-GBA-MEN-TSS-ONE-GVT-WHI-M</t>
  </si>
  <si>
    <t>2766652029032</t>
  </si>
  <si>
    <t>Ha Noi Beer</t>
  </si>
  <si>
    <t>GPR-GOR-MEN-TSP-ONE-HNB-RED-XXL</t>
  </si>
  <si>
    <t>2774787623872</t>
  </si>
  <si>
    <t>GPR-GSL-WOM-APP-BNE-HOA-WHI-L</t>
  </si>
  <si>
    <t>2794642438830</t>
  </si>
  <si>
    <t>Rice Time</t>
  </si>
  <si>
    <t>GPR-GOR-MEN-TSS-ONE-RTE-BLK-M</t>
  </si>
  <si>
    <t>2797695969504</t>
  </si>
  <si>
    <t>GPR-GCV-MEN-SIS-BUT-URB-WHI-XXL</t>
  </si>
  <si>
    <t>CS-SH-BEAN BAG-OR-PL</t>
  </si>
  <si>
    <t>Pleiku Blend Organic250G</t>
  </si>
  <si>
    <t>Men’s Duchamp I</t>
  </si>
  <si>
    <t>2842280395234</t>
  </si>
  <si>
    <t>GPR-GOR-MEN-TSS-ONE-SSY-WHI-XL</t>
  </si>
  <si>
    <t>Đậm Sâu Full Bodied250gr</t>
  </si>
  <si>
    <t>2867796694237</t>
  </si>
  <si>
    <t>GPR-GOR-MEN-TSS-ONE-SSY-GRE-S</t>
  </si>
  <si>
    <t>Driving shoes</t>
  </si>
  <si>
    <t>The Classic - Byron</t>
  </si>
  <si>
    <t>2929644238205</t>
  </si>
  <si>
    <t>GPR-GBA-MEN-TSS-ONE-URB-GRE-M</t>
  </si>
  <si>
    <t>CS-HN-KG-GK LL 132</t>
  </si>
  <si>
    <t>CS-HN-KG-GK HA 136</t>
  </si>
  <si>
    <t>2940242406049</t>
  </si>
  <si>
    <t>GPR-GOR-MEN-TSP-ONE-TJM-OLI-L</t>
  </si>
  <si>
    <t>2941184439676</t>
  </si>
  <si>
    <t>GPR-GSL-WOM-APP-BNE-GL2-GPE-S</t>
  </si>
  <si>
    <t>Đà Lạt Blend</t>
  </si>
  <si>
    <t>Gaucho Boot</t>
  </si>
  <si>
    <t>2961002628433</t>
  </si>
  <si>
    <t>GPR-GOR-MEN-TSS-HNE-GAO-BLK-XL</t>
  </si>
  <si>
    <t>2971330514438</t>
  </si>
  <si>
    <t>GPR-GCL-MEN-TSO-ONE-TMG-RED-M</t>
  </si>
  <si>
    <t>Hạt Organic Arabica250g</t>
  </si>
  <si>
    <t>CS-HN-KG-GK LL 136</t>
  </si>
  <si>
    <t>3006148931807</t>
  </si>
  <si>
    <t>GPR-GOR-MEN-TSS-HNE-THB-WHI-L</t>
  </si>
  <si>
    <t>3010618954333</t>
  </si>
  <si>
    <t>GPR-GOR-MEN-TSS-ONE-HAI-BLK-L</t>
  </si>
  <si>
    <t>3015914796113</t>
  </si>
  <si>
    <t>GPR-GSL-KID-TSS-ONE-SMP-WHI-4</t>
  </si>
  <si>
    <t>3019304646309</t>
  </si>
  <si>
    <t>GPR-GOR-WOM-TTB-BNE-VNM-ATT-S</t>
  </si>
  <si>
    <t>CS-HN-KG-GK HA 142</t>
  </si>
  <si>
    <t>3035739072537</t>
  </si>
  <si>
    <t>GPR-GOR-MEN-TSS-ONE-SMR-WHI-XL</t>
  </si>
  <si>
    <t>3040771892234</t>
  </si>
  <si>
    <t>GPR-GKK-WOM-SHD-FBT-FLH-BLK-M</t>
  </si>
  <si>
    <t>Starfruit &amp; Pineapple Kombucha</t>
  </si>
  <si>
    <t>3064387528875</t>
  </si>
  <si>
    <t>GPR-GOR-MEN-TSS-ONE-GVT-WHI-XXL</t>
  </si>
  <si>
    <t>SanMai M390 12cm Petty</t>
  </si>
  <si>
    <t>3067037134808</t>
  </si>
  <si>
    <t>GPR-GOR-MEN-TSS-HNE-THB-WHI-S</t>
  </si>
  <si>
    <t>3072769844857</t>
  </si>
  <si>
    <t>GPR-GSL-KID-TSS-ONE-TLT-BLK-10</t>
  </si>
  <si>
    <t>3091967685970</t>
  </si>
  <si>
    <t>GPR-GLI-MEN-SIS-MAN-LOG-WHI-L</t>
  </si>
  <si>
    <t>3096052934339</t>
  </si>
  <si>
    <t>Fantastic Plastic</t>
  </si>
  <si>
    <t>GPR-GOR-MEN-TSS-HNE-FPC-BDE-L</t>
  </si>
  <si>
    <t>3100247258732</t>
  </si>
  <si>
    <t>GPR-GBA-WOM-PZE-ONE-HHA-WHI-XL</t>
  </si>
  <si>
    <t>Delacroix</t>
  </si>
  <si>
    <t>Set quà tặng cà phê Hương Xuân</t>
  </si>
  <si>
    <t>Business card holder V3</t>
  </si>
  <si>
    <t>3143429704658</t>
  </si>
  <si>
    <t>Beep Beep</t>
  </si>
  <si>
    <t>GPR-GSP-MEN-POL-MAN-BBP-WHI-S</t>
  </si>
  <si>
    <t>3158051045109</t>
  </si>
  <si>
    <t>GPR-GOR-MEN-TSP-ONE-JUN-JBG-L</t>
  </si>
  <si>
    <t>CS-HN-KG-GINKGO 119</t>
  </si>
  <si>
    <t>3171205187777</t>
  </si>
  <si>
    <t>GPR-GSU-WOM-TTB-BNE-BLF-WHI-L</t>
  </si>
  <si>
    <t>3188612276727</t>
  </si>
  <si>
    <t>GPR-GSL-KID-TSS-ONE-TLT-BLK-8</t>
  </si>
  <si>
    <t>3202298142906</t>
  </si>
  <si>
    <t>GPR-GFI-MEN-HLS-ONE-GEC-RED-M</t>
  </si>
  <si>
    <t>3202971764906</t>
  </si>
  <si>
    <t>GPR-GBA-MEN-TSS-ONE-TLT-BLK-M</t>
  </si>
  <si>
    <t>TROPICAL MORNING</t>
  </si>
  <si>
    <t>3219661892603</t>
  </si>
  <si>
    <t>Saigon Cruise</t>
  </si>
  <si>
    <t>GPR-GBA-MEN-TSS-ONE-SCR-WHI-XL</t>
  </si>
  <si>
    <t>3220287389088</t>
  </si>
  <si>
    <t>GPR-GOR-MEN-TSS-ONE-BPP-BLK-L</t>
  </si>
  <si>
    <t>3225372329710</t>
  </si>
  <si>
    <t>GPR-GSL-KID-TSS-ONE-TLT-BLK-4</t>
  </si>
  <si>
    <t>3238334575704</t>
  </si>
  <si>
    <t>GPR-GBA-MEN-TSS-ONE-URB-JBG-S</t>
  </si>
  <si>
    <t>Loafer Blake</t>
  </si>
  <si>
    <t>3259757482479</t>
  </si>
  <si>
    <t>GPR-GCV-MEN-SIS-BUT-RFT-WHI-M</t>
  </si>
  <si>
    <t>CS-HN-KG-GINKGO 102</t>
  </si>
  <si>
    <t>Sneaker
Bannister</t>
  </si>
  <si>
    <t>Cigar Box Python</t>
  </si>
  <si>
    <t>3309727419902</t>
  </si>
  <si>
    <t>GPR-GBA-MEN-TSS-ONE-STE-WHI-XL</t>
  </si>
  <si>
    <t>TROPICAL NOON</t>
  </si>
  <si>
    <t>3321683654449</t>
  </si>
  <si>
    <t>Horse</t>
  </si>
  <si>
    <t>GPR-GOR-MEN-POL-MAN-HOR-GRE-S</t>
  </si>
  <si>
    <t>Seurat</t>
  </si>
  <si>
    <t>3326219517076</t>
  </si>
  <si>
    <t>GPR-GOR-MEN-TSP-ONE-SSY-GRE-XXL</t>
  </si>
  <si>
    <t>3328808169376</t>
  </si>
  <si>
    <t>GPR-OTH-UNI-FWR-SLI-SSY-BLU-38</t>
  </si>
  <si>
    <t>CS-HN-KG-GINKGO 99</t>
  </si>
  <si>
    <t>3332580542906</t>
  </si>
  <si>
    <t>GPR-GBA-MEN-TSS-ONE-SMP-BLK-M</t>
  </si>
  <si>
    <t>3333520653201</t>
  </si>
  <si>
    <t>GPR-OTH-UNI-SOU-NBS-URB-GRN-A6</t>
  </si>
  <si>
    <t>3336700095273</t>
  </si>
  <si>
    <t>Linen Shorts</t>
  </si>
  <si>
    <t>GPR-GLI-MEN-SHS-BBT-LIN-WHI-XL</t>
  </si>
  <si>
    <t>3343244388570</t>
  </si>
  <si>
    <t>GPR-GSL-WOM-TSS-VNE-SMP-WHI-S</t>
  </si>
  <si>
    <t>Bộ cờ tỷ phú - Hanoiopoly</t>
  </si>
  <si>
    <t>BDB Moringa &amp; Petitgrain</t>
  </si>
  <si>
    <t>3369188667731</t>
  </si>
  <si>
    <t>GPR-GOR-MEN-TSS-ONE-HHA-WHI-S</t>
  </si>
  <si>
    <t>3369698511036</t>
  </si>
  <si>
    <t>Smily Dots</t>
  </si>
  <si>
    <t>GPR-GOR-KID-TSS-ONE-SDS-WHI-10</t>
  </si>
  <si>
    <t>3371106273207</t>
  </si>
  <si>
    <t>GPR-GSL-WOM-TSS-VNE-VTM-WHI-M</t>
  </si>
  <si>
    <t>3373363602608</t>
  </si>
  <si>
    <t>GPR-GOR-KID-TSS-ONE-SDS-WHI-8</t>
  </si>
  <si>
    <t>3381772134337</t>
  </si>
  <si>
    <t>GPR-GBA-MEN-TSS-ONE-DDU-GRE-XL</t>
  </si>
  <si>
    <t>3390329278172</t>
  </si>
  <si>
    <t>GPR-GBA-MEN-TSS-ONE-SSY-GRE-S</t>
  </si>
  <si>
    <t>3397277186771</t>
  </si>
  <si>
    <t>GPR-OTH-UNI-SOU-POS-MIX-MIX-S</t>
  </si>
  <si>
    <t>Postcard Beerpop</t>
  </si>
  <si>
    <t>Postcard Di dau</t>
  </si>
  <si>
    <t>Postcard Hoa</t>
  </si>
  <si>
    <t>Postcard Hoi An</t>
  </si>
  <si>
    <t>Postcard Saigon Story</t>
  </si>
  <si>
    <t>Postcard Traffic Jam</t>
  </si>
  <si>
    <t>Postcard Traffic Light</t>
  </si>
  <si>
    <t>Postcard Trapical Night</t>
  </si>
  <si>
    <t>Postcard Urban</t>
  </si>
  <si>
    <t>Postcard Vietnam Telecom</t>
  </si>
  <si>
    <t>3415807744731</t>
  </si>
  <si>
    <t>GPR-GSP-MEN-POL-MAN-LOG-BLK-M</t>
  </si>
  <si>
    <t>CS-HN-KG-EAR 33G</t>
  </si>
  <si>
    <t>3417860149201</t>
  </si>
  <si>
    <t>GPR-GBA-KID-TSS-ONE-TLT-BLK-6</t>
  </si>
  <si>
    <t>3420454807708</t>
  </si>
  <si>
    <t>GPR-GOR-MEN-TSP-ONE-TJM-OLI-M</t>
  </si>
  <si>
    <t>3430586714003</t>
  </si>
  <si>
    <t>GPR-GOR-KID-TSS-ONE-SDS-WHI-2</t>
  </si>
  <si>
    <t>3442660337305</t>
  </si>
  <si>
    <t>GPR-GOR-KID-TSS-ONE-DDU-BOR-4</t>
  </si>
  <si>
    <t>3450189687870</t>
  </si>
  <si>
    <t>GPR-GBA-MEN-TSS-ONE-TLT-BLK-XL</t>
  </si>
  <si>
    <t>3450589468079</t>
  </si>
  <si>
    <t>GPR-GSP-MEN-POL-MAN-SHU-BLK-S</t>
  </si>
  <si>
    <t>CS-HN-KG-GK HA 139</t>
  </si>
  <si>
    <t>CS-HN-KG-GINKGO 123</t>
  </si>
  <si>
    <t>3479834751476</t>
  </si>
  <si>
    <t>GPR-GOR-MEN-TSS-ONE-VTM-GRE-S</t>
  </si>
  <si>
    <t>3487055607601</t>
  </si>
  <si>
    <t>GPR-GSL-WOM-TTS-ONE-FST-ORA-S</t>
  </si>
  <si>
    <t>3501096708537</t>
  </si>
  <si>
    <t>GPR-GSL-KID-TSS-ONE-HAI-BLK-2</t>
  </si>
  <si>
    <t>3506975405439</t>
  </si>
  <si>
    <t>GPR-GCV-MEN-SIS-BUT-RFT-WHI-XL</t>
  </si>
  <si>
    <t>3507684375136</t>
  </si>
  <si>
    <t>GPR-GOR-MEN-TSS-ONE-STC-WHI-M</t>
  </si>
  <si>
    <t>3518493072208</t>
  </si>
  <si>
    <t>Green Star fruit</t>
  </si>
  <si>
    <t>GPR-GSU-WOM-TSP-ONE-SF2-NI-L</t>
  </si>
  <si>
    <t>3531829327421</t>
  </si>
  <si>
    <t>GPR-GOR-MEN-TSS-ONE-SMR-WHI-L</t>
  </si>
  <si>
    <t>CS-HN-KG- EAR 34G</t>
  </si>
  <si>
    <t>CS-HN-KG-EAR 34G</t>
  </si>
  <si>
    <t>3549124022903</t>
  </si>
  <si>
    <t>GPR-GSU-MEN-POL-MAN-RFT-VIO-XL</t>
  </si>
  <si>
    <t>3553110492939</t>
  </si>
  <si>
    <t>GPR-GBA-MEN-TSP-ONE-JUN-JBG-XXL</t>
  </si>
  <si>
    <t>CS-HN-KG-EAR 36G</t>
  </si>
  <si>
    <t>3556072490975</t>
  </si>
  <si>
    <t>GPR-GSL-WOM-APP-BNE-GL2-GPE-M</t>
  </si>
  <si>
    <t>3565190967139</t>
  </si>
  <si>
    <t>GPR-GOR-KID-TSS-ONE-STA-RED-6</t>
  </si>
  <si>
    <t>Women's Bags Gaskell  I</t>
  </si>
  <si>
    <t>3574189467000</t>
  </si>
  <si>
    <t>GPR-GBA-MEN-TSP-ONE-HAI-BLK-M</t>
  </si>
  <si>
    <t>CS-HN-KG-BR</t>
  </si>
  <si>
    <t>3577026351203</t>
  </si>
  <si>
    <t>No Name</t>
  </si>
  <si>
    <t>GPR-GSP-WOM-SKS-EBT-NNE-BLK-L</t>
  </si>
  <si>
    <t>3578536951600</t>
  </si>
  <si>
    <t>GPR-GFI-KID-SWL-ONE-TCS-CRE-8</t>
  </si>
  <si>
    <t>CS-SH-BEAN BAG-POUR OVER-SL</t>
  </si>
  <si>
    <t>3611678415095</t>
  </si>
  <si>
    <t>GPR-GOR-MEN-TSS-ONE-DDU-GRE-L</t>
  </si>
  <si>
    <t>3615073198508</t>
  </si>
  <si>
    <t>GPR-GOR-MEN-TSP-ONE-XLO-WHI-M</t>
  </si>
  <si>
    <t>3615900322878</t>
  </si>
  <si>
    <t>GPR-OTH-UNI-SOU-NBP-TNT-WHI-A5</t>
  </si>
  <si>
    <t>3620003176204</t>
  </si>
  <si>
    <t>GPR-GFN-KID-SHS-EBT-GSP-BLK-8</t>
  </si>
  <si>
    <t>SanMai M390 19cm Chef</t>
  </si>
  <si>
    <t>PANDA</t>
  </si>
  <si>
    <t>Cushion insert square</t>
  </si>
  <si>
    <t>3648207991775</t>
  </si>
  <si>
    <t>GPR-GLI-MEN-SIS-MAN-LOG-CAM-L</t>
  </si>
  <si>
    <t>3651271189801</t>
  </si>
  <si>
    <t>GPR-GLI-MEN-SIS-CLA-LOG-WHI-XL</t>
  </si>
  <si>
    <t>3661304536076</t>
  </si>
  <si>
    <t>GPR-OTH-UNI-BAG-PCE-PCE-ORA-0</t>
  </si>
  <si>
    <t>3661700548413</t>
  </si>
  <si>
    <t>Bali Lion</t>
  </si>
  <si>
    <t>GPR-OTH-UNI-SOU-HFS-BLN-WHI-0</t>
  </si>
  <si>
    <t>3664791228400</t>
  </si>
  <si>
    <t>GPR-GCV-MEN-SIS-BUT-URB-WHI-L</t>
  </si>
  <si>
    <t>SanMai M390 20cm Gyuto</t>
  </si>
  <si>
    <t>Turmeric -Nghệ</t>
  </si>
  <si>
    <t>3703730257672</t>
  </si>
  <si>
    <t>GPR-OTH-UNI-FWR-SLI-URB-ORA-36</t>
  </si>
  <si>
    <t>3712067991470</t>
  </si>
  <si>
    <t>Traffic Photo</t>
  </si>
  <si>
    <t>GPR-GOR-MEN-TSS-ONE-TPO-WHI-XXL</t>
  </si>
  <si>
    <t>3735365661371</t>
  </si>
  <si>
    <t>GPR-GSP-WOM-PZE-ONE-GL2-NAV-S</t>
  </si>
  <si>
    <t>"100% Playful" Postcards - SCPS</t>
  </si>
  <si>
    <t>3763098534303</t>
  </si>
  <si>
    <t>GPR-GCL-WOM-CRO-ONE-TNT-WHI-S</t>
  </si>
  <si>
    <t>3768292552153</t>
  </si>
  <si>
    <t>GPR-OTH-UNI-FWR-SLI-SSY-BLU-42</t>
  </si>
  <si>
    <t>3775515965034</t>
  </si>
  <si>
    <t>Saigon traffic</t>
  </si>
  <si>
    <t>GPR-GOR-WOM-PZE-ONE-STC-PPA-S</t>
  </si>
  <si>
    <t>3776831582134</t>
  </si>
  <si>
    <t>GPR-GBA-MEN-TSS-ONE-DDU-GPE-S</t>
  </si>
  <si>
    <t>3796253874334</t>
  </si>
  <si>
    <t>GPR-GSL-WOM-TSP-ONE-GL2-WHI-L</t>
  </si>
  <si>
    <t>Damascus M390 Gyuto 17cm</t>
  </si>
  <si>
    <t>DIA</t>
  </si>
  <si>
    <t>CS-HN-KG-GK HA 130</t>
  </si>
  <si>
    <t>3833472504106</t>
  </si>
  <si>
    <t>GPR-OTH-UNI-SOU-NBS-OQR-YEL-A6</t>
  </si>
  <si>
    <t>3836984042937</t>
  </si>
  <si>
    <t>GPR-GOR-MEN-TSP-ONE-JUN-JBG-XL</t>
  </si>
  <si>
    <t>Laces-up Owen</t>
  </si>
  <si>
    <t>3859542293039</t>
  </si>
  <si>
    <t>GPR-GOR-MEN-TSP-ONE-XLO-WHI-XXL</t>
  </si>
  <si>
    <t>3864881711205</t>
  </si>
  <si>
    <t>GPR-GBA-MEN-TSP-ONE-JUN-JBG-XL</t>
  </si>
  <si>
    <t>3903895346000</t>
  </si>
  <si>
    <t>GPR-GCL-MEN-TSO-ONE-TMG-RED-S</t>
  </si>
  <si>
    <t>3914534125603</t>
  </si>
  <si>
    <t>GPR-GSU-WOM-PZE-ONE-GL2-BJL-S</t>
  </si>
  <si>
    <t>Stromae</t>
  </si>
  <si>
    <t>3936525406881</t>
  </si>
  <si>
    <t>GPR-GOR-MEN-TSS-ONE-OQR-GRE-S</t>
  </si>
  <si>
    <t>3936815156298</t>
  </si>
  <si>
    <t>GPR-OTH-UNI-HWR-CAP-URB-WHI-L</t>
  </si>
  <si>
    <t>3942437544870</t>
  </si>
  <si>
    <t>GPR-GFN-KID-SWL-ONE-SHU-BLK-2</t>
  </si>
  <si>
    <t>Derby III</t>
  </si>
  <si>
    <t>3949128559175</t>
  </si>
  <si>
    <t>GPR-GOR-MEN-TSS-ONE-HNC-WHI-S</t>
  </si>
  <si>
    <t>3953454267703</t>
  </si>
  <si>
    <t>GPR-OTH-UNI-BAG-DRB-SSY-CRE-0</t>
  </si>
  <si>
    <t>Cross Body Bag</t>
  </si>
  <si>
    <t>3965897013878</t>
  </si>
  <si>
    <t>GPR-GOR-MEN-TSS-HNE-FPC-BDE-M</t>
  </si>
  <si>
    <t>Bộ cờ domino</t>
  </si>
  <si>
    <t>3999601976333</t>
  </si>
  <si>
    <t>GPR-GOR-MEN-TSS-HNE-THB-WHI-XL</t>
  </si>
  <si>
    <t>4004116377380</t>
  </si>
  <si>
    <t>GPR-OTH-UNI-HWR-NLH-TNT-WHI-L</t>
  </si>
  <si>
    <t>Pert</t>
  </si>
  <si>
    <t>CARNOLOTUS 3</t>
  </si>
  <si>
    <t>4012595044075</t>
  </si>
  <si>
    <t>GPR-GOR-MEN-TSS-HNE-FPC-OLI-M</t>
  </si>
  <si>
    <t>4014239086533</t>
  </si>
  <si>
    <t>GPR-GCV-WOM-BLB-ONE-MWY-WHI-M</t>
  </si>
  <si>
    <t>4017927461506</t>
  </si>
  <si>
    <t>GPR-GBA-MEN-TSS-ONE-SMP-BLK-L</t>
  </si>
  <si>
    <t>4021735902403</t>
  </si>
  <si>
    <t>Xe Kem</t>
  </si>
  <si>
    <t>GPR-OTH-UNI-SOU-LUG-XKM-MNT-0</t>
  </si>
  <si>
    <t>4022090297470</t>
  </si>
  <si>
    <t>GPR-GOR-MEN-TSP-ONE-HNB-RED-XL</t>
  </si>
  <si>
    <t>4023478006578</t>
  </si>
  <si>
    <t>GPR-GOR-MEN-TSS-ONE-STC-WHI-S</t>
  </si>
  <si>
    <t>4045837446276</t>
  </si>
  <si>
    <t>GPR-GOR-MEN-TSS-ONE-TPO-WHI-XL</t>
  </si>
  <si>
    <t>4047129121533</t>
  </si>
  <si>
    <t>Flying Stork</t>
  </si>
  <si>
    <t>GPR-OTH-UNI-SOU-HFS-FSK-YEL-0</t>
  </si>
  <si>
    <t>4058710521205</t>
  </si>
  <si>
    <t>GPR-GOR-KID-TSS-ONE-SDS-WHI-6</t>
  </si>
  <si>
    <t>4078313495079</t>
  </si>
  <si>
    <t>GPR-GOR-KID-TSS-ONE-TLT-BLK-4</t>
  </si>
  <si>
    <t>4089505972131</t>
  </si>
  <si>
    <t>GPR-GBA-MEN-TSS-ONE-SCR-WHI-L</t>
  </si>
  <si>
    <t>Raymondienne</t>
  </si>
  <si>
    <t>CS-HN-KG-GINKGO LL155</t>
  </si>
  <si>
    <t>4110435998073</t>
  </si>
  <si>
    <t>GPR-GSP-MEN-POL-MAN-SHU-NAV-XXL</t>
  </si>
  <si>
    <t>4117755508203</t>
  </si>
  <si>
    <t>GPR-GBA-MEN-TSP-ONE-XLO-WHI-L</t>
  </si>
  <si>
    <t>CS-HN-KG-GINKGO 92</t>
  </si>
  <si>
    <t>4129341975047</t>
  </si>
  <si>
    <t>GPR-GOR-KID-TSS-ONE-STA-RED-10</t>
  </si>
  <si>
    <t>4129683535176</t>
  </si>
  <si>
    <t>GPR-GFN-KID-SWL-ONE-SHU-BLK-4</t>
  </si>
  <si>
    <t>CS-HN-KG-GK HA 138</t>
  </si>
  <si>
    <t>4140673044232</t>
  </si>
  <si>
    <t>GPR-GSL-WOM-FZE-BNE-SSY-WHI-L</t>
  </si>
  <si>
    <t>4149134592879</t>
  </si>
  <si>
    <t>GPR-GOR-MEN-TSS-ONE-URB-JBG-XL</t>
  </si>
  <si>
    <t>4155633721207</t>
  </si>
  <si>
    <t>GPR-GPI-MEN-POL-RIB-LOG-AGD-XXL</t>
  </si>
  <si>
    <t>4156171418475</t>
  </si>
  <si>
    <t>GPR-GBA-MEN-TSS-ONE-VTM-WHI-S</t>
  </si>
  <si>
    <t>4164796466832</t>
  </si>
  <si>
    <t>GPR-GCL-MEN-TSO-ONE-EHT-WHI-S</t>
  </si>
  <si>
    <t>4167659099475</t>
  </si>
  <si>
    <t>GPR-GSP-MEN-POL-MAN-SHU-BLK-XL</t>
  </si>
  <si>
    <t>4170899407238</t>
  </si>
  <si>
    <t>GPR-GBA-MEN-TSS-ONE-URB-JBG-XL</t>
  </si>
  <si>
    <t>4171365204054</t>
  </si>
  <si>
    <t>GPR-GOR-MEN-TSS-ONE-SSY-WHI-L</t>
  </si>
  <si>
    <t>4177558043653</t>
  </si>
  <si>
    <t>GPR-GKK-WOM-SHD-FBT-FLH-BLK-XL</t>
  </si>
  <si>
    <t>4192675244905</t>
  </si>
  <si>
    <t>Khăn lụa VN Random</t>
  </si>
  <si>
    <t>GPR-OTH-UNI-SCA-SCS-VNR-ORA-90</t>
  </si>
  <si>
    <t>Laubat</t>
  </si>
  <si>
    <t>4198801741935</t>
  </si>
  <si>
    <t>Lily</t>
  </si>
  <si>
    <t>GPR-OTH-UNI-SOU-HFS-LLY-BOR-0</t>
  </si>
  <si>
    <t>4199718014600</t>
  </si>
  <si>
    <t>Whispering Leaves</t>
  </si>
  <si>
    <t>GPR-OTH-UNI-SOU-NBS-WLS-MIX-A6</t>
  </si>
  <si>
    <t>4201561247200</t>
  </si>
  <si>
    <t>GPR-GSL-WOM-FZE-BNE-SSY-WHI-S</t>
  </si>
  <si>
    <t>4213009156500</t>
  </si>
  <si>
    <t>GPR-GLI-MEN-SHS-BBT-LIN-NAV-M</t>
  </si>
  <si>
    <t>4216837445907</t>
  </si>
  <si>
    <t>GPR-GBA-MEN-TSS-ONE-SVR-WHI-S</t>
  </si>
  <si>
    <t>FCB Sweet Almond &amp; Calendula</t>
  </si>
  <si>
    <t>4234630999175</t>
  </si>
  <si>
    <t>GPR-GBA-WOM-PZE-ONE-HHA-WHI-M</t>
  </si>
  <si>
    <t>4235751366242</t>
  </si>
  <si>
    <t>GPR-GBA-MEN-TSS-ONE-STE-WHI-L</t>
  </si>
  <si>
    <t>4240325591319</t>
  </si>
  <si>
    <t>GPR-GSL-WOM-FZE-BNE-HAI-BLK-S</t>
  </si>
  <si>
    <t>4247693093964</t>
  </si>
  <si>
    <t>Tete De Mort</t>
  </si>
  <si>
    <t>GPR-GOR-MEN-TSS-ONE-TDM-BLK-S</t>
  </si>
  <si>
    <t>CS-HN-KG-GK HA 117</t>
  </si>
  <si>
    <t>Matcha soap</t>
  </si>
  <si>
    <t>4258784358633</t>
  </si>
  <si>
    <t>GPR-GOR-MEN-TSP-ONE-SSY-GRE-M</t>
  </si>
  <si>
    <t>4269434879972</t>
  </si>
  <si>
    <t>GPR-GBA-MEN-TSS-ONE-DDU-GRE-L</t>
  </si>
  <si>
    <t>4279513881833</t>
  </si>
  <si>
    <t>Chair</t>
  </si>
  <si>
    <t>GPR-GSP-MEN-POL-MAN-CHA-BLK-L</t>
  </si>
  <si>
    <t>4298012136534</t>
  </si>
  <si>
    <t>GPR-GOR-MEN-TSS-ONE-URB-WHI-XL</t>
  </si>
  <si>
    <t>Bazille</t>
  </si>
  <si>
    <t>4305350094171</t>
  </si>
  <si>
    <t>GPR-GBA-MEN-TSS-ONE-HAI-BLK-XL</t>
  </si>
  <si>
    <t>4305928444179</t>
  </si>
  <si>
    <t>GPR-GOR-KID-TSS-ONE-STA-RED-2</t>
  </si>
  <si>
    <t>CS-HN-KG-EAR 51</t>
  </si>
  <si>
    <t>4325005959334</t>
  </si>
  <si>
    <t>GPR-GOR-MEN-POL-MAN-LOG-JBG-S</t>
  </si>
  <si>
    <t>Brel</t>
  </si>
  <si>
    <t>4340402094808</t>
  </si>
  <si>
    <t>GPR-GSP-MEN-POL-MAN-CHA-BLK-S</t>
  </si>
  <si>
    <t>4341763753885</t>
  </si>
  <si>
    <t>GPR-GSL-WOM-FZE-BNE-HAI-BLK-L</t>
  </si>
  <si>
    <t>4345714906375</t>
  </si>
  <si>
    <t>GPR-GSL-MEN-TTS-ONE-URB-WHI-XL</t>
  </si>
  <si>
    <t>4354393743744</t>
  </si>
  <si>
    <t>GPR-GSL-KID-APP-BNE-HOA-WHI-12</t>
  </si>
  <si>
    <t>4362224592706</t>
  </si>
  <si>
    <t>GPR-GBA-MEN-TSP-ONE-XLO-WHI-XL</t>
  </si>
  <si>
    <t>4373465613877</t>
  </si>
  <si>
    <t>GPR-GSU-MEN-POL-MAN-JUN-WHI-XL</t>
  </si>
  <si>
    <t>4413470461633</t>
  </si>
  <si>
    <t>Red Daisy</t>
  </si>
  <si>
    <t>GPR-GSU-WOM-TTB-BNE-RDY-WHI-L</t>
  </si>
  <si>
    <t>4413907842233</t>
  </si>
  <si>
    <t>GPR-GOR-MEN-TSP-ONE-TJM-OLI-XXL</t>
  </si>
  <si>
    <t>4415368501773</t>
  </si>
  <si>
    <t>GPR-GBA-MEN-TSS-ONE-URB-WHI-XXL</t>
  </si>
  <si>
    <t>4438089868437</t>
  </si>
  <si>
    <t>GPR-GBA-MEN-TSS-ONE-HHA-WHI-M</t>
  </si>
  <si>
    <t>4441786893404</t>
  </si>
  <si>
    <t>GPR-GBA-MEN-TSS-ONE-HHA-WHI-XXL</t>
  </si>
  <si>
    <t>4443270836478</t>
  </si>
  <si>
    <t>GPR-OTH-UNI-SOU-HFS-TNT-WHI-0</t>
  </si>
  <si>
    <t>4447438107400</t>
  </si>
  <si>
    <t>GPR-GOR-MEN-TSS-ONE-URB-WHI-XXL</t>
  </si>
  <si>
    <t>Men’s Fouquet</t>
  </si>
  <si>
    <t>4459030335808</t>
  </si>
  <si>
    <t>GPR-GOR-WOM-PZE-ONE-STC-PPA-L</t>
  </si>
  <si>
    <t>4460451094434</t>
  </si>
  <si>
    <t>GPR-GSU-MEN-POL-MAN-JUN-WHI-XXL</t>
  </si>
  <si>
    <t>4461377197179</t>
  </si>
  <si>
    <t>GPR-GSL-KID-TSS-ONE-SMP-WHI-8</t>
  </si>
  <si>
    <t>4472874638607</t>
  </si>
  <si>
    <t>GPR-GSL-KID-TTS-ONE-GL2-RED-6</t>
  </si>
  <si>
    <t>4477309712259</t>
  </si>
  <si>
    <t>GPR-GSL-KID-TSS-ONE-SMP-WHI-6</t>
  </si>
  <si>
    <t>4479630546237</t>
  </si>
  <si>
    <t>GPR-GBA-WOM-CRO-ONE-TCS-BLK-M</t>
  </si>
  <si>
    <t>4484349614979</t>
  </si>
  <si>
    <t>GPR-GSP-WOM-PZE-ONE-GL2-NAV-L</t>
  </si>
  <si>
    <t>4485643566841</t>
  </si>
  <si>
    <t>GPR-GOR-MEN-TSS-ONE-RTE-BLK-XL</t>
  </si>
  <si>
    <t>SanMai M390 16cm Bunka</t>
  </si>
  <si>
    <t>Ipad Mini Case</t>
  </si>
  <si>
    <t>CS-HN-KG-HD 55</t>
  </si>
  <si>
    <t>4529814724279</t>
  </si>
  <si>
    <t>GPR-GOR-MEN-TSS-ONE-URB-JBG-XXL</t>
  </si>
  <si>
    <t>4546481507363</t>
  </si>
  <si>
    <t>GPR-OTH-UNI-BAG-CRB-LOG-BWH-0</t>
  </si>
  <si>
    <t>4555388120346</t>
  </si>
  <si>
    <t>GPR-GSL-KID-TSS-ONE-TLT-BLK-6</t>
  </si>
  <si>
    <t>TROPICAL DAY</t>
  </si>
  <si>
    <t>4562800592575</t>
  </si>
  <si>
    <t>GPR-GBA-MEN-TSS-ONE-VTM-GRE-S</t>
  </si>
  <si>
    <t>4567146148882</t>
  </si>
  <si>
    <t>GPR-GSP-MEN-POL-MAN-BBP-WHI-M</t>
  </si>
  <si>
    <t>4570497771630</t>
  </si>
  <si>
    <t>GPR-GFI-MEN-SWL-ONE-HCT-RED-S</t>
  </si>
  <si>
    <t>4584625542320</t>
  </si>
  <si>
    <t>GPR-GOR-MEN-TSS-ONE-RTE-BLK-L</t>
  </si>
  <si>
    <t>Cappuccino</t>
  </si>
  <si>
    <t>4598450746709</t>
  </si>
  <si>
    <t>GPR-OTH-UNI-BAG-PCE-PCE-YEL-0</t>
  </si>
  <si>
    <t>4612351659408</t>
  </si>
  <si>
    <t>GPR-GSL-KID-TTS-ONE-GL2-RED-10</t>
  </si>
  <si>
    <t>CS-SH-PREMIUM ROBSTA</t>
  </si>
  <si>
    <t>Premium Robusta 12oz</t>
  </si>
  <si>
    <t>4629506726021</t>
  </si>
  <si>
    <t>GPR-GOR-MEN-TSS-ONE-OQR-GRE-L</t>
  </si>
  <si>
    <t>4660600303107</t>
  </si>
  <si>
    <t>Ginkgo Map</t>
  </si>
  <si>
    <t>GPR-GSL-WOM-TSS-VNE-GMP-WHI-M</t>
  </si>
  <si>
    <t>Túi thời trang gấp gọn - ABFF</t>
  </si>
  <si>
    <t>4703341009645</t>
  </si>
  <si>
    <t>GPR-GSU-KID-TSS-ONE-SDS-YEL-6</t>
  </si>
  <si>
    <t>4706402876538</t>
  </si>
  <si>
    <t>GPR-GCL-WOM-CRO-ONE-TMG-RED-M</t>
  </si>
  <si>
    <t>Xúc xắc - Dice set epoxy</t>
  </si>
  <si>
    <t>4711519234461</t>
  </si>
  <si>
    <t>GPR-OTH-UNI-SOU-HFS-VNM-RED-0</t>
  </si>
  <si>
    <t>CS-HN-KG-GINKGO 114</t>
  </si>
  <si>
    <t>4727618713929</t>
  </si>
  <si>
    <t>GPR-OTH-UNI-FWR-SLI-URB-ORA-42</t>
  </si>
  <si>
    <t>Vietnamese Milk Coffee</t>
  </si>
  <si>
    <t>CS-HN-HD 60</t>
  </si>
  <si>
    <t>4795369602571</t>
  </si>
  <si>
    <t>GPR-GFI-MEN-HLS-ONE-SVR-WHI-S</t>
  </si>
  <si>
    <t>4798595975969</t>
  </si>
  <si>
    <t>GPR-GCL-WOM-CRO-ONE-TMG-RED-S</t>
  </si>
  <si>
    <t>4815294593574</t>
  </si>
  <si>
    <t>GPR-GCL-WOM-CRO-ONE-TCS-WHI-S</t>
  </si>
  <si>
    <t>4827688269033</t>
  </si>
  <si>
    <t>GPR-GBA-MEN-TSS-ONE-LOG-JBG-S</t>
  </si>
  <si>
    <t>CS-HN-KG-GINKGO 96</t>
  </si>
  <si>
    <t>Shelley I</t>
  </si>
  <si>
    <t>4831238171738</t>
  </si>
  <si>
    <t>GPR-GBA-MEN-TSS-ONE-DDU-GPE-M</t>
  </si>
  <si>
    <t>4850003091521</t>
  </si>
  <si>
    <t>Flacrane</t>
  </si>
  <si>
    <t>GPR-OTH-UNI-SOU-NBP-FLA-WHI-A5</t>
  </si>
  <si>
    <t>4875968705801</t>
  </si>
  <si>
    <t>GPR-GBA-MEN-TSS-ONE-GVT-WHI-XL</t>
  </si>
  <si>
    <t>4886908165807</t>
  </si>
  <si>
    <t>GPR-GSL-WOM-FZE-BNE-SSY-WHI-M</t>
  </si>
  <si>
    <t>4887813751604</t>
  </si>
  <si>
    <t>GPR-OTH-UNI-SOU-NBS-TJM-WHI-A6</t>
  </si>
  <si>
    <t>4914972559038</t>
  </si>
  <si>
    <t>GPR-GSL-WOM-TTS-ONE-FST-ORA-M</t>
  </si>
  <si>
    <t>Loafer Ngoc Loafer</t>
  </si>
  <si>
    <t>4937416107572</t>
  </si>
  <si>
    <t>GPR-GCL-MEN-TSO-ONE-TMG-RED-XS</t>
  </si>
  <si>
    <t>NERI</t>
  </si>
  <si>
    <t>4945953136139</t>
  </si>
  <si>
    <t>Playing Cards Vietnam Pulse</t>
  </si>
  <si>
    <t>GPR-OTH-UNI-SOU-PLC-VNP-RED-0</t>
  </si>
  <si>
    <t>4954092519109</t>
  </si>
  <si>
    <t>GPR-GSL-KID-TTS-ONE-GL2-RED-8</t>
  </si>
  <si>
    <t>4982112626674</t>
  </si>
  <si>
    <t>GPR-GSP-MEN-POL-MAN-SHU-NAV-XL</t>
  </si>
  <si>
    <t>4990521145273</t>
  </si>
  <si>
    <t>GPR-GOR-KID-TSS-ONE-DDU-BOR-12</t>
  </si>
  <si>
    <t>CS-HN-KG-GK HA 140</t>
  </si>
  <si>
    <t>CS-HN-KG-HD2 26</t>
  </si>
  <si>
    <t>5015022314504</t>
  </si>
  <si>
    <t>GPR-GPI-MEN-POL-MAN-LOG-AGD-XXL</t>
  </si>
  <si>
    <t>5032868913333</t>
  </si>
  <si>
    <t>GPR-GOR-MEN-TSS-ONE-TJM-OLI-S</t>
  </si>
  <si>
    <t>5062519325376</t>
  </si>
  <si>
    <t>Khăn lụa Hoi An Map</t>
  </si>
  <si>
    <t>GPR-OTH-UNI-SCA-SCS-HAM-RED-90</t>
  </si>
  <si>
    <t>LABYRINTH</t>
  </si>
  <si>
    <t>5069685113608</t>
  </si>
  <si>
    <t>GPR-GOR-MEN-TSS-HNE-FPC-OLI-S</t>
  </si>
  <si>
    <t>5080858531470</t>
  </si>
  <si>
    <t>GPR-OTH-UNI-FWR-SLI-VTM-BLK-42</t>
  </si>
  <si>
    <t>5084685787901</t>
  </si>
  <si>
    <t>GPR-GLI-MEN-PAF-BBT-LIN-WHI-S</t>
  </si>
  <si>
    <t>5090721436122</t>
  </si>
  <si>
    <t>GPR-GOR-MEN-TSS-ONE-DDU-GRE-XXL</t>
  </si>
  <si>
    <t>5096558839501</t>
  </si>
  <si>
    <t>GPR-GOR-MEN-TSS-ONE-STC-WHI-XXL</t>
  </si>
  <si>
    <t>5097397351209</t>
  </si>
  <si>
    <t>GPR-OTH-UNI-SOU-NBS-STC-RED-A6</t>
  </si>
  <si>
    <t>5115931772744</t>
  </si>
  <si>
    <t>GPR-GKK-WOM-SHH-FBT-TJM-BLK-XS</t>
  </si>
  <si>
    <t>5121805673451</t>
  </si>
  <si>
    <t>GPR-GOR-MEN-POL-MAN-LOG-JBG-L</t>
  </si>
  <si>
    <t>Lady Classic</t>
  </si>
  <si>
    <t>5139505948137</t>
  </si>
  <si>
    <t>GPR-GSL-KID-TTS-ONE-GL2-RED-4</t>
  </si>
  <si>
    <t>CS-SH-BDSCRUB-BR-2- CO</t>
  </si>
  <si>
    <t>Coffee Body Scrub</t>
  </si>
  <si>
    <t>5146653459101</t>
  </si>
  <si>
    <t>GPR-GFI-MEN-SHS-EBT-TJM-BLK-M</t>
  </si>
  <si>
    <t>5163282612776</t>
  </si>
  <si>
    <t>GPR-GSP-WOM-PZE-ONE-GL2-NAV-XL</t>
  </si>
  <si>
    <t>Dalat Flowerbomb Gin</t>
  </si>
  <si>
    <t>5170182151007</t>
  </si>
  <si>
    <t>GPR-GBA-MEN-TSS-ONE-URB-GRE-XL</t>
  </si>
  <si>
    <t>5171471620099</t>
  </si>
  <si>
    <t>GPR-GSU-MEN-TSS-ONE-BBP-VIO-XL</t>
  </si>
  <si>
    <t>5172096745709</t>
  </si>
  <si>
    <t>GPR-GOR-MEN-TSS-ONE-XLO-BLK-M</t>
  </si>
  <si>
    <t>5194045121501</t>
  </si>
  <si>
    <t>GPR-GFI-MEN-SHS-EBT-TJM-BLK-S</t>
  </si>
  <si>
    <t>5200650171135</t>
  </si>
  <si>
    <t>GPR-GLI-MEN-SIS-MAN-LOG-CAM-XL</t>
  </si>
  <si>
    <t>Wellington Loafer</t>
  </si>
  <si>
    <t>5219608154472</t>
  </si>
  <si>
    <t>GPR-GFI-MEN-SHS-EBT-TJM-NAV-S</t>
  </si>
  <si>
    <t>Aznavour I Python</t>
  </si>
  <si>
    <t>CARNOLOTUS 1</t>
  </si>
  <si>
    <t>5263593894103</t>
  </si>
  <si>
    <t>GPR-GBA-MEN-TSS-ONE-TPO-YEL-XL</t>
  </si>
  <si>
    <t>CS-HN-KG-HN 111</t>
  </si>
  <si>
    <t>5315816629778</t>
  </si>
  <si>
    <t>GPR-GFI-MEN-SWL-ONE-TCS-BLK-XS</t>
  </si>
  <si>
    <t>Chukka Boot</t>
  </si>
  <si>
    <t>Home décor Watch Box 3 Trays</t>
  </si>
  <si>
    <t>CS-SH-HOUSE BLEND</t>
  </si>
  <si>
    <t>House Blend 12oz</t>
  </si>
  <si>
    <t>5348280366207</t>
  </si>
  <si>
    <t>GPR-GBA-MEN-TSS-ONE-URB-WHI-XL</t>
  </si>
  <si>
    <t>Women’s Bardot</t>
  </si>
  <si>
    <t>5391688517474</t>
  </si>
  <si>
    <t>GPR-OTH-UNI-FWR-SLI-VTM-BLK-40</t>
  </si>
  <si>
    <t>CS-HN-KG-HD 57</t>
  </si>
  <si>
    <t>5416766385742</t>
  </si>
  <si>
    <t>Ha Noi Conner</t>
  </si>
  <si>
    <t>GPR-OTH-UNI-SOU-HFP-HNC-WHI-0</t>
  </si>
  <si>
    <t>5438653501240</t>
  </si>
  <si>
    <t>GPR-GOR-MEN-TSS-ONE-BPP-BLK-M</t>
  </si>
  <si>
    <t>5447676958702</t>
  </si>
  <si>
    <t>GPR-GOR-KID-TSS-ONE-SMP-WHI-4</t>
  </si>
  <si>
    <t>5480024012879</t>
  </si>
  <si>
    <t>GPR-GSL-KID-APP-BNE-HOA-WHI-6</t>
  </si>
  <si>
    <t>SanMai M390 10cm Paring</t>
  </si>
  <si>
    <t>5501779354905</t>
  </si>
  <si>
    <t>GPR-GOR-WOM-TTB-BNE-VNM-ATT-M</t>
  </si>
  <si>
    <t>CS-HN-KG-SBR</t>
  </si>
  <si>
    <t>SBR</t>
  </si>
  <si>
    <t>PURE RICE</t>
  </si>
  <si>
    <t>Penny Loafer</t>
  </si>
  <si>
    <t>5522662469674</t>
  </si>
  <si>
    <t>GPR-GPI-MEN-POL-RIB-LOG-AGD-S</t>
  </si>
  <si>
    <t>5526388477432</t>
  </si>
  <si>
    <t>GPR-GFN-MEN-SHS-EBT-TJM-BLK-S</t>
  </si>
  <si>
    <t>CS-HN-KG-GINKGO 101</t>
  </si>
  <si>
    <t>5540676974106</t>
  </si>
  <si>
    <t>GPR-GBA-MEN-TSS-ONE-URB-JBG-M</t>
  </si>
  <si>
    <t>5545749205828</t>
  </si>
  <si>
    <t>GPR-GOR-MEN-TSS-ONE-OQR-GRE-XL</t>
  </si>
  <si>
    <t>5553918912101</t>
  </si>
  <si>
    <t>GPR-GOR-KID-TSS-ONE-WBO-JBG-4</t>
  </si>
  <si>
    <t>5554676968874</t>
  </si>
  <si>
    <t>GPR-GOR-MEN-TSS-ONE-HAI-BLK-XL</t>
  </si>
  <si>
    <t>THE RAIN COLLECTOR</t>
  </si>
  <si>
    <t>5558516755631</t>
  </si>
  <si>
    <t>GPR-GFN-KID-SWL-ONE-SHU-BLK-6</t>
  </si>
  <si>
    <t>5572332089732</t>
  </si>
  <si>
    <t>GPR-GPI-MEN-POL-MAN-JUN-WHI-M</t>
  </si>
  <si>
    <t>5598580919041</t>
  </si>
  <si>
    <t>Hand Fan Holder</t>
  </si>
  <si>
    <t>GPR-OTH-UNI-HDR-SAS-HDF-CRE-0</t>
  </si>
  <si>
    <t>5601890135831</t>
  </si>
  <si>
    <t>GPR-OTH-UNI-SOU-NBP-TNT-WHI-A6</t>
  </si>
  <si>
    <t>5625500674633</t>
  </si>
  <si>
    <t>Macaw</t>
  </si>
  <si>
    <t>GPR-GCV-WOM-BLC-ONE-SMA-WHI-M</t>
  </si>
  <si>
    <t>5626841705475</t>
  </si>
  <si>
    <t>GPR-GOR-MEN-TSS-HNE-TCS-WHI-S</t>
  </si>
  <si>
    <t>5628091841002</t>
  </si>
  <si>
    <t>GPR-GSU-WOM-TSP-ONE-SF2-NI-S</t>
  </si>
  <si>
    <t>Stromae I</t>
  </si>
  <si>
    <t>Bộ cờ tỷ phú  - Saigonopoly</t>
  </si>
  <si>
    <t>5652921921435</t>
  </si>
  <si>
    <t>GPR-GSL-WOM-TTS-ONE-FST-ORA-XL</t>
  </si>
  <si>
    <t>5671616125835</t>
  </si>
  <si>
    <t>GPR-GOR-MEN-TSS-ONE-VTM-WHI-M</t>
  </si>
  <si>
    <t>5692034697773</t>
  </si>
  <si>
    <t>GPR-GOR-MEN-POL-MAN-LOG-JBG-M</t>
  </si>
  <si>
    <t>5697266319899</t>
  </si>
  <si>
    <t>GPR-GSL-WOM-FZE-BNE-SMP-BLK-S</t>
  </si>
  <si>
    <t>5707430833233</t>
  </si>
  <si>
    <t>GPR-GSP-MEN-POL-MAN-CHA-BLK-M</t>
  </si>
  <si>
    <t>5715267852303</t>
  </si>
  <si>
    <t>GPR-GSU-WOM-TTB-BNE-BLF-WHI-XL</t>
  </si>
  <si>
    <t>CS-HN-KG-GK HN03</t>
  </si>
  <si>
    <t>5745812785275</t>
  </si>
  <si>
    <t>GPR-GBA-MEN-TSS-ONE-GVT-WHI-L</t>
  </si>
  <si>
    <t>5755926423970</t>
  </si>
  <si>
    <t>GPR-OTH-UNI-SOU-LUG-XLO-MNT-0</t>
  </si>
  <si>
    <t>5757429725278</t>
  </si>
  <si>
    <t>GPR-GOR-MEN-TSS-ONE-SVR-WHI-L</t>
  </si>
  <si>
    <t>Writer's box</t>
  </si>
  <si>
    <t>5768319046205</t>
  </si>
  <si>
    <t>GPR-GSP-MEN-POL-MAN-CHA-BLK-XL</t>
  </si>
  <si>
    <t>5769880382631</t>
  </si>
  <si>
    <t>GPR-GPI-MEN-POL-RIB-LOG-OLI-XL</t>
  </si>
  <si>
    <t>CS-HN-KG-GK HA 134</t>
  </si>
  <si>
    <t>CS-HN-KG-GINKGO 80</t>
  </si>
  <si>
    <t>5803820166933</t>
  </si>
  <si>
    <t>GPR-GCV-MEN-SIS-BUT-RFT-WHI-XXL</t>
  </si>
  <si>
    <t>5808815631830</t>
  </si>
  <si>
    <t>GPR-GBA-MEN-TSS-ONE-HHA-WHI-XL</t>
  </si>
  <si>
    <t>5811509411205</t>
  </si>
  <si>
    <t>GPR-GOR-MEN-TSS-ONE-HNC-WHI-XXL</t>
  </si>
  <si>
    <t>5813006182602</t>
  </si>
  <si>
    <t>GPR-GBA-MEN-TSP-ONE-TJM-OLI-M</t>
  </si>
  <si>
    <t>5813397003234</t>
  </si>
  <si>
    <t>GPR-GOR-MEN-TSP-ONE-HNB-RED-M</t>
  </si>
  <si>
    <t>5820263708674</t>
  </si>
  <si>
    <t>GPR-GSP-MEN-POL-MAN-RFT-VIO-M</t>
  </si>
  <si>
    <t>5820694690319</t>
  </si>
  <si>
    <t>GPR-GSL-KID-TSS-ONE-AUL-WHI-12</t>
  </si>
  <si>
    <t>5825854820339</t>
  </si>
  <si>
    <t>GPR-GOR-MEN-TSP-ONE-SSY-GRE-S</t>
  </si>
  <si>
    <t>5826836245645</t>
  </si>
  <si>
    <t>Dragonflies</t>
  </si>
  <si>
    <t>GPR-OTH-UNI-SOU-HFS-DRF-RED-0</t>
  </si>
  <si>
    <t>5827708786600</t>
  </si>
  <si>
    <t>EYES COVER</t>
  </si>
  <si>
    <t>GPR-OTH-UNI-SOU-ECV-MIX-MIX-0</t>
  </si>
  <si>
    <t>5836372874032</t>
  </si>
  <si>
    <t>GPR-OTH-UNI-BAG-OTH-DBG-GRE-0</t>
  </si>
  <si>
    <t>5841387403030</t>
  </si>
  <si>
    <t>GPR-GSU-WOM-TTB-BNE-RDY-WHI-M</t>
  </si>
  <si>
    <t>KM Sensitive Skins</t>
  </si>
  <si>
    <t>5861108765377</t>
  </si>
  <si>
    <t>GPR-GBA-MEN-TSS-ONE-XLO-BLK-XXL</t>
  </si>
  <si>
    <t>5873894395577</t>
  </si>
  <si>
    <t>GPR-GBA-MEN-TSP-ONE-TJM-OLI-XL</t>
  </si>
  <si>
    <t>5880473546237</t>
  </si>
  <si>
    <t>GPR-GOR-MEN-TSS-HNE-TCS-WHI-L</t>
  </si>
  <si>
    <t>5883681531378</t>
  </si>
  <si>
    <t>GPR-GBA-MEN-TSS-ONE-DDU-GRE-M</t>
  </si>
  <si>
    <t>5897747837137</t>
  </si>
  <si>
    <t>GPR-GSL-WOM-TSP-ONE-GL2-WHI-S</t>
  </si>
  <si>
    <t>Loafer Ayrton</t>
  </si>
  <si>
    <t>5925834808873</t>
  </si>
  <si>
    <t>GPR-GOR-KID-TSS-ONE-DDU-BOR-6</t>
  </si>
  <si>
    <t>CS-HN-KG-GINKGO 95</t>
  </si>
  <si>
    <t>Bầu cua Ý Giao 2025</t>
  </si>
  <si>
    <t>5986723011835</t>
  </si>
  <si>
    <t>GPR-GOR-KID-TSS-ONE-DDU-BOR-2</t>
  </si>
  <si>
    <t>XIX</t>
  </si>
  <si>
    <t>6003138638125</t>
  </si>
  <si>
    <t>GPR-OTH-UNI-SOU-HFP-FSK-YEL-0</t>
  </si>
  <si>
    <t>6014501794805</t>
  </si>
  <si>
    <t>GPR-GLI-MEN-SHS-BBT-LIN-WHI-L</t>
  </si>
  <si>
    <t>6027629051538</t>
  </si>
  <si>
    <t>GPR-GSL-WOM-TSS-VNE-GMP-WHI-L</t>
  </si>
  <si>
    <t>6029123671106</t>
  </si>
  <si>
    <t>GPR-GFN-MEN-SWL-ONE-SHU-BLK-S</t>
  </si>
  <si>
    <t>CS-HN-KG- EAR 35G</t>
  </si>
  <si>
    <t>CS-HN-KG-EAR 35G</t>
  </si>
  <si>
    <t>CS-HN-HD 72</t>
  </si>
  <si>
    <t>6057363928575</t>
  </si>
  <si>
    <t>GPR-GBA-MEN-TSP-ONE-HAI-BLK-S</t>
  </si>
  <si>
    <t>6057798104032</t>
  </si>
  <si>
    <t>GPR-GCL-WOM-CRO-ONE-TCS-WHI-M</t>
  </si>
  <si>
    <t>6060200822776</t>
  </si>
  <si>
    <t>GPR-GSP-WOM-SKS-EBT-NNE-BLK-M</t>
  </si>
  <si>
    <t>6087712336805</t>
  </si>
  <si>
    <t>GPR-GOR-MEN-TSS-ONE-SVR-WHI-M</t>
  </si>
  <si>
    <t>6088517254509</t>
  </si>
  <si>
    <t>GPR-GSL-WOM-TSS-VNE-GMP-WHI-S</t>
  </si>
  <si>
    <t>6095488457464</t>
  </si>
  <si>
    <t>GPR-OTH-UNI-SOU-HFP-TNT-WHI-0</t>
  </si>
  <si>
    <t>6096514451746</t>
  </si>
  <si>
    <t>GPR-GFI-MEN-SHS-EBT-GSP-NAV-S</t>
  </si>
  <si>
    <t>6121089025730</t>
  </si>
  <si>
    <t>GPR-GSP-WOM-SKS-EBT-NNE-BLK-XL</t>
  </si>
  <si>
    <t>6148600549803</t>
  </si>
  <si>
    <t>GPR-GOR-MEN-TSS-ONE-SVR-WHI-XL</t>
  </si>
  <si>
    <t>Hạt Organic Robusta250g</t>
  </si>
  <si>
    <t>6175020296703</t>
  </si>
  <si>
    <t>GPR-GBA-WOM-CRO-ONE-TCS-BLK-L</t>
  </si>
  <si>
    <t>6194717007477</t>
  </si>
  <si>
    <t>GPR-GBA-MEN-TSS-ONE-LOG-JBG-M</t>
  </si>
  <si>
    <t>CS-HN-KG-EAR 50</t>
  </si>
  <si>
    <t>CS-SH-BDSCRUB-2-RI OL</t>
  </si>
  <si>
    <t>Bran Oil CF Body Scrub</t>
  </si>
  <si>
    <t>6215735836594</t>
  </si>
  <si>
    <t>GPR-GOR-WOM-TTB-BNE-WOL-GRE-M</t>
  </si>
  <si>
    <t>Vietnamese Salted Coffee</t>
  </si>
  <si>
    <t>6234895894770</t>
  </si>
  <si>
    <t>GPR-GSL-KID-TSS-ONE-TJM-GPE-12</t>
  </si>
  <si>
    <t>6242014659100</t>
  </si>
  <si>
    <t>GPR-GOR-KID-TSS-ONE-WBO-JBG-12</t>
  </si>
  <si>
    <t>Women's Bags
Austin</t>
  </si>
  <si>
    <t>6311272354376</t>
  </si>
  <si>
    <t>GPR-GOR-MEN-TSS-HNE-FPC-OLI-L</t>
  </si>
  <si>
    <t>6314392668019</t>
  </si>
  <si>
    <t>GPR-GOR-MEN-TSS-ONE-STA-RED-XXL</t>
  </si>
  <si>
    <t>Easy Loafer II</t>
  </si>
  <si>
    <t>6315968434939</t>
  </si>
  <si>
    <t>GPR-GSL-MEN-TTS-ONE-URB-WHI-S</t>
  </si>
  <si>
    <t>6316532359238</t>
  </si>
  <si>
    <t>Ninh Binh Pagoda</t>
  </si>
  <si>
    <t>GPR-GBA-MEN-TSS-ONE-NBP-WHI-S</t>
  </si>
  <si>
    <t>6373635888409</t>
  </si>
  <si>
    <t>GPR-GBA-MEN-TSO-ONE-TCS-BLK-XS</t>
  </si>
  <si>
    <t>6384865372101</t>
  </si>
  <si>
    <t>Ginkgo Culture Driven</t>
  </si>
  <si>
    <t>GPR-OTH-UNI-BAG-TTB-GCD-CRE-0</t>
  </si>
  <si>
    <t>6387267003079</t>
  </si>
  <si>
    <t>GPR-GBA-MEN-TSS-ONE-SCR-WHI-XXL</t>
  </si>
  <si>
    <t>6396290109061</t>
  </si>
  <si>
    <t>GPR-OTH-UNI-FWR-SLI-VTM-BLK-38</t>
  </si>
  <si>
    <t>6397482001804</t>
  </si>
  <si>
    <t>GPR-GBA-MEN-TSS-ONE-NBP-WHI-XL</t>
  </si>
  <si>
    <t>CS-HN-GK 104</t>
  </si>
  <si>
    <t>6421024869932</t>
  </si>
  <si>
    <t>GPR-GOR-MEN-TSS-ONE-STA-RED-S</t>
  </si>
  <si>
    <t>Lọc trà hoa cà phê RuNam</t>
  </si>
  <si>
    <t>6431140607424</t>
  </si>
  <si>
    <t>GPR-GOR-MEN-TSS-ONE-STA-RED-L</t>
  </si>
  <si>
    <t>6438546407801</t>
  </si>
  <si>
    <t>GPR-GOR-MEN-TSS-HNE-GAO-BLK-M</t>
  </si>
  <si>
    <t>6449881978833</t>
  </si>
  <si>
    <t>GPR-GLI-MEN-PAF-BBT-LIN-WHI-L</t>
  </si>
  <si>
    <t>CS-HN-KG-GINKGO 116</t>
  </si>
  <si>
    <t>6457335715903</t>
  </si>
  <si>
    <t>GPR-GSP-MEN-POL-MAN-CHA-EMR-S</t>
  </si>
  <si>
    <t>6459736918877</t>
  </si>
  <si>
    <t>GPR-GCV-MEN-SIS-BUT-URB-WHI-XL</t>
  </si>
  <si>
    <t>WT BE HOPE AFTER ALL</t>
  </si>
  <si>
    <t>CS-HN-KG-EAR 47</t>
  </si>
  <si>
    <t>6499322271436</t>
  </si>
  <si>
    <t>GPR-GOR-MEN-TSP-ONE-SSY-GRE-XL</t>
  </si>
  <si>
    <t>6509169231309</t>
  </si>
  <si>
    <t>GPR-GSL-KID-APP-BNE-HOA-WHI-4</t>
  </si>
  <si>
    <t>6510770185875</t>
  </si>
  <si>
    <t>GPR-GLI-MEN-SHS-BBT-LIN-NAV-S</t>
  </si>
  <si>
    <t>6518970974503</t>
  </si>
  <si>
    <t>GPR-OTH-UNI-BAG-OTH-DBG-BLK-0</t>
  </si>
  <si>
    <t>6533327457706</t>
  </si>
  <si>
    <t>Lua</t>
  </si>
  <si>
    <t>GPR-GCL-WOM-CRO-ONE-LUA-RED-L</t>
  </si>
  <si>
    <t>6540260098804</t>
  </si>
  <si>
    <t>GPR-GBA-KID-TSS-ONE-TLT-BLK-4</t>
  </si>
  <si>
    <t>Bộ trò chơi LoTo RuNam</t>
  </si>
  <si>
    <t>Men’s Duchamp</t>
  </si>
  <si>
    <t>6568380772930</t>
  </si>
  <si>
    <t>GPR-GPI-MEN-POL-MAN-LOG-AGD-XL</t>
  </si>
  <si>
    <t>6606594766267</t>
  </si>
  <si>
    <t>GPR-GSL-KID-TSS-ONE-AUL-WHI-4</t>
  </si>
  <si>
    <t>6647465456771</t>
  </si>
  <si>
    <t>GPR-GBA-MEN-TSP-ONE-XLO-WHI-M</t>
  </si>
  <si>
    <t>Starfruit &amp; Pineapple Tea</t>
  </si>
  <si>
    <t>6664425889974</t>
  </si>
  <si>
    <t>GPR-GBA-WOM-PZE-ONE-HHA-WHI-S</t>
  </si>
  <si>
    <t>CS-HN-KG-GINKGO 98</t>
  </si>
  <si>
    <t>6705733841800</t>
  </si>
  <si>
    <t>GPR-GOR-MEN-TSS-ONE-RTE-BLK-XXL</t>
  </si>
  <si>
    <t>6707021816002</t>
  </si>
  <si>
    <t>GPR-GSP-MEN-POL-MAN-LOG-BLK-XXL</t>
  </si>
  <si>
    <t>Wang Tai</t>
  </si>
  <si>
    <t>KM Grapefruit &amp; Patchouli</t>
  </si>
  <si>
    <t>RX Organic Robusta250g</t>
  </si>
  <si>
    <t>6733659463400</t>
  </si>
  <si>
    <t>GPR-GOR-MEN-TSS-HNE-THB-WHI-M</t>
  </si>
  <si>
    <t>CS-HN-KG-GK HA 143</t>
  </si>
  <si>
    <t>6738175042528</t>
  </si>
  <si>
    <t>GPR-GOR-MEN-TSS-ONE-STA-RED-M</t>
  </si>
  <si>
    <t>RIDING THE TIGER</t>
  </si>
  <si>
    <t>6743780689105</t>
  </si>
  <si>
    <t>GPR-OTH-UNI-HDR-COA-VTM-WHI-0</t>
  </si>
  <si>
    <t>6766622054770</t>
  </si>
  <si>
    <t>GPR-GBA-MEN-TSS-ONE-SMR-WHI-M</t>
  </si>
  <si>
    <t>CS-HN-KG-GK LL 131</t>
  </si>
  <si>
    <t>6790047921003</t>
  </si>
  <si>
    <t>GPR-GBA-MEN-TSS-ONE-XLO-BLK-M</t>
  </si>
  <si>
    <t>6798353292978</t>
  </si>
  <si>
    <t>GPR-GBA-MEN-TSS-ONE-VNW-WHI-L</t>
  </si>
  <si>
    <t>6802312141778</t>
  </si>
  <si>
    <t>GPR-GSL-WOM-APP-BNE-GL2-GPE-XL</t>
  </si>
  <si>
    <t>6802521517951</t>
  </si>
  <si>
    <t>GPR-GCV-MEN-SIS-BUT-JUN-WHI-S</t>
  </si>
  <si>
    <t>6803228411436</t>
  </si>
  <si>
    <t>GPR-GSL-WOM-APP-BNE-GL2-GPE-L</t>
  </si>
  <si>
    <t>6803235779536</t>
  </si>
  <si>
    <t>GPR-GCL-WOM-CRO-ONE-LUA-RED-M</t>
  </si>
  <si>
    <t>Gac Soap</t>
  </si>
  <si>
    <t>6869345215937</t>
  </si>
  <si>
    <t>GPR-GOR-MEN-TSS-HNE-TCS-WHI-M</t>
  </si>
  <si>
    <t>6872887298504</t>
  </si>
  <si>
    <t>GPR-OTH-UNI-SOU-NBS-RTE-GRN-A6</t>
  </si>
  <si>
    <t>6873634620746</t>
  </si>
  <si>
    <t>GPR-GOR-MEN-TSS-ONE-BPP-BLK-XXL</t>
  </si>
  <si>
    <t>6878189140961</t>
  </si>
  <si>
    <t>GPR-OTH-UNI-BAG-CRB-LOG-WHI-0</t>
  </si>
  <si>
    <t>Make-up Remover Balm</t>
  </si>
  <si>
    <t>6915226457078</t>
  </si>
  <si>
    <t>GPR-GKK-WOM-SHH-FBT-TJM-BLK-S</t>
  </si>
  <si>
    <t>6945234082603</t>
  </si>
  <si>
    <t>GPR-GLI-MEN-SIS-CLA-LOG-CAM-XL</t>
  </si>
  <si>
    <t>Cora</t>
  </si>
  <si>
    <t>6950086552198</t>
  </si>
  <si>
    <t>GPR-GSL-WOM-FZE-BNE-SMP-BLK-L</t>
  </si>
  <si>
    <t>6960113073183</t>
  </si>
  <si>
    <t>GPR-GOR-MEN-TSS-ONE-LLY-BOR-L</t>
  </si>
  <si>
    <t>CS-HN-KG-GK LL 130</t>
  </si>
  <si>
    <t>CS-HN-HD 69</t>
  </si>
  <si>
    <t>CS-SH-POWDER BAG-OR-PL</t>
  </si>
  <si>
    <t>6997782340308</t>
  </si>
  <si>
    <t>GPR-GCL-WOM-CRO-ONE-TMG-RED-L</t>
  </si>
  <si>
    <t>CS-SH- DRIP10-VN</t>
  </si>
  <si>
    <t>Cà Phê Túi Nhúng Việt Nam</t>
  </si>
  <si>
    <t>7012383893103</t>
  </si>
  <si>
    <t>GPR-GPI-MEN-POL-RIB-LOG-OLI-XXL</t>
  </si>
  <si>
    <t>7020277178403</t>
  </si>
  <si>
    <t>GPR-GOR-MEN-TSS-ONE-SVR-WHI-S</t>
  </si>
  <si>
    <t>CS-HN-KG-GK HN45</t>
  </si>
  <si>
    <t>CS-HN-KG-HN 45</t>
  </si>
  <si>
    <t>7029733550241</t>
  </si>
  <si>
    <t>GPR-GSL-KID-APP-BNE-HOA-WHI-2</t>
  </si>
  <si>
    <t>7056747346416</t>
  </si>
  <si>
    <t>GPR-GSL-WOM-FZE-BNE-HAI-BLK-XL</t>
  </si>
  <si>
    <t>7059063446204</t>
  </si>
  <si>
    <t>LOGO</t>
  </si>
  <si>
    <t>GPR-GSU-MEN-POL-MAN-LOG-BLK-S</t>
  </si>
  <si>
    <t>7060091064308</t>
  </si>
  <si>
    <t>GPR-GBA-MEN-TSS-ONE-SMP-BLK-S</t>
  </si>
  <si>
    <t>7063476424148</t>
  </si>
  <si>
    <t>GPR-GCV-MEN-SIS-BUT-JUN-WHI-M</t>
  </si>
  <si>
    <t>NEST OF COEXISTENCE</t>
  </si>
  <si>
    <t>7132867555331</t>
  </si>
  <si>
    <t>GPR-GBA-MEN-TSS-ONE-SSY-GRE-L</t>
  </si>
  <si>
    <t>7138802583070</t>
  </si>
  <si>
    <t>GPR-GFI-MEN-SHS-EBT-TJM-BLK-XL</t>
  </si>
  <si>
    <t>7153983987400</t>
  </si>
  <si>
    <t>GPR-GLI-MEN-SIS-CLA-LOG-WHI-XXL</t>
  </si>
  <si>
    <t>IT BURN</t>
  </si>
  <si>
    <t>CS-HN-KG-GINKGO LL159</t>
  </si>
  <si>
    <t>CS-HN-KG-GINKGO 94</t>
  </si>
  <si>
    <t>CS-HN-KG-HN 43</t>
  </si>
  <si>
    <t>7199690796034</t>
  </si>
  <si>
    <t>GPR-GFN-MEN-SHS-EBT-TJM-BLK-M</t>
  </si>
  <si>
    <t>7201849363575</t>
  </si>
  <si>
    <t>GPR-GOR-KID-TSS-ONE-MOX-PPA-8</t>
  </si>
  <si>
    <t>CS-HN-KG-GINKGO 118</t>
  </si>
  <si>
    <t>CS-HN-KG-GK HN46</t>
  </si>
  <si>
    <t>7267326091331</t>
  </si>
  <si>
    <t>GPR-GBA-MEN-TSS-ONE-NBP-WHI-L</t>
  </si>
  <si>
    <t>7284946514606</t>
  </si>
  <si>
    <t>GPR-GSL-WOM-TSS-VNE-VTM-WHI-S</t>
  </si>
  <si>
    <t>Tussaud</t>
  </si>
  <si>
    <t>7299978791208</t>
  </si>
  <si>
    <t>GPR-GBA-MEN-TSS-ONE-TJM-OLI-XXL</t>
  </si>
  <si>
    <t>7300301614504</t>
  </si>
  <si>
    <t>GPR-GCL-WOM-CRO-ONE-TCS-WHI-L</t>
  </si>
  <si>
    <t>7314730605842</t>
  </si>
  <si>
    <t>SG URBAN</t>
  </si>
  <si>
    <t>GPR-OTH-UNI-SOU-MUG-USN-WHI-S</t>
  </si>
  <si>
    <t>7325676686772</t>
  </si>
  <si>
    <t>GPR-GOR-MEN-TSS-ONE-URB-GRE-XXL</t>
  </si>
  <si>
    <t>7331485307630</t>
  </si>
  <si>
    <t>GPR-GCL-MEN-TSO-ONE-EHT-WHI-L</t>
  </si>
  <si>
    <t>7334295049103</t>
  </si>
  <si>
    <t>GPR-GOR-MEN-TSP-ONE-TJM-OLI-S</t>
  </si>
  <si>
    <t>7336357676142</t>
  </si>
  <si>
    <t>GPR-GSL-WOM-FZE-BNE-SMP-BLK-M</t>
  </si>
  <si>
    <t>7340662025205</t>
  </si>
  <si>
    <t>GPR-OTH-UNI-SOU-NBP-TMG-WHI-A6</t>
  </si>
  <si>
    <t>7366863741638</t>
  </si>
  <si>
    <t>GPR-GSU-WOM-TSP-ONE-SF2-NI-M</t>
  </si>
  <si>
    <t>7369210188964</t>
  </si>
  <si>
    <t>GPR-GOR-WOM-TTB-BNE-WOL-GRE-XL</t>
  </si>
  <si>
    <t>7375569598200</t>
  </si>
  <si>
    <t>Dragon Lines</t>
  </si>
  <si>
    <t>GPR-OTH-UNI-SOU-NBS-DRL-RED-A6</t>
  </si>
  <si>
    <t>7382526129506</t>
  </si>
  <si>
    <t>GPR-GSL-WOM-TSS-VNE-SMP-WHI-L</t>
  </si>
  <si>
    <t>CS-HN-HA 146</t>
  </si>
  <si>
    <t>CS-HN-KG-HN 50</t>
  </si>
  <si>
    <t>Sapa Citrus Tea Gin</t>
  </si>
  <si>
    <t>7427643664636</t>
  </si>
  <si>
    <t>GPR-GOR-MEN-TSP-ONE-HNB-RED-S</t>
  </si>
  <si>
    <t>7440980653446</t>
  </si>
  <si>
    <t>GPR-OTH-UNI-BAG-CRB-LOG-GRN-0</t>
  </si>
  <si>
    <t>7452739522279</t>
  </si>
  <si>
    <t>GPR-GBA-MEN-TSS-ONE-NBP-WHI-XXL</t>
  </si>
  <si>
    <t>7466582813507</t>
  </si>
  <si>
    <t>Bow Scrunchie</t>
  </si>
  <si>
    <t>GPR-OTH-UNI-HWR-BSE-BSE-MIX-0</t>
  </si>
  <si>
    <t>7475942212010</t>
  </si>
  <si>
    <t>Street Barber</t>
  </si>
  <si>
    <t>GPR-OTH-UNI-HWR-CAP-SBR-WHI-L</t>
  </si>
  <si>
    <t>7485280879974</t>
  </si>
  <si>
    <t>GPR-GBA-MEN-TSP-ONE-HAI-BLK-XXL</t>
  </si>
  <si>
    <t>7485500954436</t>
  </si>
  <si>
    <t>GPR-GBA-MEN-TSS-ONE-GVT-WHI-S</t>
  </si>
  <si>
    <t>7495636477334</t>
  </si>
  <si>
    <t>GPR-GOR-MEN-TSS-HNE-GAO-BLK-S</t>
  </si>
  <si>
    <t>7498196786076</t>
  </si>
  <si>
    <t>GPR-GOR-KID-TSS-ONE-MOX-PPA-10</t>
  </si>
  <si>
    <t>7504633996332</t>
  </si>
  <si>
    <t>GPR-GOR-MEN-TSS-ONE-SMP-WHI-XXL</t>
  </si>
  <si>
    <t>7513796732435</t>
  </si>
  <si>
    <t>GPR-GBA-MEN-TSS-ONE-SVR-WHI-XL</t>
  </si>
  <si>
    <t>7516331437994</t>
  </si>
  <si>
    <t>Notebook Hanoi</t>
  </si>
  <si>
    <t>GPR-OTH-UNI-SOU-NBI-HAN-MIX-A5</t>
  </si>
  <si>
    <t>7530703771936</t>
  </si>
  <si>
    <t>GPR-GBA-KID-TSS-ONE-TLT-BLK-8</t>
  </si>
  <si>
    <t>7551960266706</t>
  </si>
  <si>
    <t>GPR-GCA-UNI-BAG-SHB-VTM-CRE-0</t>
  </si>
  <si>
    <t>7559084999036</t>
  </si>
  <si>
    <t>GPR-GOR-KID-TSS-ONE-MOX-PPA-2</t>
  </si>
  <si>
    <t>7602978083707</t>
  </si>
  <si>
    <t>GPR-GOR-MEN-TSS-ONE-HHA-WHI-XXL</t>
  </si>
  <si>
    <t>7610670562390</t>
  </si>
  <si>
    <t>GPR-GCV-WOM-BLA-BNE-WOL-WHI-M</t>
  </si>
  <si>
    <t>7625908222878</t>
  </si>
  <si>
    <t>GPR-GCL-MEN-TSO-ONE-TMG-RED-L</t>
  </si>
  <si>
    <t>7626628537839</t>
  </si>
  <si>
    <t>GPR-GBA-MEN-TSS-ONE-SMR-WHI-XL</t>
  </si>
  <si>
    <t>7626630108409</t>
  </si>
  <si>
    <t>GPR-GLI-MEN-PAF-BBT-LIN-NAV-M</t>
  </si>
  <si>
    <t>7640196723500</t>
  </si>
  <si>
    <t>GPR-GOR-MEN-TSS-ONE-URB-GRE-M</t>
  </si>
  <si>
    <t>7664099735897</t>
  </si>
  <si>
    <t>Notebook Mu Cang Chai</t>
  </si>
  <si>
    <t>GPR-OTH-UNI-SOU-NBI-MCC-MIX-A5</t>
  </si>
  <si>
    <t>7667314482620</t>
  </si>
  <si>
    <t>GPR-GSL-WOM-FZE-BNE-SMP-BLK-XL</t>
  </si>
  <si>
    <t>7671331411761</t>
  </si>
  <si>
    <t>GPR-OTH-UNI-FWR-SLI-SSY-BLU-40</t>
  </si>
  <si>
    <t>7674447484209</t>
  </si>
  <si>
    <t>GPR-GSP-WOM-SKS-EBT-NNE-BLK-S</t>
  </si>
  <si>
    <t>CS-HN-KG-GINKGO 100</t>
  </si>
  <si>
    <t>7689151946233</t>
  </si>
  <si>
    <t>GPR-GBA-MEN-TSP-ONE-SSY-GRE-S</t>
  </si>
  <si>
    <t>7689295228073</t>
  </si>
  <si>
    <t>GPR-GBA-MEN-TSS-ONE-TJM-OLI-S</t>
  </si>
  <si>
    <t>7692385488370</t>
  </si>
  <si>
    <t>GPR-GLI-MEN-PAF-BBT-LIN-WHI-M</t>
  </si>
  <si>
    <t>7693601173704</t>
  </si>
  <si>
    <t>GPR-GSU-MEN-POL-MAN-JUN-WHI-S</t>
  </si>
  <si>
    <t>CS-HN-KG-GINKGO 122</t>
  </si>
  <si>
    <t>7717424309178</t>
  </si>
  <si>
    <t>GPR-GSU-WOM-PZE-ONE-GL2-BJL-M</t>
  </si>
  <si>
    <t>7745629125378</t>
  </si>
  <si>
    <t>GPR-GLI-MEN-SIS-MAN-LOG-WHI-M</t>
  </si>
  <si>
    <t>7766055856230</t>
  </si>
  <si>
    <t>GPR-OTH-UNI-BAG-PCE-PCE-RED-0</t>
  </si>
  <si>
    <t>7794030517951</t>
  </si>
  <si>
    <t>GPR-GOR-MEN-TSS-ONE-LLY-BOR-XL</t>
  </si>
  <si>
    <t>Tissue Paper Box</t>
  </si>
  <si>
    <t>7817016503530</t>
  </si>
  <si>
    <t>GPR-GOR-MEN-TSS-HNE-FPC-BDE-S</t>
  </si>
  <si>
    <t>7824364454339</t>
  </si>
  <si>
    <t>GPR-GSP-MEN-POL-MAN-CHA-EMR-M</t>
  </si>
  <si>
    <t>7829613333403</t>
  </si>
  <si>
    <t>GPR-GFI-MEN-SHS-EBT-LOG-BLK-M</t>
  </si>
  <si>
    <t>7834265935875</t>
  </si>
  <si>
    <t>GPR-GLI-MEN-SIS-CLA-LOG-CAM-S</t>
  </si>
  <si>
    <t>7837946519470</t>
  </si>
  <si>
    <t>GPR-GSP-MEN-POL-MAN-SHU-RPM-S</t>
  </si>
  <si>
    <t>7853098398633</t>
  </si>
  <si>
    <t>GPR-GBA-MEN-TSS-ONE-VTM-WHI-M</t>
  </si>
  <si>
    <t>7877802259904</t>
  </si>
  <si>
    <t>GPR-GOR-MEN-TSS-ONE-SMP-BLK-XL</t>
  </si>
  <si>
    <t>7888702806136</t>
  </si>
  <si>
    <t>GPR-GOR-MEN-TSS-ONE-TJM-OLI-XXL</t>
  </si>
  <si>
    <t>7895929042667</t>
  </si>
  <si>
    <t>GPR-GCL-WOM-CRO-ONE-TNT-WHI-M</t>
  </si>
  <si>
    <t>7898372818285</t>
  </si>
  <si>
    <t>GPR-GBA-MEN-TSS-ONE-VNW-WHI-XL</t>
  </si>
  <si>
    <t>7898409938634</t>
  </si>
  <si>
    <t>GPR-GBA-MEN-TSS-ONE-URB-JBG-XXL</t>
  </si>
  <si>
    <t>7917543081911</t>
  </si>
  <si>
    <t>GPR-OTH-UNI-HWR-CAP-URB-WHI-S</t>
  </si>
  <si>
    <t>CS-HN-KG-HD2 40</t>
  </si>
  <si>
    <t>7929071778638</t>
  </si>
  <si>
    <t>GPR-GSL-WOM-FZE-BNE-SSY-WHI-XL</t>
  </si>
  <si>
    <t>PG hữu cơ 100% Arabica</t>
  </si>
  <si>
    <t>7957136151836</t>
  </si>
  <si>
    <t>GPR-GFN-KID-SHS-EBT-GSP-BLK-10</t>
  </si>
  <si>
    <t>7960389543617</t>
  </si>
  <si>
    <t>GPR-GOR-MEN-TSS-ONE-LLY-BOR-XXL</t>
  </si>
  <si>
    <t>CS-HN-KG-GINKGO 79</t>
  </si>
  <si>
    <t>HARLEQUIN</t>
  </si>
  <si>
    <t>7987061265278</t>
  </si>
  <si>
    <t>GPR-GSL-MEN-TTS-ONE-URB-WHI-M</t>
  </si>
  <si>
    <t>7987594206878</t>
  </si>
  <si>
    <t>GPR-GBA-MEN-TSS-ONE-NBP-WHI-M</t>
  </si>
  <si>
    <t>Men’s Gaugin_Gold</t>
  </si>
  <si>
    <t>7993188497843</t>
  </si>
  <si>
    <t>GPR-GSU-MEN-POL-MAN-JUN-WHI-L</t>
  </si>
  <si>
    <t>Cờ cá ngựa thành Troy</t>
  </si>
  <si>
    <t>8003354619234</t>
  </si>
  <si>
    <t>GPR-GSU-MEN-TSS-ONE-BBP-VIO-M</t>
  </si>
  <si>
    <t>8023785948505</t>
  </si>
  <si>
    <t>GPR-GSU-MEN-POL-MAN-RFT-VIO-L</t>
  </si>
  <si>
    <t>8035572671374</t>
  </si>
  <si>
    <t>GPR-GSP-MEN-TSS-ONE-BBP-VIO-M</t>
  </si>
  <si>
    <t>8039130364814</t>
  </si>
  <si>
    <t>GPR-GBA-MEN-TSS-ONE-SSY-GRE-XL</t>
  </si>
  <si>
    <t>GREENDLAND AND FAMILY</t>
  </si>
  <si>
    <t>8045842029439</t>
  </si>
  <si>
    <t>GPR-GBA-MEN-TSS-ONE-VTM-GRE-L</t>
  </si>
  <si>
    <t>8052793069209</t>
  </si>
  <si>
    <t>GPR-GCL-WOM-CRO-ONE-LUA-RED-S</t>
  </si>
  <si>
    <t>8054740324300</t>
  </si>
  <si>
    <t>GPR-GSL-WOM-APP-BNE-HOA-WHI-XL</t>
  </si>
  <si>
    <t>8057400343000</t>
  </si>
  <si>
    <t>GPR-GLI-MEN-SIS-MAN-LOG-CAM-S</t>
  </si>
  <si>
    <t>CS-HN-KG-GK HD12</t>
  </si>
  <si>
    <t>8071413155139</t>
  </si>
  <si>
    <t>GPR-OTH-UNI-BAG-PCE-PCE-NAV-0</t>
  </si>
  <si>
    <t>CS-HN-KG-HN 110</t>
  </si>
  <si>
    <t>8093358001333</t>
  </si>
  <si>
    <t>GPR-GOR-MEN-TSS-ONE-SVR-WHI-XXL</t>
  </si>
  <si>
    <t>8098894488433</t>
  </si>
  <si>
    <t>GPR-GPI-MEN-POL-RIB-LOG-AGD-L</t>
  </si>
  <si>
    <t>8118931114320</t>
  </si>
  <si>
    <t>GPR-GCL-MEN-TSO-ONE-TNT-WHI-M</t>
  </si>
  <si>
    <t>8119427786939</t>
  </si>
  <si>
    <t>GPR-GOR-MEN-TSS-ONE-TPO-WHI-M</t>
  </si>
  <si>
    <t>CS-HN-KG-GINKGO 88</t>
  </si>
  <si>
    <t>8128787721207</t>
  </si>
  <si>
    <t>GPR-GBA-MEN-TSS-ONE-SCR-WHI-S</t>
  </si>
  <si>
    <t>CS-HN-HD 74</t>
  </si>
  <si>
    <t>MEMBERS</t>
  </si>
  <si>
    <t>8177673860841</t>
  </si>
  <si>
    <t>GPR-GOR-MEN-TSS-ONE-SMR-WHI-M</t>
  </si>
  <si>
    <t>8185441741131</t>
  </si>
  <si>
    <t>GPR-OTH-UNI-SOU-NBS-GSP-BLU-A6</t>
  </si>
  <si>
    <t>8193646006504</t>
  </si>
  <si>
    <t>GPR-GOR-MEN-TSS-ONE-STE-WHI-S</t>
  </si>
  <si>
    <t>8210553046000</t>
  </si>
  <si>
    <t>GPR-GSL-KID-TSS-ONE-TJM-GPE-8</t>
  </si>
  <si>
    <t>Lemongrass - Bentonite Clay Soap</t>
  </si>
  <si>
    <t>8229847701433</t>
  </si>
  <si>
    <t>GPR-GBA-MEN-TSP-ONE-SSY-GRE-XL</t>
  </si>
  <si>
    <t>8232034690373</t>
  </si>
  <si>
    <t>GPR-GFI-MEN-SWL-ONE-TCS-BLK-S</t>
  </si>
  <si>
    <t>8238540372673</t>
  </si>
  <si>
    <t>GPR-GSU-WOM-TSP-ONE-SF2-NI-XL</t>
  </si>
  <si>
    <t>8251493507770</t>
  </si>
  <si>
    <t>GPR-GSP-MEN-POL-MAN-CHA-BLK-XXL</t>
  </si>
  <si>
    <t>8254416421375</t>
  </si>
  <si>
    <t>GPR-GCV-WOM-BLB-ONE-MWY-WHI-XL</t>
  </si>
  <si>
    <t>8254534219472</t>
  </si>
  <si>
    <t>GPR-GBA-MEN-TSS-ONE-SVR-WHI-M</t>
  </si>
  <si>
    <t>8283477742662</t>
  </si>
  <si>
    <t>GPR-GSL-KID-TSS-ONE-SMP-WHI-10</t>
  </si>
  <si>
    <t>8287219990595</t>
  </si>
  <si>
    <t>GPR-OTH-UNI-FWR-SLI-VTM-BLK-36</t>
  </si>
  <si>
    <t>8290311123976</t>
  </si>
  <si>
    <t>GPR-GBA-MEN-TSS-ONE-VTM-GRE-XL</t>
  </si>
  <si>
    <t>8327055354097</t>
  </si>
  <si>
    <t>GPR-OTH-UNI-FWR-SLI-SSY-BLU-36</t>
  </si>
  <si>
    <t>SanMai M390 17cm Gyuto</t>
  </si>
  <si>
    <t>CS-HN-KG-BR 3T</t>
  </si>
  <si>
    <t>8351235417432</t>
  </si>
  <si>
    <t>GPR-GOR-MEN-TSS-ONE-VTM-GRE-XL</t>
  </si>
  <si>
    <t>8359558161339</t>
  </si>
  <si>
    <t>GPR-GFI-MEN-HLS-ONE-SVR-WHI-L</t>
  </si>
  <si>
    <t>8371987707674</t>
  </si>
  <si>
    <t>GPR-GOR-MEN-TSS-ONE-SMR-WHI-S</t>
  </si>
  <si>
    <t>8379412631532</t>
  </si>
  <si>
    <t>GPR-GPI-MEN-POL-RIB-LOG-OLI-S</t>
  </si>
  <si>
    <t>8385244990525</t>
  </si>
  <si>
    <t>GPR-GSL-KID-TSS-ONE-AUL-WHI-2</t>
  </si>
  <si>
    <t>CS-HN-KG-GK LL 135</t>
  </si>
  <si>
    <t>8414460065752</t>
  </si>
  <si>
    <t>GPR-GOR-MEN-TSS-ONE-LLY-BOR-M</t>
  </si>
  <si>
    <t>Mekong Dry Gin</t>
  </si>
  <si>
    <t>8421617261974</t>
  </si>
  <si>
    <t>GPR-GFI-MEN-SWL-ONE-HCT-RED-M</t>
  </si>
  <si>
    <t>8428227224900</t>
  </si>
  <si>
    <t>GPR-GLI-MEN-SIS-MAN-LOG-WHI-S</t>
  </si>
  <si>
    <t>A T SILENCE THEY FLOURISH</t>
  </si>
  <si>
    <t>8437540476675</t>
  </si>
  <si>
    <t>GPR-GSL-MEN-TTS-ONE-URB-WHI-XXL</t>
  </si>
  <si>
    <t>CS-HN-HA 147</t>
  </si>
  <si>
    <t>CS-HN-KG-GK HN18</t>
  </si>
  <si>
    <t>CS-SH-BREAKFAST BLEND</t>
  </si>
  <si>
    <t>Breakfast Blend 12oz</t>
  </si>
  <si>
    <t>8471428343994</t>
  </si>
  <si>
    <t>GPR-GOR-WOM-TTB-BNE-WOL-GRE-L</t>
  </si>
  <si>
    <t>8472593414649</t>
  </si>
  <si>
    <t>GPR-GOR-MEN-TSS-ONE-VTM-GRE-L</t>
  </si>
  <si>
    <t>Imperial Chess</t>
  </si>
  <si>
    <t>8484755364266</t>
  </si>
  <si>
    <t>GPR-GSL-KID-APP-BNE-HOA-WHI-10</t>
  </si>
  <si>
    <t>CS-HN-KG-HD2 EAR 32G</t>
  </si>
  <si>
    <t>Table runner New Tile</t>
  </si>
  <si>
    <t>8551008713536</t>
  </si>
  <si>
    <t>GPR-GSL-WOM-APP-BNE-HOA-WHI-M</t>
  </si>
  <si>
    <t>8559868237001</t>
  </si>
  <si>
    <t>GPR-GOR-WOM-TSS-VNE-LOG-JBG-S</t>
  </si>
  <si>
    <t>8563970718976</t>
  </si>
  <si>
    <t>GPR-GCL-MEN-TSO-ONE-TNT-WHI-L</t>
  </si>
  <si>
    <t>8573988818100</t>
  </si>
  <si>
    <t>GPR-GSU-WOM-TTB-BNE-EHT-YEL-S</t>
  </si>
  <si>
    <t>8577360639406</t>
  </si>
  <si>
    <t>GPR-GOR-MEN-TSS-ONE-TJM-OLI-L</t>
  </si>
  <si>
    <t>8586003880365</t>
  </si>
  <si>
    <t>GPR-GOR-MEN-TSS-ONE-STA-RED-XL</t>
  </si>
  <si>
    <t>8602304767102</t>
  </si>
  <si>
    <t>GPR-GOR-KID-TSS-ONE-GVT-WHI-8</t>
  </si>
  <si>
    <t>8606975392687</t>
  </si>
  <si>
    <t>GPR-GSL-KID-TSS-ONE-SMP-WHI-2</t>
  </si>
  <si>
    <t>SOUL</t>
  </si>
  <si>
    <t>JIJI</t>
  </si>
  <si>
    <t>8624858911930</t>
  </si>
  <si>
    <t>GPR-GCL-MEN-TSO-ONE-TNT-WHI-XS</t>
  </si>
  <si>
    <t>KM Palmorasa &amp; Ylang Ylang</t>
  </si>
  <si>
    <t>Aznavour</t>
  </si>
  <si>
    <t>CS-HN-HD 71</t>
  </si>
  <si>
    <t>CS-GN-RT-1</t>
  </si>
  <si>
    <t>East Sea Navy Gin</t>
  </si>
  <si>
    <t>8676781567777</t>
  </si>
  <si>
    <t>Dragon Hotpot</t>
  </si>
  <si>
    <t>GPR-GSL-KID-TSS-ONE-DHT-ORA-8</t>
  </si>
  <si>
    <t>8682809245503</t>
  </si>
  <si>
    <t>GPR-GOR-WOM-PZE-ONE-STC-PPA-M</t>
  </si>
  <si>
    <t>PASSIONFRUIT CUBEB</t>
  </si>
  <si>
    <t>8688802901378</t>
  </si>
  <si>
    <t>GPR-GOR-WOM-TSB-ONE-RLN-JBG-L</t>
  </si>
  <si>
    <t>Guava &amp; Strawberry Kombucha</t>
  </si>
  <si>
    <t>8713288249635</t>
  </si>
  <si>
    <t>GPR-GOR-KID-TSS-ONE-SDS-WHI-4</t>
  </si>
  <si>
    <t>Phin cà phê RuNam mặc áo</t>
  </si>
  <si>
    <t>OPIUM OF THE PEOPLE N1498</t>
  </si>
  <si>
    <t>8747114216737</t>
  </si>
  <si>
    <t>GPR-GBA-MEN-TSS-ONE-SSY-GRE-M</t>
  </si>
  <si>
    <t>Jodhpur Boot</t>
  </si>
  <si>
    <t>8747646349439</t>
  </si>
  <si>
    <t>GPR-GOR-MEN-TSS-ONE-SMP-BLK-L</t>
  </si>
  <si>
    <t>CS-HN-KG-GK LL128</t>
  </si>
  <si>
    <t>8760379444738</t>
  </si>
  <si>
    <t>GPR-GOR-MEN-TSS-ONE-TJM-OLI-XL</t>
  </si>
  <si>
    <t>8762308596143</t>
  </si>
  <si>
    <t>Notebook Hue</t>
  </si>
  <si>
    <t>GPR-OTH-UNI-SOU-NBI-HUE-MIX-A5</t>
  </si>
  <si>
    <t>LADYBUG</t>
  </si>
  <si>
    <t>8766616286673</t>
  </si>
  <si>
    <t>GPR-GSU-MEN-TSS-ONE-BBP-VIO-S</t>
  </si>
  <si>
    <t>8780012029801</t>
  </si>
  <si>
    <t>GPR-GBA-MEN-TSS-ONE-HAI-BLK-L</t>
  </si>
  <si>
    <t>8793105794173</t>
  </si>
  <si>
    <t>GPR-GCV-WOM-BLC-ONE-SMA-WHI-S</t>
  </si>
  <si>
    <t>CS-HN-KG-GINKGO 97</t>
  </si>
  <si>
    <t>8804906821279</t>
  </si>
  <si>
    <t>GPR-GCV-WOM-BLA-BNE-WOL-WHI-L</t>
  </si>
  <si>
    <t>8807614934309</t>
  </si>
  <si>
    <t>GPR-GLI-MEN-SHS-BBT-LIN-WHI-M</t>
  </si>
  <si>
    <t>8827734462438</t>
  </si>
  <si>
    <t>GPR-GSP-MEN-POL-MAN-SHU-NAV-L</t>
  </si>
  <si>
    <t>8837579232530</t>
  </si>
  <si>
    <t>GPR-GKK-WOM-SHH-FBT-TJM-BLK-L</t>
  </si>
  <si>
    <t>8855560616077</t>
  </si>
  <si>
    <t>GPR-GOR-MEN-TSP-ONE-HNB-RED-L</t>
  </si>
  <si>
    <t>8859793377576</t>
  </si>
  <si>
    <t>GPR-OTH-UNI-HDR-COA-SSY-WHI-0</t>
  </si>
  <si>
    <t>8860141987477</t>
  </si>
  <si>
    <t>GPR-GOR-MEN-TSS-ONE-GVT-WHI-XL</t>
  </si>
  <si>
    <t>CS-SH-BEAN BAG-POUR OVER-DL</t>
  </si>
  <si>
    <t>8870971506137</t>
  </si>
  <si>
    <t>GPR-GOR-WOM-PZE-ONE-STC-PPA-XL</t>
  </si>
  <si>
    <t>Basket 2 Small</t>
  </si>
  <si>
    <t>8883551016001</t>
  </si>
  <si>
    <t>GPR-GPI-MEN-POL-MAN-RLN-OLI-M</t>
  </si>
  <si>
    <t>8888132387273</t>
  </si>
  <si>
    <t>GPR-GSP-MEN-POL-MAN-RFT-VIO-L</t>
  </si>
  <si>
    <t>8897497974806</t>
  </si>
  <si>
    <t>GPR-OTH-UNI-BAG-PCE-PCE-BLK-0</t>
  </si>
  <si>
    <t>OPIUM OF THE PEOPLE N273</t>
  </si>
  <si>
    <t>8917333165431</t>
  </si>
  <si>
    <t>GPR-GOR-KID-TSS-ONE-MOX-PPA-4</t>
  </si>
  <si>
    <t>8919853989504</t>
  </si>
  <si>
    <t>GPR-GOR-WOM-TSP-ONE-DRF-WHI-S</t>
  </si>
  <si>
    <t>8926113737478</t>
  </si>
  <si>
    <t>GPR-GOR-KID-TSS-ONE-MOX-PPA-12</t>
  </si>
  <si>
    <t>CS-HN-KG-GINKGO 113</t>
  </si>
  <si>
    <t>CS-HN-KG-GINKGO 120</t>
  </si>
  <si>
    <t>RX Organic Arabica250g</t>
  </si>
  <si>
    <t>8987612116218</t>
  </si>
  <si>
    <t>GPR-GBA-MEN-TSS-ONE-VNW-WHI-XXL</t>
  </si>
  <si>
    <t>8991104425535</t>
  </si>
  <si>
    <t>GPR-GOR-MEN-TSS-ONE-TPO-WHI-L</t>
  </si>
  <si>
    <t>Hộp lắc xí ngầu - Dice Shaker</t>
  </si>
  <si>
    <t>CS-HN-KG-EAR 52</t>
  </si>
  <si>
    <t>CS-HN-59</t>
  </si>
  <si>
    <t>9043072532131</t>
  </si>
  <si>
    <t>GPR-GFI-MEN-HLS-ONE-GEC-RED-XS</t>
  </si>
  <si>
    <t>9047954836300</t>
  </si>
  <si>
    <t>GPR-GBA-MEN-TSS-ONE-STC-WHI-XL</t>
  </si>
  <si>
    <t>9051591219976</t>
  </si>
  <si>
    <t>GPR-GOR-WOM-TSP-ONE-DRF-WHI-M</t>
  </si>
  <si>
    <t>9051992628506</t>
  </si>
  <si>
    <t>GPR-GOR-MEN-TSS-ONE-TPO-WHI-S</t>
  </si>
  <si>
    <t>Women's Bags
Austin I</t>
  </si>
  <si>
    <t>CARNOLOTUS POND</t>
  </si>
  <si>
    <t>9071211109708</t>
  </si>
  <si>
    <t>GPR-GBA-MEN-TSS-ONE-SSY-GRE-XXL</t>
  </si>
  <si>
    <t>9071287283906</t>
  </si>
  <si>
    <t>GPR-GFN-MEN-SWL-ONE-SHU-BLK-XS</t>
  </si>
  <si>
    <t>9074374025731</t>
  </si>
  <si>
    <t>GPR-GSL-WOM-TSP-ONE-GL2-WHI-M</t>
  </si>
  <si>
    <t>9076622197139</t>
  </si>
  <si>
    <t>GPR-GKK-WOM-SHD-FBT-FLH-BLK-L</t>
  </si>
  <si>
    <t>Pink Guava Tea</t>
  </si>
  <si>
    <t>TROPICAL NIGHT</t>
  </si>
  <si>
    <t>Latte</t>
  </si>
  <si>
    <t>CS-HN-KG-GINKGO 115</t>
  </si>
  <si>
    <t>CS-GN-ST-1</t>
  </si>
  <si>
    <t>9135262238708</t>
  </si>
  <si>
    <t>GPR-GSL-WOM-TSP-ONE-GL2-WHI-XL</t>
  </si>
  <si>
    <t>9142761368409</t>
  </si>
  <si>
    <t>GPR-GOR-MEN-TSS-ONE-RTE-BLK-S</t>
  </si>
  <si>
    <t>Espresso</t>
  </si>
  <si>
    <t>9183978412479</t>
  </si>
  <si>
    <t>GPR-GOR-MEN-TSP-ONE-XLO-WHI-S</t>
  </si>
  <si>
    <t>Men’s Chatto</t>
  </si>
  <si>
    <t>9217224745100</t>
  </si>
  <si>
    <t>GPR-GBA-KID-TSO-ONE-HAI-BLK-2</t>
  </si>
  <si>
    <t>THE SMOKER</t>
  </si>
  <si>
    <t>9239671463338</t>
  </si>
  <si>
    <t>GPR-GBA-MEN-TSS-ONE-VNW-WHI-M</t>
  </si>
  <si>
    <t>9240247068741</t>
  </si>
  <si>
    <t>GPR-GOR-MEN-TSS-ONE-LLY-BOR-S</t>
  </si>
  <si>
    <t>CS-SH-BEAN BAG-POUR OVER-AL</t>
  </si>
  <si>
    <t>9246959622134</t>
  </si>
  <si>
    <t>GPR-GSU-MEN-POL-MAN-JUN-WHI-M</t>
  </si>
  <si>
    <t>9267457489173</t>
  </si>
  <si>
    <t>GPR-GBA-MEN-TSS-ONE-STE-WHI-S</t>
  </si>
  <si>
    <t>Vietnamese White Coffee</t>
  </si>
  <si>
    <t>9281429443505</t>
  </si>
  <si>
    <t>GPR-GOR-KID-TSS-ONE-WBO-JBG-8</t>
  </si>
  <si>
    <t>9295259159727</t>
  </si>
  <si>
    <t>GPR-GCL-MEN-TSO-ONE-EHT-WHI-XS</t>
  </si>
  <si>
    <t>9323209339735</t>
  </si>
  <si>
    <t>GPR-GSU-WOM-TTB-BNE-BLF-WHI-S</t>
  </si>
  <si>
    <t>9348134300704</t>
  </si>
  <si>
    <t>GPR-GOR-MEN-TSP-ONE-TJM-OLI-XL</t>
  </si>
  <si>
    <t>CS-HN-KG-GK HN48</t>
  </si>
  <si>
    <t>CS-HN-KG-HN 48</t>
  </si>
  <si>
    <t>9349863621733</t>
  </si>
  <si>
    <t>GPR-GOR-MEN-TSS-ONE-HCT-WHI-XL</t>
  </si>
  <si>
    <t>9351178652609</t>
  </si>
  <si>
    <t>GPR-GFI-MEN-HLS-ONE-GEC-RED-S</t>
  </si>
  <si>
    <t>LEG IN A BOWL</t>
  </si>
  <si>
    <t>9354758041305</t>
  </si>
  <si>
    <t>GPR-GFI-KID-SWL-ONE-TCS-CRE-6</t>
  </si>
  <si>
    <t>9363284857830</t>
  </si>
  <si>
    <t>GPR-GSL-KID-TTS-ONE-GL2-RED-2</t>
  </si>
  <si>
    <t>CS-HN-KG-GINKGO 87</t>
  </si>
  <si>
    <t>9399126657238</t>
  </si>
  <si>
    <t>GPR-GOR-MEN-TSS-ONE-VTM-WHI-S</t>
  </si>
  <si>
    <t>9403205859434</t>
  </si>
  <si>
    <t>GPR-GBA-MEN-TSS-ONE-XLO-BLK-L</t>
  </si>
  <si>
    <t>Sisley</t>
  </si>
  <si>
    <t>9427224785697</t>
  </si>
  <si>
    <t>GPR-GOR-KID-TSS-ONE-WBO-JBG-6</t>
  </si>
  <si>
    <t>Vincent</t>
  </si>
  <si>
    <t>CS-SH-POWDERBOX-OR-PL</t>
  </si>
  <si>
    <t>Pleiku Blend Organic200G</t>
  </si>
  <si>
    <t>9465768381838</t>
  </si>
  <si>
    <t>GPR-GOR-MEN-TSP-ONE-HAI-BLK-M</t>
  </si>
  <si>
    <t>9475461243500</t>
  </si>
  <si>
    <t>GPR-GBA-MEN-TSS-ONE-TLT-BLK-L</t>
  </si>
  <si>
    <t>9477835484809</t>
  </si>
  <si>
    <t>GPR-GOR-MEN-TSS-HNE-FPC-BDE-XL</t>
  </si>
  <si>
    <t>9477961195174</t>
  </si>
  <si>
    <t>GPR-GOR-MEN-TSS-HNE-FPC-OLI-XXL</t>
  </si>
  <si>
    <t>9478877464835</t>
  </si>
  <si>
    <t>GPR-GOR-MEN-TSS-HNE-FPC-OLI-XL</t>
  </si>
  <si>
    <t>9479377140779</t>
  </si>
  <si>
    <t>GPR-GSL-KID-APP-BNE-HOA-WHI-8</t>
  </si>
  <si>
    <t>CARNOLOTUS PARADISE</t>
  </si>
  <si>
    <t>CS-HN-KG-GINKGO 93</t>
  </si>
  <si>
    <t>9501116921803</t>
  </si>
  <si>
    <t>GPR-GOR-MEN-TSS-ONE-TJM-OLI-M</t>
  </si>
  <si>
    <t>9536349446472</t>
  </si>
  <si>
    <t>GPR-GBA-MEN-TSS-ONE-TLT-BLK-S</t>
  </si>
  <si>
    <t>9540516714004</t>
  </si>
  <si>
    <t>GPR-GBA-MEN-TSP-ONE-TJM-OLI-S</t>
  </si>
  <si>
    <t>9546625657300</t>
  </si>
  <si>
    <t>GPR-GSL-KID-TSS-ONE-DHT-ORA-6</t>
  </si>
  <si>
    <t>9547237812354</t>
  </si>
  <si>
    <t>GINKGO</t>
  </si>
  <si>
    <t>GPR-OTH-UNI-BAG-OTH-GKO-CRE-0</t>
  </si>
  <si>
    <t>Bộ cờ vua-Chess</t>
  </si>
  <si>
    <t>9575749248637</t>
  </si>
  <si>
    <t>GPR-GSL-KID-TSS-ONE-TJM-GPE-10</t>
  </si>
  <si>
    <t>9575964184635</t>
  </si>
  <si>
    <t>GPR-GSU-MEN-POL-MAN-FLH-WHI-S</t>
  </si>
  <si>
    <t>Vietnamese Egg Coffee</t>
  </si>
  <si>
    <t>9609842522407</t>
  </si>
  <si>
    <t>GPR-GLI-MEN-SIS-MAN-LOG-CAM-M</t>
  </si>
  <si>
    <t>9627385810478</t>
  </si>
  <si>
    <t>GPR-GSU-WOM-TTB-BNE-RDY-WHI-S</t>
  </si>
  <si>
    <t>Coconut Soap</t>
  </si>
  <si>
    <t>9639975222004</t>
  </si>
  <si>
    <t>GPR-GSU-WOM-PZE-ONE-GL2-BJL-XL</t>
  </si>
  <si>
    <t>9651350725733</t>
  </si>
  <si>
    <t>GPR-GOR-KID-TSS-ONE-STA-RED-4</t>
  </si>
  <si>
    <t>Vietnamese Black Coffee</t>
  </si>
  <si>
    <t>CS-HN-KG-GK LL125</t>
  </si>
  <si>
    <t>CS-HN-KG-GK HA 132</t>
  </si>
  <si>
    <t>9669766665376</t>
  </si>
  <si>
    <t>GPR-OTH-UNI-SOU-LUG-XLO-NAV-0</t>
  </si>
  <si>
    <t>9678627540028</t>
  </si>
  <si>
    <t>GPR-GCV-MEN-SIS-BUT-JUN-WHI-XXL</t>
  </si>
  <si>
    <t>9686486055348</t>
  </si>
  <si>
    <t>GPR-GCV-MEN-SIS-BUT-JUN-WHI-XL</t>
  </si>
  <si>
    <t>Men's Bags
Sisley</t>
  </si>
  <si>
    <t>9699411091038</t>
  </si>
  <si>
    <t>GPR-GSP-MEN-POL-MAN-SHU-BLK-XXL</t>
  </si>
  <si>
    <t>9703076192600</t>
  </si>
  <si>
    <t>GPR-GOR-KID-TSS-ONE-SDS-WHI-12</t>
  </si>
  <si>
    <t>FCB  Avocado &amp; Geranium</t>
  </si>
  <si>
    <t>Chặn giấy hạt cà phê RuNam</t>
  </si>
  <si>
    <t>9725008978502</t>
  </si>
  <si>
    <t>Basket Sweater</t>
  </si>
  <si>
    <t>GPR-GFI-MEN-SWL-ONE-BTS-NAV-S</t>
  </si>
  <si>
    <t>CS-HN-KG-GINKGO 33</t>
  </si>
  <si>
    <t>CS-HN-KG-GK HA 141</t>
  </si>
  <si>
    <t>9731841902574</t>
  </si>
  <si>
    <t>GPR-GBA-MEN-TSS-ONE-TPO-YEL-L</t>
  </si>
  <si>
    <t>9735375175275</t>
  </si>
  <si>
    <t>GPR-GOR-KID-TSS-ONE-DDU-BOR-8</t>
  </si>
  <si>
    <t>9736741180435</t>
  </si>
  <si>
    <t>GPR-GOR-WOM-TSP-ONE-DRF-WHI-L</t>
  </si>
  <si>
    <t>CS-SH-BEAN BAG-POUR OVER-KS</t>
  </si>
  <si>
    <t>9739562919970</t>
  </si>
  <si>
    <t>GPR-GOR-MEN-TSP-ONE-JUN-JBG-M</t>
  </si>
  <si>
    <t>9741594025642</t>
  </si>
  <si>
    <t>GPR-GCL-WOM-CRO-ONE-TNT-WHI-L</t>
  </si>
  <si>
    <t>9746441379978</t>
  </si>
  <si>
    <t>GPR-GPI-MEN-POL-RIB-LOG-AGD-M</t>
  </si>
  <si>
    <t>9768323336275</t>
  </si>
  <si>
    <t>GPR-GBA-MEN-TSS-ONE-GVT-WHI-XXL</t>
  </si>
  <si>
    <t>9780032541009</t>
  </si>
  <si>
    <t>GPR-GBA-MEN-TSS-ONE-VTM-GRE-M</t>
  </si>
  <si>
    <t>9780795257773</t>
  </si>
  <si>
    <t>GPR-GOR-MEN-TSS-ONE-HHA-WHI-L</t>
  </si>
  <si>
    <t>9783195473507</t>
  </si>
  <si>
    <t>GPR-OTH-UNI-SOU-HFS-RTE-GRN-0</t>
  </si>
  <si>
    <t>CS-SH-BEAN BOX-OR-PL</t>
  </si>
  <si>
    <t>Pleiku Blend Organic 200G</t>
  </si>
  <si>
    <t>CA PARADISE ZOOM RIGHT</t>
  </si>
  <si>
    <t>CS-SH-DRIP12-VN</t>
  </si>
  <si>
    <t>VN Collection</t>
  </si>
  <si>
    <t>9806060112131</t>
  </si>
  <si>
    <t>GPR-GBA-MEN-TSS-ONE-STE-WHI-XXL</t>
  </si>
  <si>
    <t>9810185045779</t>
  </si>
  <si>
    <t>GPR-OTH-UNI-BAG-PCE-PCE-GPE-0</t>
  </si>
  <si>
    <t>9818096187670</t>
  </si>
  <si>
    <t>GPR-OTH-UNI-SOU-HFS-HCT-BLU-0</t>
  </si>
  <si>
    <t>Ruby Plum Kombucha</t>
  </si>
  <si>
    <t>9858396875273</t>
  </si>
  <si>
    <t>GPR-GOR-MEN-TSS-HNE-FPC-BDE-XXL</t>
  </si>
  <si>
    <t>9866948325107</t>
  </si>
  <si>
    <t>GPR-GOR-MEN-TSS-ONE-STE-WHI-M</t>
  </si>
  <si>
    <t>9869739351309</t>
  </si>
  <si>
    <t>GPR-GOR-MEN-TSS-ONE-URB-JBG-S</t>
  </si>
  <si>
    <t>9874626925532</t>
  </si>
  <si>
    <t>GPR-GSP-MEN-POL-MAN-LOG-BLK-XL</t>
  </si>
  <si>
    <t>9899330943832</t>
  </si>
  <si>
    <t>GPR-GLI-MEN-SHS-BBT-LIN-WHI-S</t>
  </si>
  <si>
    <t>S I A DROWNING WORLD</t>
  </si>
  <si>
    <t>Contemporary VN Gin</t>
  </si>
  <si>
    <t>9908044118105</t>
  </si>
  <si>
    <t>GPR-GOR-MEN-TSS-ONE-STC-WHI-XL</t>
  </si>
  <si>
    <t>9917091990749</t>
  </si>
  <si>
    <t>GPR-GSL-KID-TSS-ONE-AUL-WHI-8</t>
  </si>
  <si>
    <t>9919632272703</t>
  </si>
  <si>
    <t>Ginkgo Leaf Veins</t>
  </si>
  <si>
    <t>GPR-OTH-UNI-SOU-NBS-GLV-GRN-A6</t>
  </si>
  <si>
    <t>SAKE CLASSIC</t>
  </si>
  <si>
    <t>9941939222020</t>
  </si>
  <si>
    <t>GPR-OTH-UNI-HWR-NLH-FSK-WHI-L</t>
  </si>
  <si>
    <t>9953790298236</t>
  </si>
  <si>
    <t>GPR-GBA-MEN-TSP-ONE-JUN-JBG-M</t>
  </si>
  <si>
    <t>OPIUM OF THE PEOPLE N1487</t>
  </si>
  <si>
    <t>9972776181775</t>
  </si>
  <si>
    <t>GPR-GOR-KID-TSS-ONE-VNM-GRN-8</t>
  </si>
  <si>
    <t>9998563068500</t>
  </si>
  <si>
    <t>GPR-GFI-KID-SWL-ONE-TCS-CRE-2</t>
  </si>
  <si>
    <t>9098322150979</t>
  </si>
  <si>
    <t>GPR-GOR-WOM-PZE-ONE-HHA-WHI-L</t>
  </si>
  <si>
    <t>6972110709293</t>
  </si>
  <si>
    <t>GPR-GOR-WOM-PZE-ONE-HHA-WHI-M</t>
  </si>
  <si>
    <t>9680056147280</t>
  </si>
  <si>
    <t>GPR-GOR-WOM-PZE-ONE-HHA-WHI-S</t>
  </si>
  <si>
    <t>1082611030781</t>
  </si>
  <si>
    <t>GPR-GOR-WOM-PZE-ONE-HHA-WHI-XL</t>
  </si>
  <si>
    <t>4149863239700</t>
  </si>
  <si>
    <t>4806767517876</t>
  </si>
  <si>
    <t>4707936098205</t>
  </si>
  <si>
    <t>7974067088970</t>
  </si>
  <si>
    <t>GPR-GCV-WOM-BLA-BNE-WOL-WHI-XL</t>
  </si>
  <si>
    <t>9376548592408</t>
  </si>
  <si>
    <t>GPR-GOR-MEN-HCN-ONE-HNC-WHI-L</t>
  </si>
  <si>
    <t>6766100064109</t>
  </si>
  <si>
    <t>GPR-GOR-MEN-HCN-ONE-HNC-WHI-M</t>
  </si>
  <si>
    <t>4655585023201</t>
  </si>
  <si>
    <t>GPR-GOR-MEN-HCN-ONE-HNC-WHI-S</t>
  </si>
  <si>
    <t>9836166005075</t>
  </si>
  <si>
    <t>GPR-GOR-MEN-HCN-ONE-HNC-WHI-XL</t>
  </si>
  <si>
    <t>HAM</t>
  </si>
  <si>
    <t>8544372738113</t>
  </si>
  <si>
    <t>GPR-GSU-KID-TSS-ONE-SDS-YEL-2</t>
  </si>
  <si>
    <t>3866928333258</t>
  </si>
  <si>
    <t>GPR-GSU-KID-TSS-ONE-SDS-YEL-4</t>
  </si>
  <si>
    <t>1850255636672</t>
  </si>
  <si>
    <t>GPR-GSU-KID-TSS-ONE-SDS-YEL-8</t>
  </si>
  <si>
    <t>9228849525329</t>
  </si>
  <si>
    <t>GPR-GSU-KID-TSS-ONE-SDS-YEL-10</t>
  </si>
  <si>
    <t>6092405176781</t>
  </si>
  <si>
    <t>GPR-GSU-KID-TSS-ONE-SDS-YEL-12</t>
  </si>
  <si>
    <t>UPC</t>
  </si>
  <si>
    <t>GPR</t>
  </si>
  <si>
    <t>Gender</t>
  </si>
  <si>
    <t>Style</t>
  </si>
  <si>
    <t>Category</t>
  </si>
  <si>
    <t>GINKGO VIETNAM</t>
  </si>
  <si>
    <t xml:space="preserve">PRODUCT LIST </t>
  </si>
  <si>
    <t>A. MÃ SKU</t>
  </si>
  <si>
    <t>VD: GO-M-PL-MA-LG-RP-M</t>
  </si>
  <si>
    <t xml:space="preserve"> CÁC TRƯỜNG BẮT BUỘC</t>
  </si>
  <si>
    <t>CODE</t>
  </si>
  <si>
    <t>GIẢI MÃ</t>
  </si>
  <si>
    <t>SỐ KÝ TỰ</t>
  </si>
  <si>
    <t>CHẤT LIỆU/MATERIAL</t>
  </si>
  <si>
    <t>GOR</t>
  </si>
  <si>
    <t>ORGANIC</t>
  </si>
  <si>
    <t>GIỚI TÍNH/SEX</t>
  </si>
  <si>
    <t>MEN</t>
  </si>
  <si>
    <t>CHỦNG LOẠI/CATEGORIES</t>
  </si>
  <si>
    <t>POL</t>
  </si>
  <si>
    <t>POLO</t>
  </si>
  <si>
    <t>KIỂU DÁNG/STYLE</t>
  </si>
  <si>
    <t>MSL</t>
  </si>
  <si>
    <t>MANDARIN SHORT SLEEVES</t>
  </si>
  <si>
    <t xml:space="preserve">TÊN DESIGN </t>
  </si>
  <si>
    <t>LOG</t>
  </si>
  <si>
    <t>MÀU SẮC</t>
  </si>
  <si>
    <t>RPL</t>
  </si>
  <si>
    <t>RED PLUM</t>
  </si>
  <si>
    <t>SIZE</t>
  </si>
  <si>
    <t>M</t>
  </si>
  <si>
    <t>Tổng 21 ký tự</t>
  </si>
  <si>
    <t>Các trường cách nhau bằng dấu gạch ngang "-"</t>
  </si>
  <si>
    <t>B. BẢNG MÃ CHI TIẾT.</t>
  </si>
  <si>
    <t>Quy tắc viết tắt</t>
  </si>
  <si>
    <t>Bỏ các từ phụ như “of”, “and”, “for”</t>
  </si>
  <si>
    <t>Lấy 1–3 chữ cái đầu của mỗi từ chính, nếu trùng thì lấy 2 chữ cái đầu và 1 chữ cái cuối</t>
  </si>
  <si>
    <t>Tổng mã dài 3 ký tự</t>
  </si>
  <si>
    <t>HÌNH THỨC KINH DOANH</t>
  </si>
  <si>
    <t>1.LOẠI VẢI/ MATERIAL/ SUPPLIERS</t>
  </si>
  <si>
    <t>2. GIỚI TÍNH/GENDER</t>
  </si>
  <si>
    <t>3. CHỦNG LOẠI/ CATEGORIES</t>
  </si>
  <si>
    <t>4. CHỦNG LOẠI KIỂU DÁNG CHI TIẾT/STYLE</t>
  </si>
  <si>
    <t>5.THIẾT KẾ/DESIGN</t>
  </si>
  <si>
    <t>6. MÀU SẮC/ 
COLOR</t>
  </si>
  <si>
    <t>7. SIZE</t>
  </si>
  <si>
    <t>NO</t>
  </si>
  <si>
    <t xml:space="preserve"> NAME</t>
  </si>
  <si>
    <t>TÊN TIẾNG VIỆT</t>
  </si>
  <si>
    <t>EXAMPLE/GHI CHÚ</t>
  </si>
  <si>
    <t>FABRIC NAME</t>
  </si>
  <si>
    <t>CODE CŨ</t>
  </si>
  <si>
    <t>CODE MỚI</t>
  </si>
  <si>
    <t>NAME</t>
  </si>
  <si>
    <t>GHI CHÚ</t>
  </si>
  <si>
    <t>NOTE</t>
  </si>
  <si>
    <t>STYLE NAME</t>
  </si>
  <si>
    <t>Self-Manufactured / In-house Production</t>
  </si>
  <si>
    <t>Ginkgo sản xuất</t>
  </si>
  <si>
    <t>Organic</t>
  </si>
  <si>
    <t>GO</t>
  </si>
  <si>
    <t>Men</t>
  </si>
  <si>
    <t>nam</t>
  </si>
  <si>
    <t>APPAREL</t>
  </si>
  <si>
    <t>TOP</t>
  </si>
  <si>
    <t>I&gt;</t>
  </si>
  <si>
    <t>1_GK</t>
  </si>
  <si>
    <t>Abstract Calligraphy</t>
  </si>
  <si>
    <t>AC</t>
  </si>
  <si>
    <t>ACY</t>
  </si>
  <si>
    <t>Stop</t>
  </si>
  <si>
    <t>DSP</t>
  </si>
  <si>
    <t xml:space="preserve">
Havana Black</t>
  </si>
  <si>
    <t>HA BK</t>
  </si>
  <si>
    <t>HBK</t>
  </si>
  <si>
    <t>Co-production / Collaborative Production</t>
  </si>
  <si>
    <t>Hợp tác sản xuất</t>
  </si>
  <si>
    <t>GCO</t>
  </si>
  <si>
    <t>Kết hợp với đối tác để đồng sở hữu</t>
  </si>
  <si>
    <t>Special</t>
  </si>
  <si>
    <t>GS</t>
  </si>
  <si>
    <t>GSL</t>
  </si>
  <si>
    <t>Women</t>
  </si>
  <si>
    <t>W</t>
  </si>
  <si>
    <t>WOM</t>
  </si>
  <si>
    <t>nữ</t>
  </si>
  <si>
    <t>Polo Short sleeves</t>
  </si>
  <si>
    <t>Áo phông cổ bẻ tay lỡ</t>
  </si>
  <si>
    <t>PL</t>
  </si>
  <si>
    <t>Mandarin Collar</t>
  </si>
  <si>
    <t xml:space="preserve">cổ đứng </t>
  </si>
  <si>
    <t>MA</t>
  </si>
  <si>
    <t>MAN</t>
  </si>
  <si>
    <t>Abundance</t>
  </si>
  <si>
    <t>AB</t>
  </si>
  <si>
    <t>ABU</t>
  </si>
  <si>
    <t xml:space="preserve">
HM Orange</t>
  </si>
  <si>
    <t>HM OR</t>
  </si>
  <si>
    <t>HOE</t>
  </si>
  <si>
    <t>Wholesale Purchase / Outright Purchase</t>
  </si>
  <si>
    <t>Mua đứt</t>
  </si>
  <si>
    <t>CPU</t>
  </si>
  <si>
    <t>Supima</t>
  </si>
  <si>
    <t>GM</t>
  </si>
  <si>
    <t>GSU</t>
  </si>
  <si>
    <t>Kid</t>
  </si>
  <si>
    <t>K</t>
  </si>
  <si>
    <t>KID</t>
  </si>
  <si>
    <t>trẻ em</t>
  </si>
  <si>
    <t>T-Shirt Short Sleeves</t>
  </si>
  <si>
    <t>Áo thun ngắn tay</t>
  </si>
  <si>
    <t>SS</t>
  </si>
  <si>
    <t>TSS</t>
  </si>
  <si>
    <t>Classic Collar</t>
  </si>
  <si>
    <t>cổ thường</t>
  </si>
  <si>
    <t>CL</t>
  </si>
  <si>
    <t>CLA</t>
  </si>
  <si>
    <t>Alphabet</t>
  </si>
  <si>
    <t>AL</t>
  </si>
  <si>
    <t>ALP</t>
  </si>
  <si>
    <t xml:space="preserve">
Natural</t>
  </si>
  <si>
    <t>NAT</t>
  </si>
  <si>
    <t>Consignment</t>
  </si>
  <si>
    <t>Ký gửi</t>
  </si>
  <si>
    <t>CCO</t>
  </si>
  <si>
    <t>Spandex</t>
  </si>
  <si>
    <t>GP</t>
  </si>
  <si>
    <t>GSP</t>
  </si>
  <si>
    <t>Unisex</t>
  </si>
  <si>
    <t>UN</t>
  </si>
  <si>
    <t>UNI</t>
  </si>
  <si>
    <t>Top midi sleeves</t>
  </si>
  <si>
    <t>Áo thun tay lỡ</t>
  </si>
  <si>
    <t>MS</t>
  </si>
  <si>
    <t>TSM</t>
  </si>
  <si>
    <t>Red Daisy Pique</t>
  </si>
  <si>
    <t>Button-down Collar</t>
  </si>
  <si>
    <t>cổ thường có nút</t>
  </si>
  <si>
    <t>BD</t>
  </si>
  <si>
    <t>BUT</t>
  </si>
  <si>
    <t>APH</t>
  </si>
  <si>
    <t xml:space="preserve">
Purple</t>
  </si>
  <si>
    <t>PU</t>
  </si>
  <si>
    <t>PUR</t>
  </si>
  <si>
    <t>Basic</t>
  </si>
  <si>
    <t>GB</t>
  </si>
  <si>
    <t>GBA</t>
  </si>
  <si>
    <t>T-shirts long sleeves</t>
  </si>
  <si>
    <t>Áo thun dài tay</t>
  </si>
  <si>
    <t>TLS</t>
  </si>
  <si>
    <t>TSL</t>
  </si>
  <si>
    <t>Ribban</t>
  </si>
  <si>
    <t>cổ bo gân</t>
  </si>
  <si>
    <t>RI</t>
  </si>
  <si>
    <t>RIB</t>
  </si>
  <si>
    <t>AUL</t>
  </si>
  <si>
    <t>GK</t>
  </si>
  <si>
    <t>???????</t>
  </si>
  <si>
    <t>FG</t>
  </si>
  <si>
    <t>Classic</t>
  </si>
  <si>
    <t>GCL</t>
  </si>
  <si>
    <t>Dành cho 1 số mẫu Oversize</t>
  </si>
  <si>
    <t>T-Shirt Oversized</t>
  </si>
  <si>
    <t>Áo thun dáng rộng</t>
  </si>
  <si>
    <t>OS</t>
  </si>
  <si>
    <t>TSO</t>
  </si>
  <si>
    <t>Crew neck classic</t>
  </si>
  <si>
    <t xml:space="preserve">cổ tròn </t>
  </si>
  <si>
    <t>O</t>
  </si>
  <si>
    <t>ONE</t>
  </si>
  <si>
    <t>BLN</t>
  </si>
  <si>
    <t>????????</t>
  </si>
  <si>
    <t>ST</t>
  </si>
  <si>
    <t>Cotton Veil</t>
  </si>
  <si>
    <t>GC</t>
  </si>
  <si>
    <t>GCV</t>
  </si>
  <si>
    <t>T-shirts Pocket Short Sleeves</t>
  </si>
  <si>
    <t>Áo thun có túi tay ngắn</t>
  </si>
  <si>
    <t>PO</t>
  </si>
  <si>
    <t>TSP</t>
  </si>
  <si>
    <t>High crew neck classic</t>
  </si>
  <si>
    <t xml:space="preserve">cổ tròn cao </t>
  </si>
  <si>
    <t>HCN</t>
  </si>
  <si>
    <t>HNE</t>
  </si>
  <si>
    <t>BF</t>
  </si>
  <si>
    <t>BLF</t>
  </si>
  <si>
    <t>Running Item</t>
  </si>
  <si>
    <t>Almond Toast</t>
  </si>
  <si>
    <t>ATT</t>
  </si>
  <si>
    <t>XS</t>
  </si>
  <si>
    <t>Khaki</t>
  </si>
  <si>
    <t>GKK</t>
  </si>
  <si>
    <t>T-Shirt Open Back</t>
  </si>
  <si>
    <t>Áo thun xẻ sau tay ngắn</t>
  </si>
  <si>
    <t>SSS</t>
  </si>
  <si>
    <t>TSB</t>
  </si>
  <si>
    <t xml:space="preserve">Hàng Hoa </t>
  </si>
  <si>
    <t>Double Crew Neck</t>
  </si>
  <si>
    <t>cổ tròn kép</t>
  </si>
  <si>
    <t>D</t>
  </si>
  <si>
    <t>DNE</t>
  </si>
  <si>
    <t>Banh Chung</t>
  </si>
  <si>
    <t>BC</t>
  </si>
  <si>
    <t>BCG</t>
  </si>
  <si>
    <t>AT</t>
  </si>
  <si>
    <t>S</t>
  </si>
  <si>
    <t xml:space="preserve">Pique </t>
  </si>
  <si>
    <t>GPI</t>
  </si>
  <si>
    <t>Apple</t>
  </si>
  <si>
    <t>Áo trái táo</t>
  </si>
  <si>
    <t>AP</t>
  </si>
  <si>
    <t>APP</t>
  </si>
  <si>
    <t>V-neck</t>
  </si>
  <si>
    <t>cổ chữ V</t>
  </si>
  <si>
    <t>V</t>
  </si>
  <si>
    <t>VNE</t>
  </si>
  <si>
    <t>BTS</t>
  </si>
  <si>
    <t>Amber Gold</t>
  </si>
  <si>
    <t>AG</t>
  </si>
  <si>
    <t>AGD</t>
  </si>
  <si>
    <t>Fish Skin Import</t>
  </si>
  <si>
    <t>GFI</t>
  </si>
  <si>
    <t>Freesize</t>
  </si>
  <si>
    <t xml:space="preserve">Áo cổ thuyền dáng Free </t>
  </si>
  <si>
    <t>FZ</t>
  </si>
  <si>
    <t>FZE</t>
  </si>
  <si>
    <t>Free Size</t>
  </si>
  <si>
    <t>Boat Neck</t>
  </si>
  <si>
    <t>cổ thuyền</t>
  </si>
  <si>
    <t>BNE</t>
  </si>
  <si>
    <t>Mã cũ : cổ M</t>
  </si>
  <si>
    <t>Bất Tiện</t>
  </si>
  <si>
    <t>BT</t>
  </si>
  <si>
    <t>BTN</t>
  </si>
  <si>
    <t>Army</t>
  </si>
  <si>
    <t>AR</t>
  </si>
  <si>
    <t>ARM</t>
  </si>
  <si>
    <t>L</t>
  </si>
  <si>
    <t>Fish Skin</t>
  </si>
  <si>
    <t>GF</t>
  </si>
  <si>
    <t>GFN</t>
  </si>
  <si>
    <t>Zipper Top</t>
  </si>
  <si>
    <t>Áo ngắn tay có khóa kéo ở ngực</t>
  </si>
  <si>
    <t>ZT</t>
  </si>
  <si>
    <t>ZTP</t>
  </si>
  <si>
    <t>Double-Sided Crew Neck classic</t>
  </si>
  <si>
    <t>cổ tròn mặc được cả 2 mặt</t>
  </si>
  <si>
    <t>DS</t>
  </si>
  <si>
    <t>INE</t>
  </si>
  <si>
    <t>Beach People</t>
  </si>
  <si>
    <t>BP</t>
  </si>
  <si>
    <t>BEP</t>
  </si>
  <si>
    <t>Ash Brown</t>
  </si>
  <si>
    <t>ABN</t>
  </si>
  <si>
    <t>XL</t>
  </si>
  <si>
    <t>Linen</t>
  </si>
  <si>
    <t>GL</t>
  </si>
  <si>
    <t>GLI</t>
  </si>
  <si>
    <t>Plus Size</t>
  </si>
  <si>
    <t>Áo cổ tròn dáng Plus size</t>
  </si>
  <si>
    <t>PZ</t>
  </si>
  <si>
    <t>PZE</t>
  </si>
  <si>
    <t>U neck</t>
  </si>
  <si>
    <t>cổ U</t>
  </si>
  <si>
    <t>U</t>
  </si>
  <si>
    <t>UNE</t>
  </si>
  <si>
    <t>Bear</t>
  </si>
  <si>
    <t>BE</t>
  </si>
  <si>
    <t>BEA</t>
  </si>
  <si>
    <t>Asphalt</t>
  </si>
  <si>
    <t>AS</t>
  </si>
  <si>
    <t>AST</t>
  </si>
  <si>
    <t>XXL</t>
  </si>
  <si>
    <t>Canvas</t>
  </si>
  <si>
    <t>GCA</t>
  </si>
  <si>
    <t>Shell top</t>
  </si>
  <si>
    <t>Áo cổ tròn dáng con sò</t>
  </si>
  <si>
    <t>STP</t>
  </si>
  <si>
    <t>Off-Shoulder</t>
  </si>
  <si>
    <t>trễ vai</t>
  </si>
  <si>
    <t>OFF</t>
  </si>
  <si>
    <t>BB</t>
  </si>
  <si>
    <t>BBP</t>
  </si>
  <si>
    <t>Seasonal</t>
  </si>
  <si>
    <t>Baby Blue</t>
  </si>
  <si>
    <t>BB BL</t>
  </si>
  <si>
    <t>BBL</t>
  </si>
  <si>
    <t>FZ1</t>
  </si>
  <si>
    <t>Super Soft</t>
  </si>
  <si>
    <t>GSF</t>
  </si>
  <si>
    <t>Dừng sản xuất</t>
  </si>
  <si>
    <t>Rectangle pocket</t>
  </si>
  <si>
    <t>Áo vuông có túi</t>
  </si>
  <si>
    <t>RT</t>
  </si>
  <si>
    <t>RPT</t>
  </si>
  <si>
    <t>II&gt;</t>
  </si>
  <si>
    <t>BOTTOM</t>
  </si>
  <si>
    <t>Beer</t>
  </si>
  <si>
    <t>BEE</t>
  </si>
  <si>
    <t>FZ2</t>
  </si>
  <si>
    <t>Cotton Twill</t>
  </si>
  <si>
    <t>GCT</t>
  </si>
  <si>
    <t xml:space="preserve">Shirt Short Sleeves </t>
  </si>
  <si>
    <t>Áo sơ mi tay ngắn</t>
  </si>
  <si>
    <t>SHI</t>
  </si>
  <si>
    <t>SIS</t>
  </si>
  <si>
    <t>Elastic Waist</t>
  </si>
  <si>
    <t>lưng thun</t>
  </si>
  <si>
    <t>EB</t>
  </si>
  <si>
    <t>EBT</t>
  </si>
  <si>
    <t>BPP</t>
  </si>
  <si>
    <t>Baby Blue Black Dot</t>
  </si>
  <si>
    <t>BBBD</t>
  </si>
  <si>
    <t>3BD</t>
  </si>
  <si>
    <t>36</t>
  </si>
  <si>
    <t>Visco</t>
  </si>
  <si>
    <t>GV</t>
  </si>
  <si>
    <t>GVI</t>
  </si>
  <si>
    <t xml:space="preserve">Shirt Long Sleeves </t>
  </si>
  <si>
    <t>Áo sơ mi tay dài</t>
  </si>
  <si>
    <t>SIL</t>
  </si>
  <si>
    <t>Flat-Front</t>
  </si>
  <si>
    <t>cạp cúc lưng thun sau</t>
  </si>
  <si>
    <t>FL</t>
  </si>
  <si>
    <t>FBT</t>
  </si>
  <si>
    <t>Bird</t>
  </si>
  <si>
    <t>BI</t>
  </si>
  <si>
    <t>BIR</t>
  </si>
  <si>
    <t>Baby Pink</t>
  </si>
  <si>
    <t>BPK</t>
  </si>
  <si>
    <t>Café</t>
  </si>
  <si>
    <t>GCF</t>
  </si>
  <si>
    <t xml:space="preserve">Blouse Long Sleeves </t>
  </si>
  <si>
    <t>BLS</t>
  </si>
  <si>
    <t>Drawstring Waist</t>
  </si>
  <si>
    <t>lưng dây rút</t>
  </si>
  <si>
    <t>DW</t>
  </si>
  <si>
    <t>DBT</t>
  </si>
  <si>
    <t>Bit Mat Bat De</t>
  </si>
  <si>
    <t>BM</t>
  </si>
  <si>
    <t>BIT</t>
  </si>
  <si>
    <t>N'GO</t>
  </si>
  <si>
    <t>Beige Sunflower</t>
  </si>
  <si>
    <t>BS</t>
  </si>
  <si>
    <t>BSR</t>
  </si>
  <si>
    <t>39</t>
  </si>
  <si>
    <t>Eddy Bags</t>
  </si>
  <si>
    <t>EC</t>
  </si>
  <si>
    <t>ECB</t>
  </si>
  <si>
    <t xml:space="preserve">Blouse Short Sleeves </t>
  </si>
  <si>
    <t>BLL</t>
  </si>
  <si>
    <t>Button Waist</t>
  </si>
  <si>
    <t>lưng cúc</t>
  </si>
  <si>
    <t>BW</t>
  </si>
  <si>
    <t>BBT</t>
  </si>
  <si>
    <t>BSE</t>
  </si>
  <si>
    <t>BK</t>
  </si>
  <si>
    <t>BLK</t>
  </si>
  <si>
    <t>40</t>
  </si>
  <si>
    <t>Bạc Liêu</t>
  </si>
  <si>
    <t>BL</t>
  </si>
  <si>
    <t>Blouse Long Sleeves Asymmetrical</t>
  </si>
  <si>
    <t>Áo sơ mi bất đối xứng</t>
  </si>
  <si>
    <t>LST</t>
  </si>
  <si>
    <t>BLA</t>
  </si>
  <si>
    <t xml:space="preserve">III&gt; </t>
  </si>
  <si>
    <t>HEAD WEAR</t>
  </si>
  <si>
    <t>HWR</t>
  </si>
  <si>
    <t>Buddhaline</t>
  </si>
  <si>
    <t>BUD</t>
  </si>
  <si>
    <t>Black</t>
  </si>
  <si>
    <t>41</t>
  </si>
  <si>
    <t>Lady Triệu</t>
  </si>
  <si>
    <t>GIN</t>
  </si>
  <si>
    <t>LTN</t>
  </si>
  <si>
    <t>Blouse Open Back Short Sleeves</t>
  </si>
  <si>
    <t>Áo sơ mixẻ lưng</t>
  </si>
  <si>
    <t>OT</t>
  </si>
  <si>
    <t>BLB</t>
  </si>
  <si>
    <t>Caps</t>
  </si>
  <si>
    <t>Nón</t>
  </si>
  <si>
    <t>CAP</t>
  </si>
  <si>
    <t>Buffalo</t>
  </si>
  <si>
    <t>BU</t>
  </si>
  <si>
    <t>BUF</t>
  </si>
  <si>
    <t>42</t>
  </si>
  <si>
    <t>Maztermind</t>
  </si>
  <si>
    <t>MTM</t>
  </si>
  <si>
    <t>MAZ</t>
  </si>
  <si>
    <t>Blouse Crop Top</t>
  </si>
  <si>
    <t>Áo sơ mi dáng ngắn</t>
  </si>
  <si>
    <t>CR-SHI</t>
  </si>
  <si>
    <t>BLC</t>
  </si>
  <si>
    <t>Hat</t>
  </si>
  <si>
    <t>HAT</t>
  </si>
  <si>
    <t>Buggies</t>
  </si>
  <si>
    <t>BUG</t>
  </si>
  <si>
    <t>43</t>
  </si>
  <si>
    <t>Mùa Sake</t>
  </si>
  <si>
    <t>SAKE</t>
  </si>
  <si>
    <t>MSA</t>
  </si>
  <si>
    <t>Tank Top Sleeveless</t>
  </si>
  <si>
    <t>Áo sát nách</t>
  </si>
  <si>
    <t>TT-O</t>
  </si>
  <si>
    <t>TTS</t>
  </si>
  <si>
    <t>Băng đô</t>
  </si>
  <si>
    <t>HB</t>
  </si>
  <si>
    <t>HEA</t>
  </si>
  <si>
    <t>Bum Gun</t>
  </si>
  <si>
    <t>BG</t>
  </si>
  <si>
    <t>BGN</t>
  </si>
  <si>
    <t>Black and Red</t>
  </si>
  <si>
    <t>BK&amp;RE</t>
  </si>
  <si>
    <t>BKE</t>
  </si>
  <si>
    <t>44</t>
  </si>
  <si>
    <t>N'Go</t>
  </si>
  <si>
    <t>NGO</t>
  </si>
  <si>
    <t>Tanktop Open Back</t>
  </si>
  <si>
    <t>Áo sát nách xẻ lưng</t>
  </si>
  <si>
    <t>TT-M</t>
  </si>
  <si>
    <t>TTB</t>
  </si>
  <si>
    <t>Dây cột tóc có nơ</t>
  </si>
  <si>
    <t>Ca Phe</t>
  </si>
  <si>
    <t>CPE</t>
  </si>
  <si>
    <t>Black and White</t>
  </si>
  <si>
    <t>BAW</t>
  </si>
  <si>
    <t>BNW</t>
  </si>
  <si>
    <t>45</t>
  </si>
  <si>
    <t>Product Simplizied</t>
  </si>
  <si>
    <t>PS</t>
  </si>
  <si>
    <t>PSD</t>
  </si>
  <si>
    <t>Tanktop Cut-out side (High Low)</t>
  </si>
  <si>
    <t>Áo sát nách đắp eo cổ tròn</t>
  </si>
  <si>
    <t>TT-HL</t>
  </si>
  <si>
    <t>TTU</t>
  </si>
  <si>
    <t>Vietnamese conical hat</t>
  </si>
  <si>
    <t>Nón lá</t>
  </si>
  <si>
    <t>NL</t>
  </si>
  <si>
    <t>NLH</t>
  </si>
  <si>
    <t>CH</t>
  </si>
  <si>
    <t>CHA</t>
  </si>
  <si>
    <t>Black Bulgaro Wash</t>
  </si>
  <si>
    <t>BK BU WA</t>
  </si>
  <si>
    <t>BBW</t>
  </si>
  <si>
    <t>37</t>
  </si>
  <si>
    <t>Vietk nife</t>
  </si>
  <si>
    <t>VK</t>
  </si>
  <si>
    <t>Tanktop Side Slit</t>
  </si>
  <si>
    <t>Áo sát nách xẻ tà đắp vạt</t>
  </si>
  <si>
    <t>ASL</t>
  </si>
  <si>
    <t>TTI</t>
  </si>
  <si>
    <t>V&gt;</t>
  </si>
  <si>
    <t>FOOTWEAR</t>
  </si>
  <si>
    <t>FWR</t>
  </si>
  <si>
    <t>Chirstmas Pattern</t>
  </si>
  <si>
    <t>CP</t>
  </si>
  <si>
    <t>CPN</t>
  </si>
  <si>
    <t>Black Dark Brown</t>
  </si>
  <si>
    <t>BDB</t>
  </si>
  <si>
    <t>38</t>
  </si>
  <si>
    <t>Ben oi'</t>
  </si>
  <si>
    <t>BENOI</t>
  </si>
  <si>
    <t>BEN</t>
  </si>
  <si>
    <t>Long Top Short Sleeves</t>
  </si>
  <si>
    <t>Áo thun dáng dài tay ngắn</t>
  </si>
  <si>
    <t>LT</t>
  </si>
  <si>
    <t>LTS</t>
  </si>
  <si>
    <t>Slippers</t>
  </si>
  <si>
    <t>Dép</t>
  </si>
  <si>
    <t>SL</t>
  </si>
  <si>
    <t>SLI</t>
  </si>
  <si>
    <t>Color Mixed Short</t>
  </si>
  <si>
    <t>CMS</t>
  </si>
  <si>
    <t>Black Shinny</t>
  </si>
  <si>
    <t>BK SH</t>
  </si>
  <si>
    <t>BSY</t>
  </si>
  <si>
    <t>F1</t>
  </si>
  <si>
    <t>Eugemie Darge</t>
  </si>
  <si>
    <t>ED</t>
  </si>
  <si>
    <t>EDE</t>
  </si>
  <si>
    <t xml:space="preserve">Long Top Long sleeves </t>
  </si>
  <si>
    <t>Áo thun dáng dài tay dài</t>
  </si>
  <si>
    <t>LTL</t>
  </si>
  <si>
    <t>Sneaker</t>
  </si>
  <si>
    <t>Giày thể thao</t>
  </si>
  <si>
    <t>SNE</t>
  </si>
  <si>
    <t>Cơm</t>
  </si>
  <si>
    <t>CO</t>
  </si>
  <si>
    <t>COM</t>
  </si>
  <si>
    <t>Limited</t>
  </si>
  <si>
    <t>black wash</t>
  </si>
  <si>
    <t>BK WA</t>
  </si>
  <si>
    <t>BWH</t>
  </si>
  <si>
    <t>F2</t>
  </si>
  <si>
    <t>Gardenia</t>
  </si>
  <si>
    <t>GN</t>
  </si>
  <si>
    <t>GAR</t>
  </si>
  <si>
    <t xml:space="preserve">Crop Top Long sleeves </t>
  </si>
  <si>
    <t>Áo dáng ngắn tay dài</t>
  </si>
  <si>
    <t>CRL</t>
  </si>
  <si>
    <t>Sandals</t>
  </si>
  <si>
    <t>Dép quai hậu</t>
  </si>
  <si>
    <t>SAN</t>
  </si>
  <si>
    <t>Dalai Lama</t>
  </si>
  <si>
    <t>DL</t>
  </si>
  <si>
    <t>DLA</t>
  </si>
  <si>
    <t>BLW</t>
  </si>
  <si>
    <t>0</t>
  </si>
  <si>
    <t>Hamony</t>
  </si>
  <si>
    <t>HN</t>
  </si>
  <si>
    <t>Crop Top Short Sleeves</t>
  </si>
  <si>
    <t>Áo dáng ngắn tay ngắn</t>
  </si>
  <si>
    <t>CR</t>
  </si>
  <si>
    <t>CRS</t>
  </si>
  <si>
    <t>Flats</t>
  </si>
  <si>
    <t>Giày bệt</t>
  </si>
  <si>
    <t>FLA</t>
  </si>
  <si>
    <t>Deaf</t>
  </si>
  <si>
    <t>DE</t>
  </si>
  <si>
    <t>DEA</t>
  </si>
  <si>
    <t>black wash cobal</t>
  </si>
  <si>
    <t>BK WA CO</t>
  </si>
  <si>
    <t>BWC</t>
  </si>
  <si>
    <t>A5</t>
  </si>
  <si>
    <t>La'Artisan</t>
  </si>
  <si>
    <t>LA</t>
  </si>
  <si>
    <t>LAN</t>
  </si>
  <si>
    <t>Crop Top Tank Top</t>
  </si>
  <si>
    <t>Áo dáng ngắn sát nách</t>
  </si>
  <si>
    <t>CR-TT</t>
  </si>
  <si>
    <t>CRT</t>
  </si>
  <si>
    <t>Leather Shoes</t>
  </si>
  <si>
    <t>Giày da</t>
  </si>
  <si>
    <t>LES</t>
  </si>
  <si>
    <t>Decibel</t>
  </si>
  <si>
    <t>DC</t>
  </si>
  <si>
    <t>DCB</t>
  </si>
  <si>
    <t>black wash right red</t>
  </si>
  <si>
    <t>BWRR</t>
  </si>
  <si>
    <t>BWR</t>
  </si>
  <si>
    <t>A6</t>
  </si>
  <si>
    <t>MARRAKESH</t>
  </si>
  <si>
    <t>ML</t>
  </si>
  <si>
    <t>MAR</t>
  </si>
  <si>
    <t>Crop Top Short Sleeves Crew Neck Oversized</t>
  </si>
  <si>
    <t>Áo dáng ngắn rộng tay ngắn</t>
  </si>
  <si>
    <t>CR-OS</t>
  </si>
  <si>
    <t>CRO</t>
  </si>
  <si>
    <t>SCARVES</t>
  </si>
  <si>
    <t>SCA</t>
  </si>
  <si>
    <t>Deer</t>
  </si>
  <si>
    <t>DEE</t>
  </si>
  <si>
    <t>Blue</t>
  </si>
  <si>
    <t>BLU</t>
  </si>
  <si>
    <t>6x130</t>
  </si>
  <si>
    <t>The Craft House</t>
  </si>
  <si>
    <t>TCH</t>
  </si>
  <si>
    <t>Cardigan</t>
  </si>
  <si>
    <t>Áo khoác</t>
  </si>
  <si>
    <t>CA</t>
  </si>
  <si>
    <t>CAR</t>
  </si>
  <si>
    <t>Scarf</t>
  </si>
  <si>
    <t>Khăn quàng</t>
  </si>
  <si>
    <t>SC</t>
  </si>
  <si>
    <t>SCF</t>
  </si>
  <si>
    <t>Dep To Ong</t>
  </si>
  <si>
    <t>DTO</t>
  </si>
  <si>
    <t>55x55</t>
  </si>
  <si>
    <t>Tohe</t>
  </si>
  <si>
    <t>TH</t>
  </si>
  <si>
    <t>TOH</t>
  </si>
  <si>
    <t xml:space="preserve">Cardigan Japan Long Sleeves </t>
  </si>
  <si>
    <t>Áo khoác nhẹ kiểu Nhật</t>
  </si>
  <si>
    <t>JA</t>
  </si>
  <si>
    <t>CAJ</t>
  </si>
  <si>
    <t>Scarf Silk</t>
  </si>
  <si>
    <t>Khăn lụa</t>
  </si>
  <si>
    <t>SILK</t>
  </si>
  <si>
    <t>SCS</t>
  </si>
  <si>
    <t>Di Choi</t>
  </si>
  <si>
    <t>DCI</t>
  </si>
  <si>
    <t>Blue Depths</t>
  </si>
  <si>
    <t>BDE</t>
  </si>
  <si>
    <t>60x60</t>
  </si>
  <si>
    <t>Dominique Saint Paul</t>
  </si>
  <si>
    <t>Hoodies long sleeves</t>
  </si>
  <si>
    <t>Áo nỉ có mũ tay dài</t>
  </si>
  <si>
    <t>HN-SW-2</t>
  </si>
  <si>
    <t>HLS</t>
  </si>
  <si>
    <t>Scarf Satin Single-Sided</t>
  </si>
  <si>
    <t>Khăn sa-tanh in 1 mặt</t>
  </si>
  <si>
    <t>SC1</t>
  </si>
  <si>
    <t>DI</t>
  </si>
  <si>
    <t>DDU</t>
  </si>
  <si>
    <t>Signature</t>
  </si>
  <si>
    <t>Blue Dot</t>
  </si>
  <si>
    <t>BL DO</t>
  </si>
  <si>
    <t>BDT</t>
  </si>
  <si>
    <t>70x70</t>
  </si>
  <si>
    <t>ODES</t>
  </si>
  <si>
    <t>OD</t>
  </si>
  <si>
    <t>ODE</t>
  </si>
  <si>
    <t xml:space="preserve">Long Top LMP </t>
  </si>
  <si>
    <t>Long top LMP</t>
  </si>
  <si>
    <t>LT1</t>
  </si>
  <si>
    <t>Scarf Satin Double Side Print</t>
  </si>
  <si>
    <t>Khăn sa-tanh in 2 mặt</t>
  </si>
  <si>
    <t>SC2</t>
  </si>
  <si>
    <t>Di Ve</t>
  </si>
  <si>
    <t>DV</t>
  </si>
  <si>
    <t>DVE</t>
  </si>
  <si>
    <t>Blue Jewel</t>
  </si>
  <si>
    <t>BJ</t>
  </si>
  <si>
    <t>BJL</t>
  </si>
  <si>
    <t>90x90</t>
  </si>
  <si>
    <t>Shin Coffee</t>
  </si>
  <si>
    <t>SH</t>
  </si>
  <si>
    <t>Halter Long Top</t>
  </si>
  <si>
    <t>Cổ ôm tròn thân dáng dài</t>
  </si>
  <si>
    <t>LT2</t>
  </si>
  <si>
    <t>Handkerchief</t>
  </si>
  <si>
    <t>Khăn tay</t>
  </si>
  <si>
    <t>HKF</t>
  </si>
  <si>
    <t>Dong Ho Chicken</t>
  </si>
  <si>
    <t>DHC</t>
  </si>
  <si>
    <t>Blue Marble</t>
  </si>
  <si>
    <t>BL MA</t>
  </si>
  <si>
    <t>BME</t>
  </si>
  <si>
    <t>50g</t>
  </si>
  <si>
    <t>TheoragniKoffee</t>
  </si>
  <si>
    <t>TKC</t>
  </si>
  <si>
    <t>Long Tshirt Short sleeves</t>
  </si>
  <si>
    <t>Áo thun dài tay ngắn</t>
  </si>
  <si>
    <t>LT3</t>
  </si>
  <si>
    <t>IV&gt;</t>
  </si>
  <si>
    <t>BAG</t>
  </si>
  <si>
    <t>Dong Ho fish</t>
  </si>
  <si>
    <t>DHF</t>
  </si>
  <si>
    <t>Blue Moon</t>
  </si>
  <si>
    <t>BMN</t>
  </si>
  <si>
    <t>55g</t>
  </si>
  <si>
    <t>Runam</t>
  </si>
  <si>
    <t>RN</t>
  </si>
  <si>
    <t>RUN</t>
  </si>
  <si>
    <t>Beach Tshirt Short Sleeves</t>
  </si>
  <si>
    <t>Áo thun đi biển</t>
  </si>
  <si>
    <t>LT4</t>
  </si>
  <si>
    <t>Ethnic Bag</t>
  </si>
  <si>
    <t>Túi thổ cẩm</t>
  </si>
  <si>
    <t>ETHNIC</t>
  </si>
  <si>
    <t>ETB</t>
  </si>
  <si>
    <t>Dong Ho Gold fish</t>
  </si>
  <si>
    <t>DHGF</t>
  </si>
  <si>
    <t>DHG</t>
  </si>
  <si>
    <t>Blue Patina</t>
  </si>
  <si>
    <t>BL PA</t>
  </si>
  <si>
    <t>BPA</t>
  </si>
  <si>
    <t>70g</t>
  </si>
  <si>
    <t>PETTI CAFÉ</t>
  </si>
  <si>
    <t>PAS</t>
  </si>
  <si>
    <t>Long Coat</t>
  </si>
  <si>
    <t xml:space="preserve">Áo khoác dáng dài </t>
  </si>
  <si>
    <t>LJ</t>
  </si>
  <si>
    <t>Drawstring bag</t>
  </si>
  <si>
    <t>Túi rút</t>
  </si>
  <si>
    <t>DRB</t>
  </si>
  <si>
    <t>Double Bag</t>
  </si>
  <si>
    <t>DB</t>
  </si>
  <si>
    <t>DBG</t>
  </si>
  <si>
    <t>Blue Wash</t>
  </si>
  <si>
    <t>BL WA</t>
  </si>
  <si>
    <t>85g</t>
  </si>
  <si>
    <t>Sweatshirt long sleeves</t>
  </si>
  <si>
    <t>Áo nỉ tay dài</t>
  </si>
  <si>
    <t>HN-SW-1</t>
  </si>
  <si>
    <t>SWL</t>
  </si>
  <si>
    <t>Tote bag</t>
  </si>
  <si>
    <t>Túi vải</t>
  </si>
  <si>
    <t>Double Side tee</t>
  </si>
  <si>
    <t>DST</t>
  </si>
  <si>
    <t>Bordeaux</t>
  </si>
  <si>
    <t>BO</t>
  </si>
  <si>
    <t>BOR</t>
  </si>
  <si>
    <t>100g</t>
  </si>
  <si>
    <t>Ngôi nhà quận 8</t>
  </si>
  <si>
    <t>D8</t>
  </si>
  <si>
    <t>DI8</t>
  </si>
  <si>
    <t>Sweatshirt long sleeves pocket</t>
  </si>
  <si>
    <t>Áo nỉ tay dài túi hai bên</t>
  </si>
  <si>
    <t>SWP</t>
  </si>
  <si>
    <t>Handbag</t>
  </si>
  <si>
    <t>Túi xách tay</t>
  </si>
  <si>
    <t>HDB</t>
  </si>
  <si>
    <t>Dragon</t>
  </si>
  <si>
    <t>DR</t>
  </si>
  <si>
    <t>DRA</t>
  </si>
  <si>
    <t>Bright Red Black</t>
  </si>
  <si>
    <t>BR BK</t>
  </si>
  <si>
    <t>BRB</t>
  </si>
  <si>
    <t>180g</t>
  </si>
  <si>
    <t>Other</t>
  </si>
  <si>
    <t>OTH</t>
  </si>
  <si>
    <t>Sweatshirt crop long sleeves</t>
  </si>
  <si>
    <t>Áo nỉ dáng ngắn tay dài</t>
  </si>
  <si>
    <t>SW-CR</t>
  </si>
  <si>
    <t>SWC</t>
  </si>
  <si>
    <t>Crossbody bag</t>
  </si>
  <si>
    <t>Túi đeo chéo</t>
  </si>
  <si>
    <t>CRB</t>
  </si>
  <si>
    <t>Dragon Dong</t>
  </si>
  <si>
    <t>DD</t>
  </si>
  <si>
    <t>DDG</t>
  </si>
  <si>
    <t>Bright Red Patina</t>
  </si>
  <si>
    <t>BR RE PA</t>
  </si>
  <si>
    <t>BRP</t>
  </si>
  <si>
    <t>250g</t>
  </si>
  <si>
    <t>*3 ký tự</t>
  </si>
  <si>
    <t>DRESS</t>
  </si>
  <si>
    <t>Backpack</t>
  </si>
  <si>
    <t>Balo</t>
  </si>
  <si>
    <t>BPB</t>
  </si>
  <si>
    <t>Dragon Fruit</t>
  </si>
  <si>
    <t>DF</t>
  </si>
  <si>
    <t>DFT</t>
  </si>
  <si>
    <t>Brown</t>
  </si>
  <si>
    <t>BR</t>
  </si>
  <si>
    <t>BRO</t>
  </si>
  <si>
    <t>500g</t>
  </si>
  <si>
    <t>Bias Dress</t>
  </si>
  <si>
    <t>Đầm chéo</t>
  </si>
  <si>
    <t>DBI</t>
  </si>
  <si>
    <t>Shoulder bag</t>
  </si>
  <si>
    <t>Túi đeo vai</t>
  </si>
  <si>
    <t>SB</t>
  </si>
  <si>
    <t>SHB</t>
  </si>
  <si>
    <t>DH</t>
  </si>
  <si>
    <t>DHT</t>
  </si>
  <si>
    <t>18</t>
  </si>
  <si>
    <t>Beach Dress Freesize</t>
  </si>
  <si>
    <t>Đầm đi biển</t>
  </si>
  <si>
    <t>DFR</t>
  </si>
  <si>
    <t>Shopping bag</t>
  </si>
  <si>
    <t>Túi mua sắm</t>
  </si>
  <si>
    <t>SOB</t>
  </si>
  <si>
    <t>DRL</t>
  </si>
  <si>
    <t>Brown Purple Patina</t>
  </si>
  <si>
    <t>BR PU PA</t>
  </si>
  <si>
    <t>14</t>
  </si>
  <si>
    <t>Shift Dres</t>
  </si>
  <si>
    <t>Váy xuông</t>
  </si>
  <si>
    <t>F</t>
  </si>
  <si>
    <t>DSH</t>
  </si>
  <si>
    <t>Cigar cover</t>
  </si>
  <si>
    <t>Bao xì gà</t>
  </si>
  <si>
    <t>CCR</t>
  </si>
  <si>
    <t>DRF</t>
  </si>
  <si>
    <t>BROWNIE</t>
  </si>
  <si>
    <t>B</t>
  </si>
  <si>
    <t>BOX</t>
  </si>
  <si>
    <t>Straight Dress</t>
  </si>
  <si>
    <t>Cigar box</t>
  </si>
  <si>
    <t>Hộp xì gà</t>
  </si>
  <si>
    <t>CBX</t>
  </si>
  <si>
    <t>Duc Toc Bat Dat</t>
  </si>
  <si>
    <t>DT</t>
  </si>
  <si>
    <t>DUC</t>
  </si>
  <si>
    <t>bugaro  wash black</t>
  </si>
  <si>
    <t>BU WA BK</t>
  </si>
  <si>
    <t>BWB</t>
  </si>
  <si>
    <t>Slim Fit Dress Side Slit</t>
  </si>
  <si>
    <t>Váy ôm xẻ tà</t>
  </si>
  <si>
    <t>SF</t>
  </si>
  <si>
    <t>DSF</t>
  </si>
  <si>
    <t>Card Holder</t>
  </si>
  <si>
    <t>Ví nhỏ</t>
  </si>
  <si>
    <t>CHR</t>
  </si>
  <si>
    <t>Durian</t>
  </si>
  <si>
    <t>DU</t>
  </si>
  <si>
    <t>DUR</t>
  </si>
  <si>
    <t>Bulgaro</t>
  </si>
  <si>
    <t>bul</t>
  </si>
  <si>
    <t>55</t>
  </si>
  <si>
    <t>BOTTOMS</t>
  </si>
  <si>
    <t>Clutch</t>
  </si>
  <si>
    <t>Ví cẩm tay</t>
  </si>
  <si>
    <t>CLU</t>
  </si>
  <si>
    <t>Elements</t>
  </si>
  <si>
    <t>EL</t>
  </si>
  <si>
    <t>ELE</t>
  </si>
  <si>
    <t>Bulgaro Patina</t>
  </si>
  <si>
    <t>56</t>
  </si>
  <si>
    <t>Pants slim fit</t>
  </si>
  <si>
    <t>Quần cổ điển</t>
  </si>
  <si>
    <t>PA</t>
  </si>
  <si>
    <t>PAF</t>
  </si>
  <si>
    <t>Wallet</t>
  </si>
  <si>
    <t>WAL</t>
  </si>
  <si>
    <t>Emperor</t>
  </si>
  <si>
    <t>EM</t>
  </si>
  <si>
    <t>EMP</t>
  </si>
  <si>
    <t>Bulgaro Wash</t>
  </si>
  <si>
    <t>BU WA</t>
  </si>
  <si>
    <t>10CM</t>
  </si>
  <si>
    <t>Pants Jogger</t>
  </si>
  <si>
    <t xml:space="preserve">Quần ống túm </t>
  </si>
  <si>
    <t>PAJ</t>
  </si>
  <si>
    <t>Pen Case</t>
  </si>
  <si>
    <t>Túi đựng bút</t>
  </si>
  <si>
    <t>PCE</t>
  </si>
  <si>
    <t>Enjoy</t>
  </si>
  <si>
    <t>EJ</t>
  </si>
  <si>
    <t>EJN</t>
  </si>
  <si>
    <t>Burgundy</t>
  </si>
  <si>
    <t>BDG</t>
  </si>
  <si>
    <t>BUR</t>
  </si>
  <si>
    <t>12CM</t>
  </si>
  <si>
    <t>Wrap pants</t>
  </si>
  <si>
    <t>Quần đắp vạt</t>
  </si>
  <si>
    <t>PAW</t>
  </si>
  <si>
    <t>Ipad Case</t>
  </si>
  <si>
    <t>Túi đựng điện thoại</t>
  </si>
  <si>
    <t>CASE</t>
  </si>
  <si>
    <t>ICE</t>
  </si>
  <si>
    <t>FP</t>
  </si>
  <si>
    <t>FPC</t>
  </si>
  <si>
    <t>16CM</t>
  </si>
  <si>
    <t>Ankle pants</t>
  </si>
  <si>
    <t>Quần lửng mắt cá ống rộng</t>
  </si>
  <si>
    <t>PAA</t>
  </si>
  <si>
    <t>Passport Holder</t>
  </si>
  <si>
    <t>Bao da hộ chiếu</t>
  </si>
  <si>
    <t>PHR</t>
  </si>
  <si>
    <t>FRO</t>
  </si>
  <si>
    <t>BURGUNDY</t>
  </si>
  <si>
    <t>17CM</t>
  </si>
  <si>
    <t>Pants Side slit</t>
  </si>
  <si>
    <t>Quần ống rộng xẻ đùi</t>
  </si>
  <si>
    <t>Cosmetic Bag</t>
  </si>
  <si>
    <t>Túi đựng mỹ phẩm</t>
  </si>
  <si>
    <t>CBG</t>
  </si>
  <si>
    <t>Fille Du Futur</t>
  </si>
  <si>
    <t>FDF</t>
  </si>
  <si>
    <t>18CM</t>
  </si>
  <si>
    <t>Short men straight</t>
  </si>
  <si>
    <t>Quần lửng  dáng thẳng</t>
  </si>
  <si>
    <t>SHS</t>
  </si>
  <si>
    <t>Other bag</t>
  </si>
  <si>
    <t>Túi xách</t>
  </si>
  <si>
    <t>Five Element</t>
  </si>
  <si>
    <t>FE</t>
  </si>
  <si>
    <t>FEL</t>
  </si>
  <si>
    <t>Burgundy Blak Midnight Blue</t>
  </si>
  <si>
    <t>BBM</t>
  </si>
  <si>
    <t>19CM</t>
  </si>
  <si>
    <t>Short pocket</t>
  </si>
  <si>
    <t>Quần lửng có túi</t>
  </si>
  <si>
    <t>SHP</t>
  </si>
  <si>
    <t>X&gt;</t>
  </si>
  <si>
    <t>Fashion Jewelry</t>
  </si>
  <si>
    <t>Five Fruit</t>
  </si>
  <si>
    <t>FF</t>
  </si>
  <si>
    <t>FFT</t>
  </si>
  <si>
    <t>Burgundy Blue</t>
  </si>
  <si>
    <t>BBE</t>
  </si>
  <si>
    <t>20CM</t>
  </si>
  <si>
    <t>Short women curved</t>
  </si>
  <si>
    <t>Quần short  lưng vừa bo lai</t>
  </si>
  <si>
    <t>SHD</t>
  </si>
  <si>
    <t>Necklace</t>
  </si>
  <si>
    <t>vòng cổ</t>
  </si>
  <si>
    <t>NEC</t>
  </si>
  <si>
    <t>FR</t>
  </si>
  <si>
    <t>Burgundy Patina</t>
  </si>
  <si>
    <t>BU PA</t>
  </si>
  <si>
    <t>A3</t>
  </si>
  <si>
    <t>High waist Short</t>
  </si>
  <si>
    <t>Quần short  lưng cao</t>
  </si>
  <si>
    <t>SH-HB</t>
  </si>
  <si>
    <t>SHH</t>
  </si>
  <si>
    <t>Bracelet</t>
  </si>
  <si>
    <t>vòng tay</t>
  </si>
  <si>
    <t>BRA</t>
  </si>
  <si>
    <t>FLH</t>
  </si>
  <si>
    <t>Burgundy Patína</t>
  </si>
  <si>
    <t>A1</t>
  </si>
  <si>
    <t>Slit Pencil Skirt</t>
  </si>
  <si>
    <t>Váy bút chì xẻ đùi</t>
  </si>
  <si>
    <t>SK</t>
  </si>
  <si>
    <t>SKS</t>
  </si>
  <si>
    <t>Earrings</t>
  </si>
  <si>
    <t>bông tai</t>
  </si>
  <si>
    <t>EAR</t>
  </si>
  <si>
    <t>FS</t>
  </si>
  <si>
    <t>FST</t>
  </si>
  <si>
    <t>Burt Orange</t>
  </si>
  <si>
    <t>A2</t>
  </si>
  <si>
    <t>Sundress pocket</t>
  </si>
  <si>
    <t>Váy xòe xếp li có túi trước</t>
  </si>
  <si>
    <t>PT</t>
  </si>
  <si>
    <t>SKP</t>
  </si>
  <si>
    <t>Ring</t>
  </si>
  <si>
    <t>nhẫn</t>
  </si>
  <si>
    <t>RIN</t>
  </si>
  <si>
    <t>FSK</t>
  </si>
  <si>
    <t>Camel</t>
  </si>
  <si>
    <t>CAM</t>
  </si>
  <si>
    <t>A4</t>
  </si>
  <si>
    <t>BOXER</t>
  </si>
  <si>
    <t xml:space="preserve">Quần lót </t>
  </si>
  <si>
    <t>BX</t>
  </si>
  <si>
    <t>XII&gt;</t>
  </si>
  <si>
    <t>X&gt; ACCESSERIES</t>
  </si>
  <si>
    <t>ACC</t>
  </si>
  <si>
    <t>Force</t>
  </si>
  <si>
    <t>FC</t>
  </si>
  <si>
    <t>FOR</t>
  </si>
  <si>
    <t>Camelia</t>
  </si>
  <si>
    <t>SWIM WEAR</t>
  </si>
  <si>
    <t>Quần bơi</t>
  </si>
  <si>
    <t>SIW</t>
  </si>
  <si>
    <t>SWI</t>
  </si>
  <si>
    <t>Belt</t>
  </si>
  <si>
    <t>Thắt lưng</t>
  </si>
  <si>
    <t>BEL</t>
  </si>
  <si>
    <t>Forest</t>
  </si>
  <si>
    <t>FO</t>
  </si>
  <si>
    <t>FOT</t>
  </si>
  <si>
    <t>CAPP</t>
  </si>
  <si>
    <t>A3/A4/A5</t>
  </si>
  <si>
    <t>ACCESSORIES</t>
  </si>
  <si>
    <t>Mũ, nón, băng đô, cột tóc,..</t>
  </si>
  <si>
    <t>Keychains</t>
  </si>
  <si>
    <t>Móc khoá</t>
  </si>
  <si>
    <t>KEY</t>
  </si>
  <si>
    <t>French Flag</t>
  </si>
  <si>
    <t>FFG</t>
  </si>
  <si>
    <t>FOOT WEAR</t>
  </si>
  <si>
    <t>Giày, dép,..</t>
  </si>
  <si>
    <t>Socks</t>
  </si>
  <si>
    <t>Vớ</t>
  </si>
  <si>
    <t>SOC</t>
  </si>
  <si>
    <t>Gandhi</t>
  </si>
  <si>
    <t>GD</t>
  </si>
  <si>
    <t>GAN</t>
  </si>
  <si>
    <t>Chestnut</t>
  </si>
  <si>
    <t>CHE</t>
  </si>
  <si>
    <t>CAN</t>
  </si>
  <si>
    <t>Khăn quàng, khăn lụa,</t>
  </si>
  <si>
    <t>VI&gt;</t>
  </si>
  <si>
    <t>SOUVENIRS &amp; STATIONERY</t>
  </si>
  <si>
    <t>SOU</t>
  </si>
  <si>
    <t>Món đồ nhỉ có địa danh</t>
  </si>
  <si>
    <t>GAO</t>
  </si>
  <si>
    <t>Chestnut Patina</t>
  </si>
  <si>
    <t>CHE PA</t>
  </si>
  <si>
    <t>12oz</t>
  </si>
  <si>
    <t>BAGS</t>
  </si>
  <si>
    <t>Túi xách, ví, balol,…</t>
  </si>
  <si>
    <t>Poscard</t>
  </si>
  <si>
    <t>Bưu thiếp</t>
  </si>
  <si>
    <t>POS</t>
  </si>
  <si>
    <t>GEC</t>
  </si>
  <si>
    <t>CHO</t>
  </si>
  <si>
    <t>Plastic Jar</t>
  </si>
  <si>
    <t>PLJ</t>
  </si>
  <si>
    <t>FASHION JEWELRY</t>
  </si>
  <si>
    <t>JEW</t>
  </si>
  <si>
    <t>Trang sức</t>
  </si>
  <si>
    <t>Playing card</t>
  </si>
  <si>
    <t>Bộ bài</t>
  </si>
  <si>
    <t>PLC</t>
  </si>
  <si>
    <t>Chocolate</t>
  </si>
  <si>
    <t>OTHER ACCESSORIES</t>
  </si>
  <si>
    <t>Mắt kính, tất, móc khoá,…</t>
  </si>
  <si>
    <t>Giá dỡ quạt</t>
  </si>
  <si>
    <t>HDF</t>
  </si>
  <si>
    <t>HDH</t>
  </si>
  <si>
    <t>GKO</t>
  </si>
  <si>
    <t>CHOCO</t>
  </si>
  <si>
    <t>46</t>
  </si>
  <si>
    <t>HOME &amp; LIVING</t>
  </si>
  <si>
    <t>HOME DÉCOR</t>
  </si>
  <si>
    <t>HDR</t>
  </si>
  <si>
    <t>Hand Fan Papper</t>
  </si>
  <si>
    <t>Quạt giấy cầm tay</t>
  </si>
  <si>
    <t>HF</t>
  </si>
  <si>
    <t>HFP</t>
  </si>
  <si>
    <t>GINKGO (Shopping BAG)</t>
  </si>
  <si>
    <t>Chocolate Marble</t>
  </si>
  <si>
    <t>CHO MA</t>
  </si>
  <si>
    <t>CME</t>
  </si>
  <si>
    <t>47</t>
  </si>
  <si>
    <t>ART</t>
  </si>
  <si>
    <t>Hand Fan Satin</t>
  </si>
  <si>
    <t>Quạt phi bóng cầm tay</t>
  </si>
  <si>
    <t>SAT</t>
  </si>
  <si>
    <t>HFS</t>
  </si>
  <si>
    <t>Ginkgo 2</t>
  </si>
  <si>
    <t>GG2</t>
  </si>
  <si>
    <t>GK2</t>
  </si>
  <si>
    <t>Chocolate Patina</t>
  </si>
  <si>
    <t>CHO PA</t>
  </si>
  <si>
    <t>CPA</t>
  </si>
  <si>
    <t>48</t>
  </si>
  <si>
    <t>LIFESTYLE &amp; GIFTS</t>
  </si>
  <si>
    <t>Luggage tag</t>
  </si>
  <si>
    <t>Thẻ hành lý</t>
  </si>
  <si>
    <t>LG</t>
  </si>
  <si>
    <t>LUG</t>
  </si>
  <si>
    <t>Ginkgo Biloba</t>
  </si>
  <si>
    <t>GG</t>
  </si>
  <si>
    <t>Cobalt</t>
  </si>
  <si>
    <t>COB</t>
  </si>
  <si>
    <t>HEALTH &amp; BEAUTY</t>
  </si>
  <si>
    <t>COSMETICS</t>
  </si>
  <si>
    <t>COS</t>
  </si>
  <si>
    <t>Eye cover</t>
  </si>
  <si>
    <t>Bịt mắt</t>
  </si>
  <si>
    <t>ECV</t>
  </si>
  <si>
    <t>GCD</t>
  </si>
  <si>
    <t>Cobalt Midnight Blue</t>
  </si>
  <si>
    <t>CO MIBL</t>
  </si>
  <si>
    <t>CMB</t>
  </si>
  <si>
    <t>FOOD &amp; FRINK</t>
  </si>
  <si>
    <t xml:space="preserve"> FOOD &amp; FRINK</t>
  </si>
  <si>
    <t>FNB</t>
  </si>
  <si>
    <t>Mug</t>
  </si>
  <si>
    <t>Ly sứ</t>
  </si>
  <si>
    <t>MUG</t>
  </si>
  <si>
    <t>Ginkgo fall</t>
  </si>
  <si>
    <t>GFL</t>
  </si>
  <si>
    <t>CO ML</t>
  </si>
  <si>
    <t>Notebook Saddle Stitched</t>
  </si>
  <si>
    <t>Sổ tay may chỉ giữa</t>
  </si>
  <si>
    <t>NBS</t>
  </si>
  <si>
    <t>Ginkgo Leaf</t>
  </si>
  <si>
    <t>GL1</t>
  </si>
  <si>
    <t>CO MB</t>
  </si>
  <si>
    <t>Notebook Perfect Bound</t>
  </si>
  <si>
    <t>Sổ tay dán keo gáy</t>
  </si>
  <si>
    <t>NBP</t>
  </si>
  <si>
    <t>NBI</t>
  </si>
  <si>
    <t>GL2</t>
  </si>
  <si>
    <t>Cobalt Midnight Blue Wash</t>
  </si>
  <si>
    <t>CMBW</t>
  </si>
  <si>
    <t>Notebook Spiral Bound</t>
  </si>
  <si>
    <t>Sổ tay lò xo</t>
  </si>
  <si>
    <t>NBB</t>
  </si>
  <si>
    <t>Ginkgo Leaf Pattern</t>
  </si>
  <si>
    <t>GLP</t>
  </si>
  <si>
    <t>Cobalt Patina</t>
  </si>
  <si>
    <t>COP</t>
  </si>
  <si>
    <t>300ml</t>
  </si>
  <si>
    <t>Notebook cover</t>
  </si>
  <si>
    <t>Bìa sổ</t>
  </si>
  <si>
    <t>NBC</t>
  </si>
  <si>
    <t>GLV</t>
  </si>
  <si>
    <t>Columbia</t>
  </si>
  <si>
    <t>COL</t>
  </si>
  <si>
    <t>Games</t>
  </si>
  <si>
    <t>Đồ chơi</t>
  </si>
  <si>
    <t>GAM</t>
  </si>
  <si>
    <t>GMP</t>
  </si>
  <si>
    <t>Cream</t>
  </si>
  <si>
    <t>CRM</t>
  </si>
  <si>
    <t>CRE</t>
  </si>
  <si>
    <t>Decorative Items</t>
  </si>
  <si>
    <t>Đồ trang trí</t>
  </si>
  <si>
    <t>DEC</t>
  </si>
  <si>
    <t>Ginkgo Signal</t>
  </si>
  <si>
    <t>Tea Tool</t>
  </si>
  <si>
    <t>Dụng cụ pha trà</t>
  </si>
  <si>
    <t>TTL</t>
  </si>
  <si>
    <t>Ginkgo skull</t>
  </si>
  <si>
    <t>GSK</t>
  </si>
  <si>
    <t>Creamy Green</t>
  </si>
  <si>
    <t>CRG</t>
  </si>
  <si>
    <t>CGN</t>
  </si>
  <si>
    <t>Coffee Tool</t>
  </si>
  <si>
    <t>Dụng cụ pha cà phê</t>
  </si>
  <si>
    <t>CTL</t>
  </si>
  <si>
    <t>Ginkgo Voyage</t>
  </si>
  <si>
    <t>GKV</t>
  </si>
  <si>
    <t>Cremisi</t>
  </si>
  <si>
    <t>CRI</t>
  </si>
  <si>
    <t>Small Accessories</t>
  </si>
  <si>
    <t>Đồ trưng bày nhỏ</t>
  </si>
  <si>
    <t>SAS</t>
  </si>
  <si>
    <t>GVT</t>
  </si>
  <si>
    <t>CREMISI</t>
  </si>
  <si>
    <t xml:space="preserve">VII&gt; </t>
  </si>
  <si>
    <t>GL CHAIR</t>
  </si>
  <si>
    <t>GHR</t>
  </si>
  <si>
    <t>DAHILA</t>
  </si>
  <si>
    <t>DA</t>
  </si>
  <si>
    <t>DAH</t>
  </si>
  <si>
    <t>Apron</t>
  </si>
  <si>
    <t>Tạp dề</t>
  </si>
  <si>
    <t>APR</t>
  </si>
  <si>
    <t>Ha Noi 2</t>
  </si>
  <si>
    <t>HN2</t>
  </si>
  <si>
    <t>Dark Brown</t>
  </si>
  <si>
    <t>DK BR</t>
  </si>
  <si>
    <t>DBN</t>
  </si>
  <si>
    <t>Cushion Cover</t>
  </si>
  <si>
    <t>Vỏ gối</t>
  </si>
  <si>
    <t>CU</t>
  </si>
  <si>
    <t>CUS</t>
  </si>
  <si>
    <t>HNB</t>
  </si>
  <si>
    <t>Coaster</t>
  </si>
  <si>
    <t>Lót ly</t>
  </si>
  <si>
    <t>COA</t>
  </si>
  <si>
    <t>HNC</t>
  </si>
  <si>
    <t>Damascus Steel</t>
  </si>
  <si>
    <t>thép Damascus</t>
  </si>
  <si>
    <t>DA1</t>
  </si>
  <si>
    <t>DAS</t>
  </si>
  <si>
    <t>Ha Noi Speaker</t>
  </si>
  <si>
    <t>HS</t>
  </si>
  <si>
    <t>HNS</t>
  </si>
  <si>
    <t>DAB</t>
  </si>
  <si>
    <t>Stainless Steel</t>
  </si>
  <si>
    <t>thép không gỉ,</t>
  </si>
  <si>
    <t>SM1</t>
  </si>
  <si>
    <t>SMS</t>
  </si>
  <si>
    <t>HT</t>
  </si>
  <si>
    <t>HLT</t>
  </si>
  <si>
    <t>DBR</t>
  </si>
  <si>
    <t>LBSB</t>
  </si>
  <si>
    <t>LBS</t>
  </si>
  <si>
    <t>Dark Brown Patina</t>
  </si>
  <si>
    <t>DBP</t>
  </si>
  <si>
    <t>Tray</t>
  </si>
  <si>
    <t>Khay đựng đồ</t>
  </si>
  <si>
    <t>TRA</t>
  </si>
  <si>
    <t>HH</t>
  </si>
  <si>
    <t>HHA</t>
  </si>
  <si>
    <t>DK BR PA</t>
  </si>
  <si>
    <t>Hang Rong</t>
  </si>
  <si>
    <t>HR</t>
  </si>
  <si>
    <t>HRG</t>
  </si>
  <si>
    <t>Dark Brown Wash</t>
  </si>
  <si>
    <t>DK BR WA</t>
  </si>
  <si>
    <t>DBW</t>
  </si>
  <si>
    <t>Leather Tray</t>
  </si>
  <si>
    <t>Khay da</t>
  </si>
  <si>
    <t>Hanoi</t>
  </si>
  <si>
    <t>HAN</t>
  </si>
  <si>
    <t>Notebook</t>
  </si>
  <si>
    <t>Dark Green</t>
  </si>
  <si>
    <t>DABL</t>
  </si>
  <si>
    <t>DGN</t>
  </si>
  <si>
    <t>Lacquer Box</t>
  </si>
  <si>
    <t>Hộp sơn mài</t>
  </si>
  <si>
    <t>LBX</t>
  </si>
  <si>
    <t>DG</t>
  </si>
  <si>
    <t>Table cloth</t>
  </si>
  <si>
    <t>Khăn trải bàn</t>
  </si>
  <si>
    <t>TCL</t>
  </si>
  <si>
    <t>Harmony</t>
  </si>
  <si>
    <t>HA</t>
  </si>
  <si>
    <t>HAR</t>
  </si>
  <si>
    <t>DK GR</t>
  </si>
  <si>
    <t>Khung tranh</t>
  </si>
  <si>
    <t>FRA</t>
  </si>
  <si>
    <t>Hello Sir</t>
  </si>
  <si>
    <t>HE</t>
  </si>
  <si>
    <t>HSR</t>
  </si>
  <si>
    <t>DAG</t>
  </si>
  <si>
    <t>High Back Short</t>
  </si>
  <si>
    <t>HBS</t>
  </si>
  <si>
    <t>Khay tài liệu để bàn</t>
  </si>
  <si>
    <t>LTK</t>
  </si>
  <si>
    <t>Ho Chi Minh</t>
  </si>
  <si>
    <t>HC</t>
  </si>
  <si>
    <t>HCM</t>
  </si>
  <si>
    <t>Dark Green Wash</t>
  </si>
  <si>
    <t>DK GR WA</t>
  </si>
  <si>
    <t>DGW</t>
  </si>
  <si>
    <t>F&amp;B Accessories</t>
  </si>
  <si>
    <t>Phụ kiện pha chế</t>
  </si>
  <si>
    <t>FBA</t>
  </si>
  <si>
    <t>HO</t>
  </si>
  <si>
    <t>HOA</t>
  </si>
  <si>
    <t>Dark Pink</t>
  </si>
  <si>
    <t>DK PI</t>
  </si>
  <si>
    <t>DPK</t>
  </si>
  <si>
    <t>XI&gt;</t>
  </si>
  <si>
    <t>Tranh</t>
  </si>
  <si>
    <t>HAI</t>
  </si>
  <si>
    <t>Dark Pink Patina</t>
  </si>
  <si>
    <t>DK PI PA</t>
  </si>
  <si>
    <t>DPP</t>
  </si>
  <si>
    <t xml:space="preserve">VIII&gt; </t>
  </si>
  <si>
    <t>Cosmetics</t>
  </si>
  <si>
    <t>Dark Purple</t>
  </si>
  <si>
    <t>DK PU</t>
  </si>
  <si>
    <t>DPU</t>
  </si>
  <si>
    <t>Soap</t>
  </si>
  <si>
    <t>Xà phòng</t>
  </si>
  <si>
    <t>SOAP</t>
  </si>
  <si>
    <t>SOP</t>
  </si>
  <si>
    <t>Hoi An Lanterns</t>
  </si>
  <si>
    <t>HAL</t>
  </si>
  <si>
    <t>Dark Red</t>
  </si>
  <si>
    <t>DK RE</t>
  </si>
  <si>
    <t>DRE</t>
  </si>
  <si>
    <t>Face Care</t>
  </si>
  <si>
    <t>Dưỡng da mặt</t>
  </si>
  <si>
    <t>FCE</t>
  </si>
  <si>
    <t>HOI LANG TOM</t>
  </si>
  <si>
    <t>HTL</t>
  </si>
  <si>
    <t>Body care</t>
  </si>
  <si>
    <t>mỹ phẩm khử mùi</t>
  </si>
  <si>
    <t>BCE</t>
  </si>
  <si>
    <t>HOIANMAP</t>
  </si>
  <si>
    <t>Bath &amp; Body</t>
  </si>
  <si>
    <t>Tắm và tẩy da chết</t>
  </si>
  <si>
    <t>BSB</t>
  </si>
  <si>
    <t>HCT</t>
  </si>
  <si>
    <t>DA RE</t>
  </si>
  <si>
    <t>IX&gt;</t>
  </si>
  <si>
    <t xml:space="preserve">FOOD &amp; DRINK </t>
  </si>
  <si>
    <t>HOR</t>
  </si>
  <si>
    <t>Deep Red</t>
  </si>
  <si>
    <t>DRD</t>
  </si>
  <si>
    <t>DED</t>
  </si>
  <si>
    <t>Salt</t>
  </si>
  <si>
    <t>Muối</t>
  </si>
  <si>
    <t>SAL</t>
  </si>
  <si>
    <t>Hu Tiu</t>
  </si>
  <si>
    <t>HU</t>
  </si>
  <si>
    <t>HTU</t>
  </si>
  <si>
    <t>Deep Red Black</t>
  </si>
  <si>
    <t>Gin</t>
  </si>
  <si>
    <t>Rượu gin</t>
  </si>
  <si>
    <t>Hue</t>
  </si>
  <si>
    <t>HUE</t>
  </si>
  <si>
    <t>Deep Teal</t>
  </si>
  <si>
    <t>DTL</t>
  </si>
  <si>
    <t>Sake</t>
  </si>
  <si>
    <t>Rượu gạo</t>
  </si>
  <si>
    <t>SAK</t>
  </si>
  <si>
    <t>Hybiscus</t>
  </si>
  <si>
    <t>HY</t>
  </si>
  <si>
    <t>HYB</t>
  </si>
  <si>
    <t>English Manor</t>
  </si>
  <si>
    <t>EMR</t>
  </si>
  <si>
    <t>Coffee Powder</t>
  </si>
  <si>
    <t>Cà phê bột</t>
  </si>
  <si>
    <t>CFP</t>
  </si>
  <si>
    <t>I Love Vietnam</t>
  </si>
  <si>
    <t>IL</t>
  </si>
  <si>
    <t>ILV</t>
  </si>
  <si>
    <t>Evergreen</t>
  </si>
  <si>
    <t>EV</t>
  </si>
  <si>
    <t>EVE</t>
  </si>
  <si>
    <t>Coffee Bean</t>
  </si>
  <si>
    <t>Cà phê hạt</t>
  </si>
  <si>
    <t>CFB</t>
  </si>
  <si>
    <t>Japan Fish</t>
  </si>
  <si>
    <t>JF</t>
  </si>
  <si>
    <t>JFH</t>
  </si>
  <si>
    <t>Excalibur</t>
  </si>
  <si>
    <t>EX</t>
  </si>
  <si>
    <t>EXC</t>
  </si>
  <si>
    <t>Drip Bag Coffee</t>
  </si>
  <si>
    <t>Cà phê phin giấy</t>
  </si>
  <si>
    <t>CFD</t>
  </si>
  <si>
    <t>Joy</t>
  </si>
  <si>
    <t>JO</t>
  </si>
  <si>
    <t>JOY</t>
  </si>
  <si>
    <t>Fuxia Midnight Blue</t>
  </si>
  <si>
    <t>FU MIBL</t>
  </si>
  <si>
    <t>FMB</t>
  </si>
  <si>
    <t>Coffee order</t>
  </si>
  <si>
    <t>Cà phê uống tại quầy</t>
  </si>
  <si>
    <t>CFO</t>
  </si>
  <si>
    <t>JU</t>
  </si>
  <si>
    <t>JUN</t>
  </si>
  <si>
    <t>fuxia red wash black</t>
  </si>
  <si>
    <t>FRWB</t>
  </si>
  <si>
    <t>FRB</t>
  </si>
  <si>
    <t>Khoan Cat Be Tong</t>
  </si>
  <si>
    <t>KC</t>
  </si>
  <si>
    <t>KBT</t>
  </si>
  <si>
    <t>fuxia wash bugaro + black</t>
  </si>
  <si>
    <t>FWBB</t>
  </si>
  <si>
    <t>FBB</t>
  </si>
  <si>
    <t>Kingfisher</t>
  </si>
  <si>
    <t>KF</t>
  </si>
  <si>
    <t>KFR</t>
  </si>
  <si>
    <t>Ginkgo Blue</t>
  </si>
  <si>
    <t>BLE</t>
  </si>
  <si>
    <t>Lamp</t>
  </si>
  <si>
    <t>LAM</t>
  </si>
  <si>
    <t>Gothic</t>
  </si>
  <si>
    <t>GOT</t>
  </si>
  <si>
    <t>Leaf Spine</t>
  </si>
  <si>
    <t>LSE</t>
  </si>
  <si>
    <t>Green</t>
  </si>
  <si>
    <t>GR</t>
  </si>
  <si>
    <t>GRN</t>
  </si>
  <si>
    <t>Leafs</t>
  </si>
  <si>
    <t>LF</t>
  </si>
  <si>
    <t>LEA</t>
  </si>
  <si>
    <t>Leafty</t>
  </si>
  <si>
    <t>LEY</t>
  </si>
  <si>
    <t>Green Black Patina</t>
  </si>
  <si>
    <t>GR BK PA</t>
  </si>
  <si>
    <t>GBP</t>
  </si>
  <si>
    <t>Life is too shirt</t>
  </si>
  <si>
    <t>LI</t>
  </si>
  <si>
    <t>LIS</t>
  </si>
  <si>
    <t>LY</t>
  </si>
  <si>
    <t>LLY</t>
  </si>
  <si>
    <t>Green Dot</t>
  </si>
  <si>
    <t>GR DO</t>
  </si>
  <si>
    <t>GDT</t>
  </si>
  <si>
    <t>LP</t>
  </si>
  <si>
    <t>LPN</t>
  </si>
  <si>
    <t>Green Marble</t>
  </si>
  <si>
    <t>GR MA</t>
  </si>
  <si>
    <t>GME</t>
  </si>
  <si>
    <t>LIN</t>
  </si>
  <si>
    <t>GRM</t>
  </si>
  <si>
    <t>Green Patina</t>
  </si>
  <si>
    <t>GR PA</t>
  </si>
  <si>
    <t>GPA</t>
  </si>
  <si>
    <t>Green Police</t>
  </si>
  <si>
    <t>GPE</t>
  </si>
  <si>
    <t>Lotus</t>
  </si>
  <si>
    <t>LO</t>
  </si>
  <si>
    <t>LOT</t>
  </si>
  <si>
    <t>Green Wash</t>
  </si>
  <si>
    <t>GR WA</t>
  </si>
  <si>
    <t>GWH</t>
  </si>
  <si>
    <t>Love</t>
  </si>
  <si>
    <t>LOV</t>
  </si>
  <si>
    <t>Grey</t>
  </si>
  <si>
    <t>GRY</t>
  </si>
  <si>
    <t>GRE</t>
  </si>
  <si>
    <t>LU</t>
  </si>
  <si>
    <t>LUA</t>
  </si>
  <si>
    <t>Luong Van Tuy</t>
  </si>
  <si>
    <t>LVT</t>
  </si>
  <si>
    <t>Grey Black</t>
  </si>
  <si>
    <t>GRB</t>
  </si>
  <si>
    <t>SW</t>
  </si>
  <si>
    <t>SMA</t>
  </si>
  <si>
    <t>Grey Black Wash</t>
  </si>
  <si>
    <t>GRBKWA</t>
  </si>
  <si>
    <t>GBW</t>
  </si>
  <si>
    <t>MI TOM</t>
  </si>
  <si>
    <t>MITOM</t>
  </si>
  <si>
    <t>GRE BK WA</t>
  </si>
  <si>
    <t>Mid Autumn Festival</t>
  </si>
  <si>
    <t>MF</t>
  </si>
  <si>
    <t>MAF</t>
  </si>
  <si>
    <t>Grey Light</t>
  </si>
  <si>
    <t>GLT</t>
  </si>
  <si>
    <t>Mini Nippon</t>
  </si>
  <si>
    <t>MN</t>
  </si>
  <si>
    <t>MNN</t>
  </si>
  <si>
    <t>Grey Patina</t>
  </si>
  <si>
    <t>GRE PA</t>
  </si>
  <si>
    <t>Minorities</t>
  </si>
  <si>
    <t>MI</t>
  </si>
  <si>
    <t>MIN</t>
  </si>
  <si>
    <t>Grey Wash</t>
  </si>
  <si>
    <t>GRW</t>
  </si>
  <si>
    <t>MX</t>
  </si>
  <si>
    <t>MOX</t>
  </si>
  <si>
    <t>Havana Brown</t>
  </si>
  <si>
    <t>HBN</t>
  </si>
  <si>
    <t>Havana Green Marble</t>
  </si>
  <si>
    <t>HGM</t>
  </si>
  <si>
    <t>Mono Rhino</t>
  </si>
  <si>
    <t>MR</t>
  </si>
  <si>
    <t>MRO</t>
  </si>
  <si>
    <t>Havana Green Patina</t>
  </si>
  <si>
    <t>HGP</t>
  </si>
  <si>
    <t>MW</t>
  </si>
  <si>
    <t>MWY</t>
  </si>
  <si>
    <t>Havana Leather Patina</t>
  </si>
  <si>
    <t>HLP</t>
  </si>
  <si>
    <t>Mosquito</t>
  </si>
  <si>
    <t>MO</t>
  </si>
  <si>
    <t>MOS</t>
  </si>
  <si>
    <t>Havana Midnight Blue Marble</t>
  </si>
  <si>
    <t>HMB</t>
  </si>
  <si>
    <t>MT</t>
  </si>
  <si>
    <t>MOT</t>
  </si>
  <si>
    <t>Havana Yellow Black Dot</t>
  </si>
  <si>
    <t>HYBD</t>
  </si>
  <si>
    <t>Mu Cang Chai</t>
  </si>
  <si>
    <t>MCC</t>
  </si>
  <si>
    <t>Havana Yellow Patina</t>
  </si>
  <si>
    <t>HA YE PA</t>
  </si>
  <si>
    <t>HYP</t>
  </si>
  <si>
    <t>Heather</t>
  </si>
  <si>
    <t>Nha Trang</t>
  </si>
  <si>
    <t>NT</t>
  </si>
  <si>
    <t>NTG</t>
  </si>
  <si>
    <t>Jelly Bean</t>
  </si>
  <si>
    <t>JN</t>
  </si>
  <si>
    <t>JBN</t>
  </si>
  <si>
    <t>Nhiều mẫu</t>
  </si>
  <si>
    <t>MIX</t>
  </si>
  <si>
    <t>June Bug</t>
  </si>
  <si>
    <t>JB</t>
  </si>
  <si>
    <t>JBG</t>
  </si>
  <si>
    <t>KK</t>
  </si>
  <si>
    <t>KKI</t>
  </si>
  <si>
    <t>Nippon</t>
  </si>
  <si>
    <t>NI</t>
  </si>
  <si>
    <t>NIP</t>
  </si>
  <si>
    <t>Leather</t>
  </si>
  <si>
    <t>LTH</t>
  </si>
  <si>
    <t>NN</t>
  </si>
  <si>
    <t>NNE</t>
  </si>
  <si>
    <t>Leather Dark Brown</t>
  </si>
  <si>
    <t>LDB</t>
  </si>
  <si>
    <t>No Problem</t>
  </si>
  <si>
    <t>NP</t>
  </si>
  <si>
    <t>NPM</t>
  </si>
  <si>
    <t>Leather Dark Brown Patina</t>
  </si>
  <si>
    <t>LE DB PA</t>
  </si>
  <si>
    <t>LDP</t>
  </si>
  <si>
    <t>Nuoc Mam</t>
  </si>
  <si>
    <t>NM</t>
  </si>
  <si>
    <t>NMM</t>
  </si>
  <si>
    <t>LDBP</t>
  </si>
  <si>
    <t>Octopus</t>
  </si>
  <si>
    <t>OC</t>
  </si>
  <si>
    <t>OCT</t>
  </si>
  <si>
    <t>leather patina</t>
  </si>
  <si>
    <t>LE PA</t>
  </si>
  <si>
    <t>LPA</t>
  </si>
  <si>
    <t>Old Board</t>
  </si>
  <si>
    <t>OB</t>
  </si>
  <si>
    <t>OBD</t>
  </si>
  <si>
    <t>LTP</t>
  </si>
  <si>
    <t>OQ</t>
  </si>
  <si>
    <t>OQR</t>
  </si>
  <si>
    <t>Leather Patina</t>
  </si>
  <si>
    <t>LEP</t>
  </si>
  <si>
    <t>Ong Dia</t>
  </si>
  <si>
    <t>ODA</t>
  </si>
  <si>
    <t>Leather Wash</t>
  </si>
  <si>
    <t>LE WA</t>
  </si>
  <si>
    <t>LWH</t>
  </si>
  <si>
    <t>Owl</t>
  </si>
  <si>
    <t>OW</t>
  </si>
  <si>
    <t>OWL</t>
  </si>
  <si>
    <t>Light Brown Patina</t>
  </si>
  <si>
    <t>LBP</t>
  </si>
  <si>
    <t>Pagoda</t>
  </si>
  <si>
    <t>PAG</t>
  </si>
  <si>
    <t>Light Green Marble</t>
  </si>
  <si>
    <t>LG MA</t>
  </si>
  <si>
    <t>LGM</t>
  </si>
  <si>
    <t>Papaya</t>
  </si>
  <si>
    <t>PP</t>
  </si>
  <si>
    <t>PAP</t>
  </si>
  <si>
    <t>Lime Green</t>
  </si>
  <si>
    <t>LMG</t>
  </si>
  <si>
    <t>LGN</t>
  </si>
  <si>
    <t>Parachute</t>
  </si>
  <si>
    <t>PR</t>
  </si>
  <si>
    <t>PAE</t>
  </si>
  <si>
    <t>LI GR</t>
  </si>
  <si>
    <t>Parrot</t>
  </si>
  <si>
    <t>PAT</t>
  </si>
  <si>
    <t>LIG</t>
  </si>
  <si>
    <t>Pencil Case</t>
  </si>
  <si>
    <t>Lime Green Wash</t>
  </si>
  <si>
    <t>LGW</t>
  </si>
  <si>
    <t>Penguin</t>
  </si>
  <si>
    <t>PE</t>
  </si>
  <si>
    <t>PEN</t>
  </si>
  <si>
    <t>lumina</t>
  </si>
  <si>
    <t>LUM</t>
  </si>
  <si>
    <t>Pho</t>
  </si>
  <si>
    <t>PH</t>
  </si>
  <si>
    <t>PHO</t>
  </si>
  <si>
    <t>Lunar Rock</t>
  </si>
  <si>
    <t>LR</t>
  </si>
  <si>
    <t>LRK</t>
  </si>
  <si>
    <t>Pig Head</t>
  </si>
  <si>
    <t>PIG</t>
  </si>
  <si>
    <t>LYCHEE</t>
  </si>
  <si>
    <t>sc2l</t>
  </si>
  <si>
    <t>LYC</t>
  </si>
  <si>
    <t>Pine Tree</t>
  </si>
  <si>
    <t>PI</t>
  </si>
  <si>
    <t>PTE</t>
  </si>
  <si>
    <t>Màu Mix</t>
  </si>
  <si>
    <t>Plain Short</t>
  </si>
  <si>
    <t>PST</t>
  </si>
  <si>
    <t>Midnight Blue</t>
  </si>
  <si>
    <t>MI BL</t>
  </si>
  <si>
    <t>MBE</t>
  </si>
  <si>
    <t>VNP</t>
  </si>
  <si>
    <t>MIBL</t>
  </si>
  <si>
    <t>Purification</t>
  </si>
  <si>
    <t>MDB</t>
  </si>
  <si>
    <t>Rain forest</t>
  </si>
  <si>
    <t>RF</t>
  </si>
  <si>
    <t>RFT</t>
  </si>
  <si>
    <t>RAT</t>
  </si>
  <si>
    <t>MB</t>
  </si>
  <si>
    <t>RD</t>
  </si>
  <si>
    <t>RDY</t>
  </si>
  <si>
    <t>Midnight Blue Marble</t>
  </si>
  <si>
    <t>MBMA</t>
  </si>
  <si>
    <t>MBM</t>
  </si>
  <si>
    <t>Red Daisy Hem</t>
  </si>
  <si>
    <t>RDH</t>
  </si>
  <si>
    <t>Midnight Blue Turquoise Marble</t>
  </si>
  <si>
    <t>MBTM</t>
  </si>
  <si>
    <t>MBT</t>
  </si>
  <si>
    <t>RL</t>
  </si>
  <si>
    <t>RLN</t>
  </si>
  <si>
    <t>Midnight Blue Wash</t>
  </si>
  <si>
    <t>MB WA</t>
  </si>
  <si>
    <t>MBW</t>
  </si>
  <si>
    <t>Refocusing</t>
  </si>
  <si>
    <t>REF</t>
  </si>
  <si>
    <t>Mint purple</t>
  </si>
  <si>
    <t>MP</t>
  </si>
  <si>
    <t>MPE</t>
  </si>
  <si>
    <t>RTE</t>
  </si>
  <si>
    <t>Moonless Night</t>
  </si>
  <si>
    <t>MNT</t>
  </si>
  <si>
    <t>Rooster</t>
  </si>
  <si>
    <t>RO</t>
  </si>
  <si>
    <t>ROO</t>
  </si>
  <si>
    <t>NA</t>
  </si>
  <si>
    <t>NAV</t>
  </si>
  <si>
    <t xml:space="preserve">Sai Gon </t>
  </si>
  <si>
    <t>SG</t>
  </si>
  <si>
    <t>SGN</t>
  </si>
  <si>
    <t>Navy</t>
  </si>
  <si>
    <t>Saigon</t>
  </si>
  <si>
    <t>Nine Iron</t>
  </si>
  <si>
    <t>NIR</t>
  </si>
  <si>
    <t>Saigon City</t>
  </si>
  <si>
    <t>SCY</t>
  </si>
  <si>
    <t>No Color</t>
  </si>
  <si>
    <t>NON</t>
  </si>
  <si>
    <t>SCR</t>
  </si>
  <si>
    <t>Olive</t>
  </si>
  <si>
    <t>OLI</t>
  </si>
  <si>
    <t>SR</t>
  </si>
  <si>
    <t>SMR</t>
  </si>
  <si>
    <t>OL</t>
  </si>
  <si>
    <t>Saigon story</t>
  </si>
  <si>
    <t>SSY</t>
  </si>
  <si>
    <t>Olive Patina</t>
  </si>
  <si>
    <t>OLP</t>
  </si>
  <si>
    <t>STC</t>
  </si>
  <si>
    <t>Omphalodes/Microchip</t>
  </si>
  <si>
    <t>MC</t>
  </si>
  <si>
    <t>OMP</t>
  </si>
  <si>
    <t>SHU</t>
  </si>
  <si>
    <t>Orange</t>
  </si>
  <si>
    <t>OR</t>
  </si>
  <si>
    <t>ORA</t>
  </si>
  <si>
    <t>Siddharta</t>
  </si>
  <si>
    <t>SI</t>
  </si>
  <si>
    <t>SID</t>
  </si>
  <si>
    <t>ORG</t>
  </si>
  <si>
    <t>Single Macaw</t>
  </si>
  <si>
    <t>SMW</t>
  </si>
  <si>
    <t>Single Red Daisy</t>
  </si>
  <si>
    <t>SRD</t>
  </si>
  <si>
    <t>Orange Bulgaro</t>
  </si>
  <si>
    <t>OBO</t>
  </si>
  <si>
    <t>SD</t>
  </si>
  <si>
    <t>SDS</t>
  </si>
  <si>
    <t>OR BU</t>
  </si>
  <si>
    <t>STA</t>
  </si>
  <si>
    <t>Orange Dark Green</t>
  </si>
  <si>
    <t>ODG</t>
  </si>
  <si>
    <t>Star fruit</t>
  </si>
  <si>
    <t>SFT</t>
  </si>
  <si>
    <t>Orange Green Patina</t>
  </si>
  <si>
    <t>OR GR PA</t>
  </si>
  <si>
    <t>OGP</t>
  </si>
  <si>
    <t>SM</t>
  </si>
  <si>
    <t>SMP</t>
  </si>
  <si>
    <t>ORGRPA</t>
  </si>
  <si>
    <t>Stork</t>
  </si>
  <si>
    <t>STO</t>
  </si>
  <si>
    <t>PARDOT</t>
  </si>
  <si>
    <t>PAR</t>
  </si>
  <si>
    <t>ST BARBER</t>
  </si>
  <si>
    <t>PEACH</t>
  </si>
  <si>
    <t>PEA</t>
  </si>
  <si>
    <t>Street Café</t>
  </si>
  <si>
    <t>STE</t>
  </si>
  <si>
    <t>Pink</t>
  </si>
  <si>
    <t>PIN</t>
  </si>
  <si>
    <t>PIBL</t>
  </si>
  <si>
    <t>Street Noise</t>
  </si>
  <si>
    <t>SE</t>
  </si>
  <si>
    <t>PNK</t>
  </si>
  <si>
    <t>SV</t>
  </si>
  <si>
    <t>SVR</t>
  </si>
  <si>
    <t>Pink Patina</t>
  </si>
  <si>
    <t>PPA</t>
  </si>
  <si>
    <t>Summer Walk</t>
  </si>
  <si>
    <t>SU</t>
  </si>
  <si>
    <t>SWK</t>
  </si>
  <si>
    <t>Pink Prasdise</t>
  </si>
  <si>
    <t>PPE</t>
  </si>
  <si>
    <t>Survival Kit</t>
  </si>
  <si>
    <t>SKT</t>
  </si>
  <si>
    <t>Pink Purple</t>
  </si>
  <si>
    <t>PI PU</t>
  </si>
  <si>
    <t>Ta Hien</t>
  </si>
  <si>
    <t>TN</t>
  </si>
  <si>
    <t>TAH</t>
  </si>
  <si>
    <t>Plum</t>
  </si>
  <si>
    <t>PLU</t>
  </si>
  <si>
    <t>Tarpauline</t>
  </si>
  <si>
    <t>TAR</t>
  </si>
  <si>
    <t>Purple</t>
  </si>
  <si>
    <t>Taste Of Vietnam</t>
  </si>
  <si>
    <t>TV</t>
  </si>
  <si>
    <t>TVN</t>
  </si>
  <si>
    <t>TDM</t>
  </si>
  <si>
    <t>Purple Black Patina</t>
  </si>
  <si>
    <t>PBP</t>
  </si>
  <si>
    <t>TCS</t>
  </si>
  <si>
    <t>Purple Blue Patina</t>
  </si>
  <si>
    <t>PU BL PA</t>
  </si>
  <si>
    <t>EH</t>
  </si>
  <si>
    <t>EHT</t>
  </si>
  <si>
    <t>Purple Dot</t>
  </si>
  <si>
    <t>PUD</t>
  </si>
  <si>
    <t>The Eyes</t>
  </si>
  <si>
    <t>EYES</t>
  </si>
  <si>
    <t>EYS</t>
  </si>
  <si>
    <t>Purple Patina</t>
  </si>
  <si>
    <t>PU PA</t>
  </si>
  <si>
    <t>THB</t>
  </si>
  <si>
    <t>Racing Green</t>
  </si>
  <si>
    <t>RA GR</t>
  </si>
  <si>
    <t>RGN</t>
  </si>
  <si>
    <t>Tho</t>
  </si>
  <si>
    <t>THO</t>
  </si>
  <si>
    <t>Rainbow</t>
  </si>
  <si>
    <t>RABL</t>
  </si>
  <si>
    <t>RAI</t>
  </si>
  <si>
    <t>Tiger</t>
  </si>
  <si>
    <t>TI</t>
  </si>
  <si>
    <t>TIG</t>
  </si>
  <si>
    <t>RE</t>
  </si>
  <si>
    <t>RED</t>
  </si>
  <si>
    <t>Tò He</t>
  </si>
  <si>
    <t>TO</t>
  </si>
  <si>
    <t>Red</t>
  </si>
  <si>
    <t>Tò He Ngựa</t>
  </si>
  <si>
    <t>THN</t>
  </si>
  <si>
    <t>Tococaw</t>
  </si>
  <si>
    <t>TW</t>
  </si>
  <si>
    <t>TOW</t>
  </si>
  <si>
    <t>Red Black</t>
  </si>
  <si>
    <t>RBK</t>
  </si>
  <si>
    <t>TJ</t>
  </si>
  <si>
    <t>TJM</t>
  </si>
  <si>
    <t>Red Black Dot</t>
  </si>
  <si>
    <t>RB DOT</t>
  </si>
  <si>
    <t>RBD</t>
  </si>
  <si>
    <t>TL</t>
  </si>
  <si>
    <t>TLT</t>
  </si>
  <si>
    <t>Red Black Patina</t>
  </si>
  <si>
    <t>RE BK PA</t>
  </si>
  <si>
    <t>RBP</t>
  </si>
  <si>
    <t>TP</t>
  </si>
  <si>
    <t>TPO</t>
  </si>
  <si>
    <t>TM</t>
  </si>
  <si>
    <t>TMG</t>
  </si>
  <si>
    <t>RED BURGUNDY</t>
  </si>
  <si>
    <t>RB</t>
  </si>
  <si>
    <t>RBY</t>
  </si>
  <si>
    <t>TNT</t>
  </si>
  <si>
    <t>Red Dot</t>
  </si>
  <si>
    <t>RE DO</t>
  </si>
  <si>
    <t>RDT</t>
  </si>
  <si>
    <t>UR</t>
  </si>
  <si>
    <t>URB</t>
  </si>
  <si>
    <t>Red Marble</t>
  </si>
  <si>
    <t>RME</t>
  </si>
  <si>
    <t>Urban Saigon</t>
  </si>
  <si>
    <t>US</t>
  </si>
  <si>
    <t>USN</t>
  </si>
  <si>
    <t>Red Patina</t>
  </si>
  <si>
    <t>REP</t>
  </si>
  <si>
    <t>Victory</t>
  </si>
  <si>
    <t>VIC</t>
  </si>
  <si>
    <t>VN</t>
  </si>
  <si>
    <t>VNM</t>
  </si>
  <si>
    <t>Red Plum</t>
  </si>
  <si>
    <t>RP</t>
  </si>
  <si>
    <t>RPM</t>
  </si>
  <si>
    <t>Vietnam Delicacies</t>
  </si>
  <si>
    <t>VD</t>
  </si>
  <si>
    <t>VND</t>
  </si>
  <si>
    <t>Vietnam Map</t>
  </si>
  <si>
    <t>VM</t>
  </si>
  <si>
    <t>VMP</t>
  </si>
  <si>
    <t>Ruby Midnight Blue Wash</t>
  </si>
  <si>
    <t>RMB</t>
  </si>
  <si>
    <t>Vietnam Pattern</t>
  </si>
  <si>
    <t>VP</t>
  </si>
  <si>
    <t>VPN</t>
  </si>
  <si>
    <t>SAGE</t>
  </si>
  <si>
    <t>SAG</t>
  </si>
  <si>
    <t>VT</t>
  </si>
  <si>
    <t>VTM</t>
  </si>
  <si>
    <t>Saigon Leather</t>
  </si>
  <si>
    <t>SLR</t>
  </si>
  <si>
    <t>VNW</t>
  </si>
  <si>
    <t>San</t>
  </si>
  <si>
    <t>VNRANDOM</t>
  </si>
  <si>
    <t>VNR</t>
  </si>
  <si>
    <t>SESAME</t>
  </si>
  <si>
    <t>SES</t>
  </si>
  <si>
    <t>Water buffalo</t>
  </si>
  <si>
    <t>WB</t>
  </si>
  <si>
    <t>WBO</t>
  </si>
  <si>
    <t>Sliver</t>
  </si>
  <si>
    <t>Water Melon</t>
  </si>
  <si>
    <t>WM</t>
  </si>
  <si>
    <t>WMN</t>
  </si>
  <si>
    <t>Steel Gray</t>
  </si>
  <si>
    <t>SGR</t>
  </si>
  <si>
    <t>WL</t>
  </si>
  <si>
    <t>WLS</t>
  </si>
  <si>
    <t>Tan</t>
  </si>
  <si>
    <t>TAN</t>
  </si>
  <si>
    <t>Willow</t>
  </si>
  <si>
    <t>WI</t>
  </si>
  <si>
    <t>WIL</t>
  </si>
  <si>
    <t>Willow Pattern</t>
  </si>
  <si>
    <t>WP</t>
  </si>
  <si>
    <t>WPN</t>
  </si>
  <si>
    <t>Tan Chocolate</t>
  </si>
  <si>
    <t>TAC</t>
  </si>
  <si>
    <t>WO</t>
  </si>
  <si>
    <t>WOL</t>
  </si>
  <si>
    <t>Taupe</t>
  </si>
  <si>
    <t>TPE</t>
  </si>
  <si>
    <t>TAU</t>
  </si>
  <si>
    <t>XK</t>
  </si>
  <si>
    <t>XKM</t>
  </si>
  <si>
    <t>Tobaco</t>
  </si>
  <si>
    <t>TBC</t>
  </si>
  <si>
    <t>TOB</t>
  </si>
  <si>
    <t>Xe May</t>
  </si>
  <si>
    <t>XM</t>
  </si>
  <si>
    <t>XMY</t>
  </si>
  <si>
    <t>Tobaco with embossed sand</t>
  </si>
  <si>
    <t>TES</t>
  </si>
  <si>
    <t>Xe Om</t>
  </si>
  <si>
    <t>XO</t>
  </si>
  <si>
    <t>XOM</t>
  </si>
  <si>
    <t>turquois minight blue</t>
  </si>
  <si>
    <t>TU MB</t>
  </si>
  <si>
    <t>TMB</t>
  </si>
  <si>
    <t>Turquoise</t>
  </si>
  <si>
    <t>TRQ</t>
  </si>
  <si>
    <t>TUR</t>
  </si>
  <si>
    <t>CỦA NCC #</t>
  </si>
  <si>
    <t>XLO</t>
  </si>
  <si>
    <t>TU</t>
  </si>
  <si>
    <t>019</t>
  </si>
  <si>
    <t>Turquoise Blue</t>
  </si>
  <si>
    <t>TU BL</t>
  </si>
  <si>
    <t>TBE</t>
  </si>
  <si>
    <t>ATSTF</t>
  </si>
  <si>
    <t>ATS</t>
  </si>
  <si>
    <t>Turquoise Marble</t>
  </si>
  <si>
    <t>TU MA</t>
  </si>
  <si>
    <t>TUM</t>
  </si>
  <si>
    <t>CPZL</t>
  </si>
  <si>
    <t>CP1</t>
  </si>
  <si>
    <t>Turquoise Midnght Blue</t>
  </si>
  <si>
    <t>TU MIBL</t>
  </si>
  <si>
    <t>CPZR</t>
  </si>
  <si>
    <t>CP2</t>
  </si>
  <si>
    <t>Turquoise Midnight Blue</t>
  </si>
  <si>
    <t>CA1</t>
  </si>
  <si>
    <t>CA3</t>
  </si>
  <si>
    <t>Turquoise Midnight Blue Wash</t>
  </si>
  <si>
    <t>TU MB WA</t>
  </si>
  <si>
    <t>TMW</t>
  </si>
  <si>
    <t>Turquoise Patina</t>
  </si>
  <si>
    <t>TU PA</t>
  </si>
  <si>
    <t>TPA</t>
  </si>
  <si>
    <t>CPO</t>
  </si>
  <si>
    <t>Turquoise Wash</t>
  </si>
  <si>
    <t>TU WA</t>
  </si>
  <si>
    <t>TWH</t>
  </si>
  <si>
    <t>Violet</t>
  </si>
  <si>
    <t>VI</t>
  </si>
  <si>
    <t>VIO</t>
  </si>
  <si>
    <t>Warm Olive</t>
  </si>
  <si>
    <t>WOE</t>
  </si>
  <si>
    <t>GR FA</t>
  </si>
  <si>
    <t>White</t>
  </si>
  <si>
    <t>WH</t>
  </si>
  <si>
    <t>WHI</t>
  </si>
  <si>
    <t>HAQ</t>
  </si>
  <si>
    <t>Wood</t>
  </si>
  <si>
    <t>WOO</t>
  </si>
  <si>
    <t>HHTLR</t>
  </si>
  <si>
    <t>HHR</t>
  </si>
  <si>
    <t>YE</t>
  </si>
  <si>
    <t>YEL</t>
  </si>
  <si>
    <t>DYEWTSIB</t>
  </si>
  <si>
    <t>DYE</t>
  </si>
  <si>
    <t>Yellow</t>
  </si>
  <si>
    <t>2JI</t>
  </si>
  <si>
    <t>YL</t>
  </si>
  <si>
    <t>LAB</t>
  </si>
  <si>
    <t>Yellow Green Patina</t>
  </si>
  <si>
    <t>YE GR PA</t>
  </si>
  <si>
    <t>YGP</t>
  </si>
  <si>
    <t>LAD</t>
  </si>
  <si>
    <t>Yellow Marble</t>
  </si>
  <si>
    <t>YE MA</t>
  </si>
  <si>
    <t>YME</t>
  </si>
  <si>
    <t>LIAB</t>
  </si>
  <si>
    <t>LIB</t>
  </si>
  <si>
    <t>Yellow Orange</t>
  </si>
  <si>
    <t>YE OR</t>
  </si>
  <si>
    <t>YEO</t>
  </si>
  <si>
    <t>MEM</t>
  </si>
  <si>
    <t>Yellow Patina</t>
  </si>
  <si>
    <t>YE PA</t>
  </si>
  <si>
    <t>YPA</t>
  </si>
  <si>
    <t>MTB</t>
  </si>
  <si>
    <t>Yellow Wash</t>
  </si>
  <si>
    <t>YE WA</t>
  </si>
  <si>
    <t>YWH</t>
  </si>
  <si>
    <t>NER</t>
  </si>
  <si>
    <t>yellow wash leather</t>
  </si>
  <si>
    <t>YE WA LE</t>
  </si>
  <si>
    <t>YWL</t>
  </si>
  <si>
    <t>NOC</t>
  </si>
  <si>
    <t>OOTP1487</t>
  </si>
  <si>
    <t>OOTP1498</t>
  </si>
  <si>
    <t>OOTP273</t>
  </si>
  <si>
    <t>PAN</t>
  </si>
  <si>
    <t>RTT</t>
  </si>
  <si>
    <t>SIDW</t>
  </si>
  <si>
    <t>SIA</t>
  </si>
  <si>
    <t>TRC</t>
  </si>
  <si>
    <t>TH SM</t>
  </si>
  <si>
    <t>SMO</t>
  </si>
  <si>
    <t>TD</t>
  </si>
  <si>
    <t>TDY</t>
  </si>
  <si>
    <t>TNO</t>
  </si>
  <si>
    <t>TNN</t>
  </si>
  <si>
    <t>WTBHAA</t>
  </si>
  <si>
    <t>WTB</t>
  </si>
  <si>
    <t>MOD0704001</t>
  </si>
  <si>
    <t>001</t>
  </si>
  <si>
    <t>CS-BL-FL DE SEL</t>
  </si>
  <si>
    <t>MOD0704004</t>
  </si>
  <si>
    <t>004</t>
  </si>
  <si>
    <t>CS-BL-SS-TUBE</t>
  </si>
  <si>
    <t>MOD0704005</t>
  </si>
  <si>
    <t>005</t>
  </si>
  <si>
    <t>CS-BL-SS-GRINDER</t>
  </si>
  <si>
    <t>MOD0704006</t>
  </si>
  <si>
    <t>006</t>
  </si>
  <si>
    <t>CS-BL-FIVE SPICE</t>
  </si>
  <si>
    <t>MOD0704007</t>
  </si>
  <si>
    <t>007</t>
  </si>
  <si>
    <t>CS-BL-WH PEPPER  MIX S</t>
  </si>
  <si>
    <t>MOD0704008</t>
  </si>
  <si>
    <t>008</t>
  </si>
  <si>
    <t>CS-BL-BK PEPPER  MIX S</t>
  </si>
  <si>
    <t>MOD0704009</t>
  </si>
  <si>
    <t>009</t>
  </si>
  <si>
    <t>CS-BL-RE PEPPER  MIX S</t>
  </si>
  <si>
    <t>MOD0704010</t>
  </si>
  <si>
    <t>010</t>
  </si>
  <si>
    <t>CS-BL-CHILI  MIX S</t>
  </si>
  <si>
    <t>MOD0704012</t>
  </si>
  <si>
    <t>012</t>
  </si>
  <si>
    <t xml:space="preserve">CS-BL-BK PEPPER  </t>
  </si>
  <si>
    <t>MOD0704013</t>
  </si>
  <si>
    <t>013</t>
  </si>
  <si>
    <t xml:space="preserve">CS-BL-WH PEPPER </t>
  </si>
  <si>
    <t>MOD0704014</t>
  </si>
  <si>
    <t>014</t>
  </si>
  <si>
    <t xml:space="preserve">CS-BL-RE PEPPER  </t>
  </si>
  <si>
    <t>MOD0704015</t>
  </si>
  <si>
    <t>015</t>
  </si>
  <si>
    <t xml:space="preserve">CS-BL-MIX PEPPER </t>
  </si>
  <si>
    <t>Arabica</t>
  </si>
  <si>
    <t>ARA</t>
  </si>
  <si>
    <t>Robusta</t>
  </si>
  <si>
    <t>ROB</t>
  </si>
  <si>
    <t>BOC</t>
  </si>
  <si>
    <t>CBS</t>
  </si>
  <si>
    <t>Pleiku Blend Organic</t>
  </si>
  <si>
    <t>PBO</t>
  </si>
  <si>
    <t>ALB</t>
  </si>
  <si>
    <t>DLB</t>
  </si>
  <si>
    <t>KS</t>
  </si>
  <si>
    <t>KSB</t>
  </si>
  <si>
    <t>SLB</t>
  </si>
  <si>
    <t>B12</t>
  </si>
  <si>
    <t>VNC</t>
  </si>
  <si>
    <t>H12</t>
  </si>
  <si>
    <t>P12</t>
  </si>
  <si>
    <t>ICS</t>
  </si>
  <si>
    <t>ALT</t>
  </si>
  <si>
    <t>ALF</t>
  </si>
  <si>
    <t>Austin</t>
  </si>
  <si>
    <t>AUS</t>
  </si>
  <si>
    <t>Austin I</t>
  </si>
  <si>
    <t>AU1</t>
  </si>
  <si>
    <t>Austin II</t>
  </si>
  <si>
    <t>AU2</t>
  </si>
  <si>
    <t>AZR</t>
  </si>
  <si>
    <t>AZ1</t>
  </si>
  <si>
    <t>AIP</t>
  </si>
  <si>
    <t>AZP</t>
  </si>
  <si>
    <t>BARDOT</t>
  </si>
  <si>
    <t>BAR</t>
  </si>
  <si>
    <t>BAZ</t>
  </si>
  <si>
    <t>BL1</t>
  </si>
  <si>
    <t>BRE</t>
  </si>
  <si>
    <t>BV3</t>
  </si>
  <si>
    <t>CEZ</t>
  </si>
  <si>
    <t>CB</t>
  </si>
  <si>
    <t>CHU</t>
  </si>
  <si>
    <t>CBP</t>
  </si>
  <si>
    <t>CON</t>
  </si>
  <si>
    <t>CO0</t>
  </si>
  <si>
    <t>CO1</t>
  </si>
  <si>
    <t>DEL</t>
  </si>
  <si>
    <t>DE3</t>
  </si>
  <si>
    <t>DRI</t>
  </si>
  <si>
    <t>Duchamp I</t>
  </si>
  <si>
    <t>DU1</t>
  </si>
  <si>
    <t>EL1</t>
  </si>
  <si>
    <t>EL2</t>
  </si>
  <si>
    <t>FOU</t>
  </si>
  <si>
    <t>GA1</t>
  </si>
  <si>
    <t>GAB</t>
  </si>
  <si>
    <t>Home decor
Watch Box</t>
  </si>
  <si>
    <t>Home decor
Watch Box 3 Trays</t>
  </si>
  <si>
    <t>WB3</t>
  </si>
  <si>
    <t>JOB</t>
  </si>
  <si>
    <t>LUO</t>
  </si>
  <si>
    <t>Laces-up
Owen</t>
  </si>
  <si>
    <t>OWE</t>
  </si>
  <si>
    <t>LC</t>
  </si>
  <si>
    <t>LAC</t>
  </si>
  <si>
    <t>LMS</t>
  </si>
  <si>
    <t>LD</t>
  </si>
  <si>
    <t>LAS</t>
  </si>
  <si>
    <t>LS</t>
  </si>
  <si>
    <t>LAU</t>
  </si>
  <si>
    <t>LW</t>
  </si>
  <si>
    <t>LAW</t>
  </si>
  <si>
    <t>AYR</t>
  </si>
  <si>
    <t>Loafer Marinetti</t>
  </si>
  <si>
    <t>Loafer
Tennyson</t>
  </si>
  <si>
    <t>TEN</t>
  </si>
  <si>
    <t>Loafer
Wilde</t>
  </si>
  <si>
    <t>Marinetti II</t>
  </si>
  <si>
    <t>MA2</t>
  </si>
  <si>
    <t>MAS</t>
  </si>
  <si>
    <t>Men’s Courbet_Gold</t>
  </si>
  <si>
    <t>COU</t>
  </si>
  <si>
    <t>Men’s Courbet_Palladium</t>
  </si>
  <si>
    <t>GAU</t>
  </si>
  <si>
    <t>PIA</t>
  </si>
  <si>
    <t>SCH</t>
  </si>
  <si>
    <t>SEU</t>
  </si>
  <si>
    <t>Men’s Shoe horn V1 (leather)</t>
  </si>
  <si>
    <t>HV1</t>
  </si>
  <si>
    <t>Men’s Shoe Horn V2</t>
  </si>
  <si>
    <t>HV2</t>
  </si>
  <si>
    <t>Men’s Tussaud I</t>
  </si>
  <si>
    <t>TU1</t>
  </si>
  <si>
    <t>SISLEY</t>
  </si>
  <si>
    <t>Men's Bags
Cross Body Bag</t>
  </si>
  <si>
    <t xml:space="preserve">Men's Bags
Lowry </t>
  </si>
  <si>
    <t>LOW</t>
  </si>
  <si>
    <t>MIL</t>
  </si>
  <si>
    <t>Pasolini</t>
  </si>
  <si>
    <t>PER</t>
  </si>
  <si>
    <t>PD</t>
  </si>
  <si>
    <t>PHD</t>
  </si>
  <si>
    <t>RM</t>
  </si>
  <si>
    <t>RAY</t>
  </si>
  <si>
    <t>RUS</t>
  </si>
  <si>
    <t>SHE</t>
  </si>
  <si>
    <t>SH1</t>
  </si>
  <si>
    <t>SLN</t>
  </si>
  <si>
    <t>Slipper
Neruda</t>
  </si>
  <si>
    <t>BAN</t>
  </si>
  <si>
    <t>SBA</t>
  </si>
  <si>
    <t>Sneaker
Bronson (Nappa + Crust)</t>
  </si>
  <si>
    <t>STL</t>
  </si>
  <si>
    <t>STR</t>
  </si>
  <si>
    <t>ST1</t>
  </si>
  <si>
    <t>ST2</t>
  </si>
  <si>
    <t>TAL</t>
  </si>
  <si>
    <t>BYR</t>
  </si>
  <si>
    <t>TPB</t>
  </si>
  <si>
    <t>TUS</t>
  </si>
  <si>
    <t>VC</t>
  </si>
  <si>
    <t>VIN</t>
  </si>
  <si>
    <t>WT</t>
  </si>
  <si>
    <t>WAT</t>
  </si>
  <si>
    <t>WBX</t>
  </si>
  <si>
    <t>WEL</t>
  </si>
  <si>
    <t>Wilde</t>
  </si>
  <si>
    <t>WILDE</t>
  </si>
  <si>
    <t>Women's Bags Austin</t>
  </si>
  <si>
    <t>Women's Bags Austin I</t>
  </si>
  <si>
    <t>Women's Bags Austin II</t>
  </si>
  <si>
    <t>Women's Bags Bronte</t>
  </si>
  <si>
    <t>Women's Bags Gaskell  I (Hard)</t>
  </si>
  <si>
    <t>AUSTIN</t>
  </si>
  <si>
    <t xml:space="preserve">AUSTIN I </t>
  </si>
  <si>
    <t>WRB</t>
  </si>
  <si>
    <t>6 Miss</t>
  </si>
  <si>
    <t>6MS</t>
  </si>
  <si>
    <t>An</t>
  </si>
  <si>
    <t>AN0</t>
  </si>
  <si>
    <t>Anh</t>
  </si>
  <si>
    <t>ANH</t>
  </si>
  <si>
    <t>Basket</t>
  </si>
  <si>
    <t>BAS</t>
  </si>
  <si>
    <t>Bicycle</t>
  </si>
  <si>
    <t>BIC</t>
  </si>
  <si>
    <t>Big Hat</t>
  </si>
  <si>
    <t>BIG</t>
  </si>
  <si>
    <t>Blue Bicycle</t>
  </si>
  <si>
    <t>Café sua da</t>
  </si>
  <si>
    <t>CSD</t>
  </si>
  <si>
    <t>Chau</t>
  </si>
  <si>
    <t>Cloth Mong</t>
  </si>
  <si>
    <t>CMO</t>
  </si>
  <si>
    <t>Cong</t>
  </si>
  <si>
    <t>square</t>
  </si>
  <si>
    <t>SQA</t>
  </si>
  <si>
    <t>Dao</t>
  </si>
  <si>
    <t>DAO</t>
  </si>
  <si>
    <t>Dung</t>
  </si>
  <si>
    <t>DUN</t>
  </si>
  <si>
    <t>Earring</t>
  </si>
  <si>
    <t>En</t>
  </si>
  <si>
    <t>EN0</t>
  </si>
  <si>
    <t>Face Lolo</t>
  </si>
  <si>
    <t>Face</t>
  </si>
  <si>
    <t>FLO</t>
  </si>
  <si>
    <t>Family</t>
  </si>
  <si>
    <t>FA</t>
  </si>
  <si>
    <t>FAM</t>
  </si>
  <si>
    <t>Hoan</t>
  </si>
  <si>
    <t>HO1</t>
  </si>
  <si>
    <t>Hong</t>
  </si>
  <si>
    <t>HO2</t>
  </si>
  <si>
    <t>Kieu</t>
  </si>
  <si>
    <t>KIE</t>
  </si>
  <si>
    <t>Kim</t>
  </si>
  <si>
    <t>KIM</t>
  </si>
  <si>
    <t>Lam</t>
  </si>
  <si>
    <t>Lao</t>
  </si>
  <si>
    <t>LAO</t>
  </si>
  <si>
    <t>Man</t>
  </si>
  <si>
    <t>Moc Chau</t>
  </si>
  <si>
    <t>MCU</t>
  </si>
  <si>
    <t>Muong</t>
  </si>
  <si>
    <t>MUO</t>
  </si>
  <si>
    <t>Red Cage</t>
  </si>
  <si>
    <t>RC</t>
  </si>
  <si>
    <t>RCA</t>
  </si>
  <si>
    <t>TABLE</t>
  </si>
  <si>
    <t>TAB</t>
  </si>
  <si>
    <t>Thu</t>
  </si>
  <si>
    <t>THU</t>
  </si>
  <si>
    <t>Two friends</t>
  </si>
  <si>
    <t>TF</t>
  </si>
  <si>
    <t>TWF</t>
  </si>
  <si>
    <t>Xuan</t>
  </si>
  <si>
    <t>XUA</t>
  </si>
  <si>
    <t>Yen</t>
  </si>
  <si>
    <t>YEN</t>
  </si>
  <si>
    <t>Yoke</t>
  </si>
  <si>
    <t>YO</t>
  </si>
  <si>
    <t>YOK</t>
  </si>
  <si>
    <t>AME</t>
  </si>
  <si>
    <t>ESP</t>
  </si>
  <si>
    <t>LAT</t>
  </si>
  <si>
    <t>PGT</t>
  </si>
  <si>
    <t>RPK</t>
  </si>
  <si>
    <t>SPK</t>
  </si>
  <si>
    <t>SPT</t>
  </si>
  <si>
    <t>COC</t>
  </si>
  <si>
    <t>EGC</t>
  </si>
  <si>
    <t>MIC</t>
  </si>
  <si>
    <t>SAC</t>
  </si>
  <si>
    <t>WHC</t>
  </si>
  <si>
    <t>CON VN</t>
  </si>
  <si>
    <t>COG</t>
  </si>
  <si>
    <t>DL FLO</t>
  </si>
  <si>
    <t>DLG</t>
  </si>
  <si>
    <t>EASTSEA</t>
  </si>
  <si>
    <t>ESG</t>
  </si>
  <si>
    <t>MK</t>
  </si>
  <si>
    <t>MKG</t>
  </si>
  <si>
    <t>SAPA</t>
  </si>
  <si>
    <t>SPG</t>
  </si>
  <si>
    <t>HOI AN</t>
  </si>
  <si>
    <t>SRG</t>
  </si>
  <si>
    <t>COCONUT</t>
  </si>
  <si>
    <t>LB1</t>
  </si>
  <si>
    <t>RT1</t>
  </si>
  <si>
    <t>GAC</t>
  </si>
  <si>
    <t>GAS</t>
  </si>
  <si>
    <t>LBC</t>
  </si>
  <si>
    <t>MATCHA</t>
  </si>
  <si>
    <t>TURMERIC</t>
  </si>
  <si>
    <t>059</t>
  </si>
  <si>
    <t>104</t>
  </si>
  <si>
    <t>GK 27</t>
  </si>
  <si>
    <t>027</t>
  </si>
  <si>
    <t>A46</t>
  </si>
  <si>
    <t>A47</t>
  </si>
  <si>
    <t>D60</t>
  </si>
  <si>
    <t xml:space="preserve"> 60</t>
  </si>
  <si>
    <t>D68</t>
  </si>
  <si>
    <t xml:space="preserve"> 68</t>
  </si>
  <si>
    <t>D69</t>
  </si>
  <si>
    <t xml:space="preserve"> 69</t>
  </si>
  <si>
    <t>D70</t>
  </si>
  <si>
    <t xml:space="preserve"> 70</t>
  </si>
  <si>
    <t>D71</t>
  </si>
  <si>
    <t xml:space="preserve"> 71</t>
  </si>
  <si>
    <t>D72</t>
  </si>
  <si>
    <t xml:space="preserve"> 72</t>
  </si>
  <si>
    <t>D73</t>
  </si>
  <si>
    <t xml:space="preserve"> 73</t>
  </si>
  <si>
    <t>D74</t>
  </si>
  <si>
    <t xml:space="preserve"> 74</t>
  </si>
  <si>
    <t>32R</t>
  </si>
  <si>
    <t>34G</t>
  </si>
  <si>
    <t>35G</t>
  </si>
  <si>
    <t>BR0</t>
  </si>
  <si>
    <t>BR3</t>
  </si>
  <si>
    <t>33G</t>
  </si>
  <si>
    <t>36G</t>
  </si>
  <si>
    <t>E42</t>
  </si>
  <si>
    <t>E47</t>
  </si>
  <si>
    <t>E50</t>
  </si>
  <si>
    <t>E51</t>
  </si>
  <si>
    <t>E52</t>
  </si>
  <si>
    <t>GINKGO 1</t>
  </si>
  <si>
    <t>GINKGO 100</t>
  </si>
  <si>
    <t>GINKGO 101</t>
  </si>
  <si>
    <t>GINKGO 102</t>
  </si>
  <si>
    <t>110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</si>
  <si>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</si>
  <si>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</si>
  <si>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</si>
  <si>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</si>
  <si>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</si>
  <si>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</si>
  <si>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</si>
  <si>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</si>
  <si>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</si>
  <si>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</si>
  <si>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</si>
  <si>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GINKGO 33</t>
  </si>
  <si>
    <t>033</t>
  </si>
  <si>
    <t>GINKGO 54</t>
  </si>
  <si>
    <t>054</t>
  </si>
  <si>
    <t>GINKGO 76</t>
  </si>
  <si>
    <t>076</t>
  </si>
  <si>
    <t>GINKGO 79</t>
  </si>
  <si>
    <t>079</t>
  </si>
  <si>
    <t>GINKGO 80</t>
  </si>
  <si>
    <t>080</t>
  </si>
  <si>
    <t>GINKGO 87</t>
  </si>
  <si>
    <t>087</t>
  </si>
  <si>
    <t>GINKGO 88</t>
  </si>
  <si>
    <t>088</t>
  </si>
  <si>
    <t>GINKGO 92</t>
  </si>
  <si>
    <t>092</t>
  </si>
  <si>
    <t>GINKGO 93</t>
  </si>
  <si>
    <t>093</t>
  </si>
  <si>
    <t>GINKGO 94</t>
  </si>
  <si>
    <t>094</t>
  </si>
  <si>
    <t>GINKGO 95</t>
  </si>
  <si>
    <t>095</t>
  </si>
  <si>
    <t>GINKGO 96</t>
  </si>
  <si>
    <t>096</t>
  </si>
  <si>
    <t>GINKGO 97</t>
  </si>
  <si>
    <t>097</t>
  </si>
  <si>
    <t>GINKGO 98</t>
  </si>
  <si>
    <t>098</t>
  </si>
  <si>
    <t>GINKGO 99</t>
  </si>
  <si>
    <t>099</t>
  </si>
  <si>
    <t>GINKGO LL155</t>
  </si>
  <si>
    <t>GINKGO LL159</t>
  </si>
  <si>
    <t>GK HA 117</t>
  </si>
  <si>
    <t>A17</t>
  </si>
  <si>
    <t>GK HA 129</t>
  </si>
  <si>
    <t>A29</t>
  </si>
  <si>
    <t>GK HA 130</t>
  </si>
  <si>
    <t>A30</t>
  </si>
  <si>
    <t>GK HA 131</t>
  </si>
  <si>
    <t>A31</t>
  </si>
  <si>
    <t>A32</t>
  </si>
  <si>
    <t>GK HA 134</t>
  </si>
  <si>
    <t>A34</t>
  </si>
  <si>
    <t>GK HA 136</t>
  </si>
  <si>
    <t>A36</t>
  </si>
  <si>
    <t>GK HA 138</t>
  </si>
  <si>
    <t>A38</t>
  </si>
  <si>
    <t>GK HA 139</t>
  </si>
  <si>
    <t>A39</t>
  </si>
  <si>
    <t>GK HA 140</t>
  </si>
  <si>
    <t>A40</t>
  </si>
  <si>
    <t>GK HA 141</t>
  </si>
  <si>
    <t>A41</t>
  </si>
  <si>
    <t>GK HA 142</t>
  </si>
  <si>
    <t>A42</t>
  </si>
  <si>
    <t>A43</t>
  </si>
  <si>
    <t>GK HD12</t>
  </si>
  <si>
    <t>D12</t>
  </si>
  <si>
    <t>N03</t>
  </si>
  <si>
    <t>GK HN17</t>
  </si>
  <si>
    <t>N17</t>
  </si>
  <si>
    <t>GK HN18</t>
  </si>
  <si>
    <t>N18</t>
  </si>
  <si>
    <t>N45</t>
  </si>
  <si>
    <t>GK HN46</t>
  </si>
  <si>
    <t>N46</t>
  </si>
  <si>
    <t>N47</t>
  </si>
  <si>
    <t>N48</t>
  </si>
  <si>
    <t>GK HN50</t>
  </si>
  <si>
    <t>N50</t>
  </si>
  <si>
    <t>L30</t>
  </si>
  <si>
    <t>L31</t>
  </si>
  <si>
    <t>L32</t>
  </si>
  <si>
    <t>L34</t>
  </si>
  <si>
    <t>L35</t>
  </si>
  <si>
    <t>L36</t>
  </si>
  <si>
    <t>GK LL125</t>
  </si>
  <si>
    <t>L25</t>
  </si>
  <si>
    <t>GK LL128</t>
  </si>
  <si>
    <t>L28</t>
  </si>
  <si>
    <t>HD 45</t>
  </si>
  <si>
    <t>D45</t>
  </si>
  <si>
    <t>HD 55</t>
  </si>
  <si>
    <t>D55</t>
  </si>
  <si>
    <t>HD 57</t>
  </si>
  <si>
    <t>D57</t>
  </si>
  <si>
    <t>HD2 26</t>
  </si>
  <si>
    <t>D26</t>
  </si>
  <si>
    <t>HD2 40</t>
  </si>
  <si>
    <t>D40</t>
  </si>
  <si>
    <t>HD2 EAR 32G</t>
  </si>
  <si>
    <t>32G</t>
  </si>
  <si>
    <t>N10</t>
  </si>
  <si>
    <t>N11</t>
  </si>
  <si>
    <t>HN 43</t>
  </si>
  <si>
    <t>N43</t>
  </si>
  <si>
    <t xml:space="preserve"> 48</t>
  </si>
  <si>
    <t xml:space="preserve"> 50</t>
  </si>
  <si>
    <t>MEN 10</t>
  </si>
  <si>
    <t>M10</t>
  </si>
  <si>
    <t>An Tư</t>
  </si>
  <si>
    <t>ATU</t>
  </si>
  <si>
    <t>Cây khế</t>
  </si>
  <si>
    <t>CK</t>
  </si>
  <si>
    <t>CKE</t>
  </si>
  <si>
    <t>Cô bé bán diêm</t>
  </si>
  <si>
    <t>CBBD</t>
  </si>
  <si>
    <t xml:space="preserve">Cả Twilly </t>
  </si>
  <si>
    <t>Dinh Độc Lập</t>
  </si>
  <si>
    <t>DDL</t>
  </si>
  <si>
    <t>Đoàn Thị Điểm</t>
  </si>
  <si>
    <t>DTD</t>
  </si>
  <si>
    <t>Đường sắt Bắc Nam</t>
  </si>
  <si>
    <t>DSBN</t>
  </si>
  <si>
    <t>Dương Vân Nga</t>
  </si>
  <si>
    <t>DVN</t>
  </si>
  <si>
    <t>Hà Nội</t>
  </si>
  <si>
    <t>HNI</t>
  </si>
  <si>
    <t>Hai Ba Trưng</t>
  </si>
  <si>
    <t>HBT</t>
  </si>
  <si>
    <t>Hồ Xuân Hương</t>
  </si>
  <si>
    <t>HXH</t>
  </si>
  <si>
    <t>Hoàng hậu Nam Phương</t>
  </si>
  <si>
    <t>NPG</t>
  </si>
  <si>
    <t>Hoàng Tử bé</t>
  </si>
  <si>
    <t>HTB</t>
  </si>
  <si>
    <t xml:space="preserve">Mẹ Âu Cơ </t>
  </si>
  <si>
    <t>MAC</t>
  </si>
  <si>
    <t>Ngọc Hân - Nguyễn Huệ</t>
  </si>
  <si>
    <t>NH</t>
  </si>
  <si>
    <t>NHH</t>
  </si>
  <si>
    <t>Quốc Học Huế</t>
  </si>
  <si>
    <t>QHH</t>
  </si>
  <si>
    <t>Sapa</t>
  </si>
  <si>
    <t>SP</t>
  </si>
  <si>
    <t>SPA</t>
  </si>
  <si>
    <t>Sen Đồng Tháp</t>
  </si>
  <si>
    <t>SDT</t>
  </si>
  <si>
    <t>SĐT</t>
  </si>
  <si>
    <t>Sương Nguyệt Ánh</t>
  </si>
  <si>
    <t>SNA</t>
  </si>
  <si>
    <t>Thành Cổ Loa</t>
  </si>
  <si>
    <t>Thánh Gióng</t>
  </si>
  <si>
    <t>TG</t>
  </si>
  <si>
    <t>TGG</t>
  </si>
  <si>
    <t>Trang An</t>
  </si>
  <si>
    <t>TA</t>
  </si>
  <si>
    <t>Truyen Kieu</t>
  </si>
  <si>
    <t>TK</t>
  </si>
  <si>
    <t>TKU</t>
  </si>
  <si>
    <t>YG</t>
  </si>
  <si>
    <t>YGO</t>
  </si>
  <si>
    <t>DO</t>
  </si>
  <si>
    <t>DOM</t>
  </si>
  <si>
    <t>SGY</t>
  </si>
  <si>
    <t>HNY</t>
  </si>
  <si>
    <t>HNL</t>
  </si>
  <si>
    <t>SGL</t>
  </si>
  <si>
    <t>CHS</t>
  </si>
  <si>
    <t>TROY</t>
  </si>
  <si>
    <t>TRO</t>
  </si>
  <si>
    <t>DSR</t>
  </si>
  <si>
    <t>TTT</t>
  </si>
  <si>
    <t>XX</t>
  </si>
  <si>
    <t>DSE</t>
  </si>
  <si>
    <t>Mai Chau</t>
  </si>
  <si>
    <t>MCS</t>
  </si>
  <si>
    <t>SGS</t>
  </si>
  <si>
    <t>B03</t>
  </si>
  <si>
    <t>Sáp dưỡng sau đi nắng Chùm Ngây &amp; Lá Chanh</t>
  </si>
  <si>
    <t>F02</t>
  </si>
  <si>
    <t>Sáp dưỡng da mặt Bơ &amp; Phong lữ</t>
  </si>
  <si>
    <t>F03</t>
  </si>
  <si>
    <t>Sáp dưỡng da mặt Hạnh nhân ngọt &amp; Cúc vạn thọ</t>
  </si>
  <si>
    <t>D04</t>
  </si>
  <si>
    <t>Sáp khử mùi Bưởi &amp; Hoắc hương</t>
  </si>
  <si>
    <t>D01</t>
  </si>
  <si>
    <t>Sáp khử mùi Bạc hà &amp; chanh</t>
  </si>
  <si>
    <t>D03</t>
  </si>
  <si>
    <t>Sáp khử mùi Sả hoa hồng &amp; Ngọc Lan Tây</t>
  </si>
  <si>
    <t>D05</t>
  </si>
  <si>
    <t>Sáp khử mùi cho da nhạy cảm</t>
  </si>
  <si>
    <t>MO1</t>
  </si>
  <si>
    <t>Sáp tẩy trang</t>
  </si>
  <si>
    <t>BCB</t>
  </si>
  <si>
    <t>LB</t>
  </si>
  <si>
    <t>LBA</t>
  </si>
  <si>
    <t>SIB</t>
  </si>
  <si>
    <t>TWB</t>
  </si>
  <si>
    <t>Unicorn</t>
  </si>
  <si>
    <t xml:space="preserve"> LOTO</t>
  </si>
  <si>
    <t>LTO</t>
  </si>
  <si>
    <t>CHAN GIAY</t>
  </si>
  <si>
    <t>CGY</t>
  </si>
  <si>
    <t>TRA HOA GIAY</t>
  </si>
  <si>
    <t>THG</t>
  </si>
  <si>
    <t xml:space="preserve"> LOC TRA</t>
  </si>
  <si>
    <t>LTA</t>
  </si>
  <si>
    <t>MAC AO</t>
  </si>
  <si>
    <t>MAO</t>
  </si>
  <si>
    <t>HƯƠNG XUÂN</t>
  </si>
  <si>
    <t>HXN</t>
  </si>
  <si>
    <t>Số 1</t>
  </si>
  <si>
    <t>SO1</t>
  </si>
  <si>
    <t>Số 3</t>
  </si>
  <si>
    <t>SO3</t>
  </si>
  <si>
    <t>Số 5</t>
  </si>
  <si>
    <t>SO5</t>
  </si>
  <si>
    <t>Số 6</t>
  </si>
  <si>
    <t>SO6</t>
  </si>
  <si>
    <t>PA CUBEB</t>
  </si>
  <si>
    <t>PCB</t>
  </si>
  <si>
    <t>PUE</t>
  </si>
  <si>
    <t>CLASSIC</t>
  </si>
  <si>
    <t>SCL</t>
  </si>
  <si>
    <t>SCP</t>
  </si>
  <si>
    <t>PCS</t>
  </si>
  <si>
    <t>Bao Đựng Hộ Chiếu - AHP</t>
  </si>
  <si>
    <t>AHP</t>
  </si>
  <si>
    <t>Bao Đựng Hộ Chiếu</t>
  </si>
  <si>
    <t>BA2S</t>
  </si>
  <si>
    <t>BA2</t>
  </si>
  <si>
    <t>Bịt Mắt - EM</t>
  </si>
  <si>
    <t>EM0</t>
  </si>
  <si>
    <t>Bịt Mắt - EM2</t>
  </si>
  <si>
    <t>EM2</t>
  </si>
  <si>
    <t>Bộ Domino Khám Phá Cuộc Sống - KT-GD</t>
  </si>
  <si>
    <t>KT-GD</t>
  </si>
  <si>
    <t>GGD</t>
  </si>
  <si>
    <t>Domino</t>
  </si>
  <si>
    <t>Bộ Matching Game Chú Voi Đi Đâu Rồi? - KG-MA</t>
  </si>
  <si>
    <t>KG-MA</t>
  </si>
  <si>
    <t>GMA</t>
  </si>
  <si>
    <t>Bộ game "Chú voi đi đâu rồi"</t>
  </si>
  <si>
    <t>Bộ xếp hình khám phá thế giới (4 tranh) - KT-GP2</t>
  </si>
  <si>
    <t>KT-GP2</t>
  </si>
  <si>
    <t>GGP</t>
  </si>
  <si>
    <t>Xếp Hình 4 tranh Khám phá thế giới</t>
  </si>
  <si>
    <t>Đoán đi chờ chi - GF-CG</t>
  </si>
  <si>
    <t>GF-CG</t>
  </si>
  <si>
    <t>GCG</t>
  </si>
  <si>
    <t>Đoán đi chờ chi</t>
  </si>
  <si>
    <t>IPC</t>
  </si>
  <si>
    <t>Mũ ba tai - AHA2</t>
  </si>
  <si>
    <t>AHA2</t>
  </si>
  <si>
    <t>AH2</t>
  </si>
  <si>
    <t>Mũ Tòhe</t>
  </si>
  <si>
    <t>Mũ nhung hai mặt - AHA</t>
  </si>
  <si>
    <t>AHA</t>
  </si>
  <si>
    <t>AH0</t>
  </si>
  <si>
    <t>Mũ Nhung Hai Mặt</t>
  </si>
  <si>
    <t>Mũ Tòhe - AHA</t>
  </si>
  <si>
    <t>AHA20</t>
  </si>
  <si>
    <t>AH1</t>
  </si>
  <si>
    <t>Mũ Việt Nam - AHA3</t>
  </si>
  <si>
    <t>AHA3</t>
  </si>
  <si>
    <t>AH3</t>
  </si>
  <si>
    <t>Tag hành lý - ATG</t>
  </si>
  <si>
    <t>ATG</t>
  </si>
  <si>
    <t>Tag hành lý</t>
  </si>
  <si>
    <t>Túi Ba Gang Đeo Chéo</t>
  </si>
  <si>
    <t>ABCB21</t>
  </si>
  <si>
    <t>A21</t>
  </si>
  <si>
    <t>Túi Đeo Hai Kiểu</t>
  </si>
  <si>
    <t>ABTF</t>
  </si>
  <si>
    <t>ABT</t>
  </si>
  <si>
    <t>Túi Đựng Bút - ACPB</t>
  </si>
  <si>
    <t>ACPB</t>
  </si>
  <si>
    <t>ACP</t>
  </si>
  <si>
    <t>Túi Đựng Bút</t>
  </si>
  <si>
    <t>Túi Hộp Daily Bag - ABBM20</t>
  </si>
  <si>
    <t>ABBM20</t>
  </si>
  <si>
    <t>ABB</t>
  </si>
  <si>
    <t>Túi Hộp Đeo Chéo</t>
  </si>
  <si>
    <t>Túi Linen Moon - ABLM</t>
  </si>
  <si>
    <t>ABLM</t>
  </si>
  <si>
    <t>ABL</t>
  </si>
  <si>
    <t>Túi Linen Moon</t>
  </si>
  <si>
    <t>Túi Rút Dây Nhỏ - ABDM</t>
  </si>
  <si>
    <t>ABDM</t>
  </si>
  <si>
    <t>AB2</t>
  </si>
  <si>
    <t>Túi rút dây đeo chéo (nhỏ)</t>
  </si>
  <si>
    <t>Túi Rút Dây To - ABD</t>
  </si>
  <si>
    <t>ABD</t>
  </si>
  <si>
    <t>AB1</t>
  </si>
  <si>
    <t>Túi rút dây đeo chéo</t>
  </si>
  <si>
    <t>Túi shopping gấp gọn - ABG</t>
  </si>
  <si>
    <t>ABG</t>
  </si>
  <si>
    <t>AG1</t>
  </si>
  <si>
    <t>Túi shopping gấp gọn</t>
  </si>
  <si>
    <t>Túi shopping gấp gọn lớn - ABGL</t>
  </si>
  <si>
    <t>ABGL</t>
  </si>
  <si>
    <t>AG2</t>
  </si>
  <si>
    <t>ABFF</t>
  </si>
  <si>
    <t>ABF</t>
  </si>
  <si>
    <t>Túi Thời Trang Gấp Gọn</t>
  </si>
  <si>
    <t>Túi Tote Khủng Long - ABTB1</t>
  </si>
  <si>
    <t>ABTB1</t>
  </si>
  <si>
    <t>AT1</t>
  </si>
  <si>
    <t>Túi Tote Khủng Long Thò Đuôi</t>
  </si>
  <si>
    <t>Túi Tote Ngôi Sao - ABSD18</t>
  </si>
  <si>
    <t>ABSD18</t>
  </si>
  <si>
    <t>AT2</t>
  </si>
  <si>
    <t>Túi Tote Ngôi Sao</t>
  </si>
  <si>
    <t>Túi Trống Tròn - RB2</t>
  </si>
  <si>
    <t>RB2</t>
  </si>
  <si>
    <t>Túi tròn</t>
  </si>
  <si>
    <t>Ví Phụ Kiện  - APOC</t>
  </si>
  <si>
    <t>APOC</t>
  </si>
  <si>
    <t>APO</t>
  </si>
  <si>
    <t>Ví Phụ Kiện "BST Ngôi Sao" - APOC-S</t>
  </si>
  <si>
    <t>APOCS</t>
  </si>
  <si>
    <t>APS</t>
  </si>
  <si>
    <t>Ví Đựng Đồ Cá Nhân "Ngôi Sao"</t>
  </si>
  <si>
    <t>Ví Vải Ba Ngăn - AWSZ</t>
  </si>
  <si>
    <t>AWSZ</t>
  </si>
  <si>
    <t>AW2</t>
  </si>
  <si>
    <t>Ví vuông</t>
  </si>
  <si>
    <t>Ví Vuông Mini - AWM</t>
  </si>
  <si>
    <t>AWM</t>
  </si>
  <si>
    <t>AW1</t>
  </si>
  <si>
    <t>Ví vuông mini</t>
  </si>
  <si>
    <t>GYUTO</t>
  </si>
  <si>
    <t>GYU</t>
  </si>
  <si>
    <t>SANTOKU</t>
  </si>
  <si>
    <t>DBU</t>
  </si>
  <si>
    <t>PARING</t>
  </si>
  <si>
    <t>PETTY</t>
  </si>
  <si>
    <t>PET</t>
  </si>
  <si>
    <t>BUNKA</t>
  </si>
  <si>
    <t>BUN</t>
  </si>
  <si>
    <t>NAKIRI390</t>
  </si>
  <si>
    <t>NAK</t>
  </si>
  <si>
    <t>CHEF</t>
  </si>
  <si>
    <t>Amelia Purse</t>
  </si>
  <si>
    <t>AP0</t>
  </si>
  <si>
    <t>Amelia Purse I</t>
  </si>
  <si>
    <t>API</t>
  </si>
  <si>
    <t>AP1</t>
  </si>
  <si>
    <t>Men Clutch</t>
  </si>
  <si>
    <t>ML0</t>
  </si>
  <si>
    <t>Men Clutch I</t>
  </si>
  <si>
    <t>MLI</t>
  </si>
  <si>
    <t>Ml1</t>
  </si>
  <si>
    <t>Glasses Case</t>
  </si>
  <si>
    <t>GC0</t>
  </si>
  <si>
    <t>Accessories Bag L</t>
  </si>
  <si>
    <t>Accessories Bag S</t>
  </si>
  <si>
    <t>Montagrard</t>
  </si>
  <si>
    <t>MG</t>
  </si>
  <si>
    <t>MON</t>
  </si>
  <si>
    <t>Hand Bag</t>
  </si>
  <si>
    <t>Wash Bag Size L</t>
  </si>
  <si>
    <t>WAS</t>
  </si>
  <si>
    <t>Ottilie Bag</t>
  </si>
  <si>
    <t>OTT</t>
  </si>
  <si>
    <t>Design</t>
  </si>
  <si>
    <t>Color</t>
  </si>
  <si>
    <t>Size</t>
  </si>
  <si>
    <t>T-Shirt Crew Neck</t>
  </si>
  <si>
    <t>PRODUCT_GROUP</t>
  </si>
  <si>
    <t>PRODUCT_NAME</t>
  </si>
  <si>
    <t>TYPE_NAME_DETAIL_EN</t>
  </si>
  <si>
    <t>TYPE_NAME_GROUP</t>
  </si>
  <si>
    <t>SF2</t>
  </si>
  <si>
    <t>T-Shirt</t>
  </si>
  <si>
    <t>Short</t>
  </si>
  <si>
    <t>Shirt</t>
  </si>
  <si>
    <t>Blouse</t>
  </si>
  <si>
    <t>Hoodie</t>
  </si>
  <si>
    <t>Pants</t>
  </si>
  <si>
    <t>Polo</t>
  </si>
  <si>
    <t>Tank Top</t>
  </si>
  <si>
    <t>Skirt</t>
  </si>
  <si>
    <t>1002706198035</t>
  </si>
  <si>
    <t>Concept</t>
  </si>
  <si>
    <t>CCO-EDE-UNI-SOU-FRA-FRA-MIX-0</t>
  </si>
  <si>
    <t>1018774360946</t>
  </si>
  <si>
    <t>CCO-DSP-UNI-BAG-HDB-CON-RGN-0</t>
  </si>
  <si>
    <t>1028616235707</t>
  </si>
  <si>
    <t>CCO-DSP-UNI-BAG-CLU-BAR-RED-0</t>
  </si>
  <si>
    <t>1029532505400</t>
  </si>
  <si>
    <t>CCO-DSP-UNI-BAG-CLU-BAR-PUR-0</t>
  </si>
  <si>
    <t>1037951943130</t>
  </si>
  <si>
    <t>Art</t>
  </si>
  <si>
    <t>CCO-PAS-UNI-ART-ART-CP1-MIX-A3</t>
  </si>
  <si>
    <t>1061114435798</t>
  </si>
  <si>
    <t>Khăn 2M Truyen Kieu 70x70</t>
  </si>
  <si>
    <t>CCO-LAN-UNI-HWR-SC2-TKU-PIN-70x70</t>
  </si>
  <si>
    <t>1075263734800</t>
  </si>
  <si>
    <t>CPU-VNE-UNI-SOU-DAS-SAN-SGR-18CM</t>
  </si>
  <si>
    <t>1087844862079</t>
  </si>
  <si>
    <t>CCO-PAS-UNI-ART-ART-FRA-MIX-AG</t>
  </si>
  <si>
    <t>1102806988670</t>
  </si>
  <si>
    <t>CPU-PSD-UNI-SOU-DEC-SIB-BRO-8</t>
  </si>
  <si>
    <t>1105872563871</t>
  </si>
  <si>
    <t>CCO-DSP-UNI-FWR-FLA-CO1-HOE-37</t>
  </si>
  <si>
    <t>1130035009057</t>
  </si>
  <si>
    <t>Khăn 2M Đoàn Thị Điểm 70x70</t>
  </si>
  <si>
    <t>CCO-LAN-UNI-HWR-SC2-DTD-GRN-70x70</t>
  </si>
  <si>
    <t>1134914281077</t>
  </si>
  <si>
    <t>Silk beads</t>
  </si>
  <si>
    <t>CCO-HAM-UNI-JEW-NEC-142-MIX-0</t>
  </si>
  <si>
    <t>1145867173203</t>
  </si>
  <si>
    <t>CCO-PAS-UNI-ART-ART-FRA-MIX-A1</t>
  </si>
  <si>
    <t>1148733069105</t>
  </si>
  <si>
    <t>CCO-PAS-UNI-ART-ART-HHR-MIX-A1</t>
  </si>
  <si>
    <t>1150392641639</t>
  </si>
  <si>
    <t>CCO-DSP-UNI-BAG-CHR-SCH-BWH-0</t>
  </si>
  <si>
    <t>1159525763002</t>
  </si>
  <si>
    <t>Silk beads, Enamel</t>
  </si>
  <si>
    <t>CCO-HAM-UNI-JEW-NEC-A29-MIX-0</t>
  </si>
  <si>
    <t>1164868917173</t>
  </si>
  <si>
    <t>CCO-HAM-UNI-JEW-NEC-076-MIX-0</t>
  </si>
  <si>
    <t>1188206568438</t>
  </si>
  <si>
    <t>CCO-HAM-UNI-JEW-NEC-140-MIX-0</t>
  </si>
  <si>
    <t>1196268057401</t>
  </si>
  <si>
    <t>GPR-GCF-UNI-FNB-CFO-RPT-MIX-0</t>
  </si>
  <si>
    <t>1210083593576</t>
  </si>
  <si>
    <t xml:space="preserve">Túi cầm tay loại lớn (Accessories Bag L) </t>
  </si>
  <si>
    <t>CCO-DSP-UNI-BAG-HDB-ABG-HGP-L</t>
  </si>
  <si>
    <t>1211280847608</t>
  </si>
  <si>
    <t>CCO-DSP-UNI-BAG-CCR-AZ1-DBN-0</t>
  </si>
  <si>
    <t>1213911738606</t>
  </si>
  <si>
    <t>CCO-DSP-UNI-FWR-LES-BL1-TOB-39</t>
  </si>
  <si>
    <t>1229417612005</t>
  </si>
  <si>
    <t>CCO-DSP-UNI-BAG-WAL-SEU-OBO-0</t>
  </si>
  <si>
    <t>1273977977135</t>
  </si>
  <si>
    <t>CPU-LTN-UNI-FNB-GIN-HAI-MIX-0</t>
  </si>
  <si>
    <t>1283418848801</t>
  </si>
  <si>
    <t>CPU-NGO-UNI-FWR-SNE-SGS-SAG-40</t>
  </si>
  <si>
    <t>1290167137971</t>
  </si>
  <si>
    <t>Nam Phương 6x130</t>
  </si>
  <si>
    <t>CCO-LAN-UNI-HWR-SC2-NPG-PUR-6x130</t>
  </si>
  <si>
    <t>1291120572778</t>
  </si>
  <si>
    <t>CPU-MAZ-UNI-SOU-GAM-HNL-LUM-0</t>
  </si>
  <si>
    <t>1296283698136</t>
  </si>
  <si>
    <t>CCO-DSP-UNI-FWR-LES-PHD-BUR-45</t>
  </si>
  <si>
    <t>1298050638031</t>
  </si>
  <si>
    <t>ED Tote Bag - Miss Kim</t>
  </si>
  <si>
    <t>CCO-EDE-UNI-BAG-TTB-KIM-BLU-0</t>
  </si>
  <si>
    <t>1300311935565</t>
  </si>
  <si>
    <t>CPU-PSD-UNI-SOU-DEC-LBA-BSR-56</t>
  </si>
  <si>
    <t>1304694982901</t>
  </si>
  <si>
    <t>CPU-GAR-UNI-SOU-LBS-LB1-MIX-0</t>
  </si>
  <si>
    <t>1316617794201</t>
  </si>
  <si>
    <t>CPU-PSD-UNI-SOU-DEC-SBA-YEL-18</t>
  </si>
  <si>
    <t>1349986647137</t>
  </si>
  <si>
    <t>CCO-DSP-UNI-BAG-HDB-GA1-DAH-0</t>
  </si>
  <si>
    <t>1368319518302</t>
  </si>
  <si>
    <t>Jade, Enamel</t>
  </si>
  <si>
    <t>CCO-HAM-UNI-JEW-EAR-32R-MIX-0</t>
  </si>
  <si>
    <t>9566167175735</t>
  </si>
  <si>
    <t>Jade, Resin</t>
  </si>
  <si>
    <t>1382347346836</t>
  </si>
  <si>
    <t>CCO-DSP-UNI-FWR-SLI-SLN-TAN-40</t>
  </si>
  <si>
    <t>1399832142477</t>
  </si>
  <si>
    <t>CCO-DSP-UNI-BAG-CHR-SCH-LGN-0</t>
  </si>
  <si>
    <t>7945220284935</t>
  </si>
  <si>
    <t>1401275656333</t>
  </si>
  <si>
    <t>CCO-DSP-UNI-BAG-HDB-BRO-TMB-0</t>
  </si>
  <si>
    <t>1415073799703</t>
  </si>
  <si>
    <t>Silk beas, Stones</t>
  </si>
  <si>
    <t>CCO-HAM-UNI-JEW-BRA-M10-MIX-0</t>
  </si>
  <si>
    <t>1416524924231</t>
  </si>
  <si>
    <t>Ngọc Hân - Nguyễn Huệ 90x90</t>
  </si>
  <si>
    <t>CCO-LAN-UNI-HWR-SC1-NHH-GRN-90x90</t>
  </si>
  <si>
    <t>1421659596307</t>
  </si>
  <si>
    <t>ED Tote Bag - Miss Kieu</t>
  </si>
  <si>
    <t>CCO-EDE-UNI-BAG-TTB-KIE-PIN-0</t>
  </si>
  <si>
    <t>1423945312134</t>
  </si>
  <si>
    <t>Gold Plt, Amazonite, EU Leatherr</t>
  </si>
  <si>
    <t>CCO-HAM-UNI-JEW-NEC-110-MIX-0</t>
  </si>
  <si>
    <t>1427761436739</t>
  </si>
  <si>
    <t>CCO-SHI-UNI-FNB-CFB-SLB-WHI-CAN</t>
  </si>
  <si>
    <t>1427994911539</t>
  </si>
  <si>
    <t>CPU-PSD-UNI-SOU-DEC-LBA-BRO-8</t>
  </si>
  <si>
    <t>1428526684303</t>
  </si>
  <si>
    <t>Golden metal,  Silk tassel, Glass</t>
  </si>
  <si>
    <t>CCO-HAM-UNI-JEW-NEC-117-MIX-0</t>
  </si>
  <si>
    <t>1435500672201</t>
  </si>
  <si>
    <t>CCO-ODE-UNI-COS-BCE-D01-NON-0</t>
  </si>
  <si>
    <t>1451923021501</t>
  </si>
  <si>
    <t>CCO-DSP-UNI-BAG-CLU-CEZ-CME-0</t>
  </si>
  <si>
    <t>1488398428207</t>
  </si>
  <si>
    <t>CPU-PSD-UNI-SOU-DEC-SBA-YEL-8</t>
  </si>
  <si>
    <t>1489137949878</t>
  </si>
  <si>
    <t>CCO-DSP-UNI-BAG-HDB-GA1-GRE-0</t>
  </si>
  <si>
    <t>1499412046673</t>
  </si>
  <si>
    <t>Silk Beads, Enamel, Jade</t>
  </si>
  <si>
    <t>CCO-HAM-UNI-JEW-NEC-D73-MIX-0</t>
  </si>
  <si>
    <t>1499577239170</t>
  </si>
  <si>
    <t>CCO-HAM-UNI-JEW-NEC-136-MIX-0</t>
  </si>
  <si>
    <t>1502490339725</t>
  </si>
  <si>
    <t>CCO-DSP-UNI-FWR-SNE-SBA-LDP-42</t>
  </si>
  <si>
    <t>1507485082570</t>
  </si>
  <si>
    <t>CCO-DSP-UNI-BAG-CLU-CEZ-BWR-0</t>
  </si>
  <si>
    <t>1515119052936</t>
  </si>
  <si>
    <t>CCO-DSP-UNI-BAG-CLU-SIS-SLR-0</t>
  </si>
  <si>
    <t>1516608547773</t>
  </si>
  <si>
    <t>CCO-HAM-UNI-JEW-NEC-133-MIX-0</t>
  </si>
  <si>
    <t>1519338977971</t>
  </si>
  <si>
    <t>CCO-DSP-UNI-BAG-CLU-FOU-LDP-0</t>
  </si>
  <si>
    <t>1520022262174</t>
  </si>
  <si>
    <t xml:space="preserve">Túi cầm tay da (Men Clutch I) </t>
  </si>
  <si>
    <t>CCO-DSP-UNI-BAG-CLU-Ml1-REP-0</t>
  </si>
  <si>
    <t>1523887366674</t>
  </si>
  <si>
    <t>Tượng sơn mài Kỳ Lân lớn</t>
  </si>
  <si>
    <t>CPU-PSD-UNI-SOU-DEC-UNI-YEL-L</t>
  </si>
  <si>
    <t>1543501604838</t>
  </si>
  <si>
    <t>CCO-DSP-UNI-FWR-SLI-MAS-RED-40</t>
  </si>
  <si>
    <t>1545183476932</t>
  </si>
  <si>
    <t>CCO-DSP-UNI-FWR-LES-ALF-DBP-36</t>
  </si>
  <si>
    <t>1556263846477</t>
  </si>
  <si>
    <t>ED Cushion -  Miss Thu</t>
  </si>
  <si>
    <t>CCO-EDE-UNI-HDR-CUS-THU-BLU-0</t>
  </si>
  <si>
    <t>1571210738407</t>
  </si>
  <si>
    <t>CCO-HAM-UNI-JEW-NEC-134-MIX-0</t>
  </si>
  <si>
    <t>1584738606639</t>
  </si>
  <si>
    <t>CCO-DSP-UNI-FWR-LES-ALF-RBK-40</t>
  </si>
  <si>
    <t>1590954363805</t>
  </si>
  <si>
    <t>ED Ethnic Bag -  Moc Chau</t>
  </si>
  <si>
    <t>CCO-EDE-UNI-BAG-ETB-MCU-MIX-0</t>
  </si>
  <si>
    <t>1596098935533</t>
  </si>
  <si>
    <t>NECKLACE 1</t>
  </si>
  <si>
    <t>CCO-HAM-UNI-JEW-NEC-001-MIX-0</t>
  </si>
  <si>
    <t>1638009044436</t>
  </si>
  <si>
    <t>CPU-NGO-UNI-FWR-SNE-SGS-PEA-43</t>
  </si>
  <si>
    <t>1640111804938</t>
  </si>
  <si>
    <t>CCO-RUN-UNI-HDR-FBA-THG-MIX-0</t>
  </si>
  <si>
    <t>1658014971671</t>
  </si>
  <si>
    <t>Silk Beads, Enamel, Silk Tassel</t>
  </si>
  <si>
    <t>CCO-HAM-UNI-JEW-NEC-D70-MIX-0</t>
  </si>
  <si>
    <t>1679872804772</t>
  </si>
  <si>
    <t>ED Cushion -  Miss Kieu</t>
  </si>
  <si>
    <t>CCO-EDE-UNI-HDR-CUS-KIE-RED-0</t>
  </si>
  <si>
    <t>1696558049937</t>
  </si>
  <si>
    <t>CCO-DSP-UNI-BAG-CCR-AZP-BLK-0</t>
  </si>
  <si>
    <t>1698034083978</t>
  </si>
  <si>
    <t>GPR-GCF-UNI-FNB-CFO-COC-MIX-0</t>
  </si>
  <si>
    <t>1718848045570</t>
  </si>
  <si>
    <t>CCO-DSP-UNI-FWR-LES-EL1-CHO-41</t>
  </si>
  <si>
    <t>1743216635831</t>
  </si>
  <si>
    <t>CPU-PSD-UNI-SOU-DEC-LBA-GRN-18</t>
  </si>
  <si>
    <t>1745478422631</t>
  </si>
  <si>
    <t>Black Pepper &amp; Salt Mix Grinder</t>
  </si>
  <si>
    <t>CPU-BLS-UNI-FNB-SAL-007-MIX-70g</t>
  </si>
  <si>
    <t>1765992138238</t>
  </si>
  <si>
    <t>CCO-DSP-UNI-FWR-HDB-STL-BUR-46</t>
  </si>
  <si>
    <t>1766077649335</t>
  </si>
  <si>
    <t>CCO-DSP-UNI-BAG-CLU-CHA-BPA-0</t>
  </si>
  <si>
    <t>1771068326331</t>
  </si>
  <si>
    <t>CCO-DSP-UNI-FWR-LES-ALF-DBN-48</t>
  </si>
  <si>
    <t>1784317619634</t>
  </si>
  <si>
    <t>CCO-DSP-UNI-FWR-LES-BOX-TUR-41</t>
  </si>
  <si>
    <t>1784461648108</t>
  </si>
  <si>
    <t>CCO-HAM-UNI-JEW-NEC-139-MIX-0</t>
  </si>
  <si>
    <t>1795077179672</t>
  </si>
  <si>
    <t>Mũ Tòhe - AHA20</t>
  </si>
  <si>
    <t>CCO-TOH-UNI-HWR-HAT-AH1-MIX-0</t>
  </si>
  <si>
    <t>1801304336876</t>
  </si>
  <si>
    <t>CCO-DSP-UNI-BAG-HDB-SHE-PIN-0</t>
  </si>
  <si>
    <t>1812036023002</t>
  </si>
  <si>
    <t>CCO-DSP-UNI-BAG-WAL-PIA-MBE-0</t>
  </si>
  <si>
    <t>1832990741170</t>
  </si>
  <si>
    <t>CCO-DSP-UNI-ACC-KEY-DUC-DBN-0</t>
  </si>
  <si>
    <t>1835716156531</t>
  </si>
  <si>
    <t>CCO-DSP-UNI-FWR-LES-BOX-BUR-44</t>
  </si>
  <si>
    <t>1843658637674</t>
  </si>
  <si>
    <t>Thánh Gióng 90x90</t>
  </si>
  <si>
    <t>CCO-LAN-UNI-HWR-SC1-TGG-GRN-90x90</t>
  </si>
  <si>
    <t>1852821371574</t>
  </si>
  <si>
    <t>Sương Nguyệt Anh 60x60</t>
  </si>
  <si>
    <t>CCO-LAN-UNI-HWR-SC2-SNA-YEL-60x60</t>
  </si>
  <si>
    <t>1863453699905</t>
  </si>
  <si>
    <t>ED Ethnic Clutch -  Cong</t>
  </si>
  <si>
    <t>CCO-EDE-UNI-BAG-CLU-CON-MIX-L</t>
  </si>
  <si>
    <t>1884219618404</t>
  </si>
  <si>
    <t>CPU-VNE-UNI-SOU-SMS-DBU-SGR-19CM</t>
  </si>
  <si>
    <t>1885945921035</t>
  </si>
  <si>
    <t>CCO-DSP-UNI-BAG-CLU-MIL-MBE-0</t>
  </si>
  <si>
    <t>1896893188531</t>
  </si>
  <si>
    <t>CCO-DSP-UNI-FWR-LES-LAS-PIN-37</t>
  </si>
  <si>
    <t>1900613673808</t>
  </si>
  <si>
    <t>CCO-DSP-UNI-BAG-CLU-CEZ-YEL-0</t>
  </si>
  <si>
    <t>1924795075403</t>
  </si>
  <si>
    <t>Silk beads, Golden metal</t>
  </si>
  <si>
    <t>CCO-HAM-UNI-JEW-NEC-121-MIX-0</t>
  </si>
  <si>
    <t>1940226356132</t>
  </si>
  <si>
    <t>CCO-DSP-UNI-HDR-LTK-LTK-SLR-0</t>
  </si>
  <si>
    <t>1951737347007</t>
  </si>
  <si>
    <t xml:space="preserve">Túi Ottilie (Ottilie Bag) </t>
  </si>
  <si>
    <t>CCO-DSP-UNI-BAG-HDB-OTT-HEA-0</t>
  </si>
  <si>
    <t>1954563392845</t>
  </si>
  <si>
    <t>CCO-DSP-UNI-BAG-CHR-SCH-DPK-0</t>
  </si>
  <si>
    <t>1956481755504</t>
  </si>
  <si>
    <t>CCO-DSP-UNI-FWR-LES-ALF-MBE-38</t>
  </si>
  <si>
    <t>1983558867402</t>
  </si>
  <si>
    <t>CCO-DSP-UNI-BAG-CHR-SCH-BLK-0</t>
  </si>
  <si>
    <t>2835417806505</t>
  </si>
  <si>
    <t>7384398594307</t>
  </si>
  <si>
    <t>1987062658204</t>
  </si>
  <si>
    <t>ED Ethnic Clutch -  An</t>
  </si>
  <si>
    <t>CCO-EDE-UNI-BAG-CLU-AN0-MIX-L</t>
  </si>
  <si>
    <t>1988501809874</t>
  </si>
  <si>
    <t>SEA SALT GRINDER 85G</t>
  </si>
  <si>
    <t>CPU-BLS-UNI-FNB-SAL-005-MIX-85g</t>
  </si>
  <si>
    <t>1993608473002</t>
  </si>
  <si>
    <t>CCO-TKC-UNI-FNB-CFD-ROB-NON-250g</t>
  </si>
  <si>
    <t>1993705343338</t>
  </si>
  <si>
    <t>Tượng sơn mài Kỳ Lân trung</t>
  </si>
  <si>
    <t>CPU-PSD-UNI-SOU-DEC-UNI-YEL-M</t>
  </si>
  <si>
    <t>1994099641178</t>
  </si>
  <si>
    <t>CPU-PSD-UNI-SOU-DEC-BCB-YEL-40</t>
  </si>
  <si>
    <t>1994925708532</t>
  </si>
  <si>
    <t>Thành Cổ Loa 60x60</t>
  </si>
  <si>
    <t>CCO-LAN-UNI-HWR-SC2-TCL-YEL-60x60</t>
  </si>
  <si>
    <t>2030054998501</t>
  </si>
  <si>
    <t>CCO-SHI-UNI-FNB-CFP-KSB-WHI-BOX</t>
  </si>
  <si>
    <t>2030312268933</t>
  </si>
  <si>
    <t>CCO-DSP-UNI-BAG-CBG-RUS-MBE-0</t>
  </si>
  <si>
    <t>2033403019995</t>
  </si>
  <si>
    <t>CCO-DSP-UNI-FWR-SNE-SBR-LDP-40</t>
  </si>
  <si>
    <t>2059262329273</t>
  </si>
  <si>
    <t>CCO-DSP-UNI-FWR-LES-PHD-BLK-39</t>
  </si>
  <si>
    <t>2073747775836</t>
  </si>
  <si>
    <t>CPU-PSD-UNI-SOU-DEC-SBA-BRO-8</t>
  </si>
  <si>
    <t>2089846116005</t>
  </si>
  <si>
    <t>CPU-PSD-UNI-SOU-DEC-SIB-YEL-8</t>
  </si>
  <si>
    <t>2096286567304</t>
  </si>
  <si>
    <t>Ví cầm tay nữ (Amelia Purse)</t>
  </si>
  <si>
    <t>CCO-DSP-UNI-BAG-CLU-AP0-GOT-0</t>
  </si>
  <si>
    <t>2108545863673</t>
  </si>
  <si>
    <t>CPU-PSD-UNI-SOU-DEC-LBA-GRN-8</t>
  </si>
  <si>
    <t>2111935119304</t>
  </si>
  <si>
    <t>Mai Chau Canvas Black</t>
  </si>
  <si>
    <t>CPU-NGO-UNI-FWR-SNE-MCS-BLU-38</t>
  </si>
  <si>
    <t>2114270886375</t>
  </si>
  <si>
    <t>CPU-PSD-UNI-SOU-DEC-LBA-TER-75</t>
  </si>
  <si>
    <t>2123103413121</t>
  </si>
  <si>
    <t>CPU-PSD-UNI-SOU-DEC-LBA-YEL-56</t>
  </si>
  <si>
    <t>2133182363804</t>
  </si>
  <si>
    <t>Tượng sơn mài Kỳ Lân nhỏ</t>
  </si>
  <si>
    <t>CPU-PSD-UNI-SOU-DEC-UNI-YEL-S</t>
  </si>
  <si>
    <t>2152476667237</t>
  </si>
  <si>
    <t>CCO-DSP-UNI-FWR-LES-BOX-BLK-37</t>
  </si>
  <si>
    <t>2173136900747</t>
  </si>
  <si>
    <t>Silk beads, Metal,Silk tassel</t>
  </si>
  <si>
    <t>CCO-HAM-UNI-JEW-NEC-A31-MIX-0</t>
  </si>
  <si>
    <t>2173610299831</t>
  </si>
  <si>
    <t>Silk beads, Quartz, Enamel</t>
  </si>
  <si>
    <t>CCO-HAM-UNI-JEW-NEC-054-MIX-0</t>
  </si>
  <si>
    <t>2177678311672</t>
  </si>
  <si>
    <t>Đường sắt Bắc Nam 60x60</t>
  </si>
  <si>
    <t>CCO-LAN-UNI-HWR-SC2-DBN-BLU-60x60</t>
  </si>
  <si>
    <t>2190925309475</t>
  </si>
  <si>
    <t>CCO-DSP-UNI-SOU-SAS-WBX-TUM-0</t>
  </si>
  <si>
    <t>2197898388841</t>
  </si>
  <si>
    <t>HOI AN Mint purple</t>
  </si>
  <si>
    <t>CPU-NGO-UNI-FWR-SNE-HAI-MPE-40</t>
  </si>
  <si>
    <t>2219673078836</t>
  </si>
  <si>
    <t>Cà phê RuNam hạt số 5 500gr</t>
  </si>
  <si>
    <t>CCO-RUN-UNI-FNB-CFB-SO5-NON-500g</t>
  </si>
  <si>
    <t>2242527031176</t>
  </si>
  <si>
    <t>ED Ethnic Cushion - 6 Miss Portraits</t>
  </si>
  <si>
    <t>CCO-EDE-UNI-HDR-CUS-6MS-MIX-0</t>
  </si>
  <si>
    <t>2248474627004</t>
  </si>
  <si>
    <t>Silk beads, Enamel, Silk Tassel</t>
  </si>
  <si>
    <t>CCO-HAM-UNI-JEW-NEC-L34-MIX-0</t>
  </si>
  <si>
    <t>2259133090022</t>
  </si>
  <si>
    <t>PLACE-MAT pcs</t>
  </si>
  <si>
    <t>CCO-EDE-UNI-HDR-TCL-MIX-MIX-0</t>
  </si>
  <si>
    <t>2296166474108</t>
  </si>
  <si>
    <t>CPU-NGO-UNI-FWR-SNE-SGS-PEA-42</t>
  </si>
  <si>
    <t>2307306916072</t>
  </si>
  <si>
    <t>CCO-DSP-UNI-BAG-WAL-SEU-CHE-0</t>
  </si>
  <si>
    <t>2307520434901</t>
  </si>
  <si>
    <t>CPU-PSD-UNI-SOU-DEC-TWB-YEL-BOX</t>
  </si>
  <si>
    <t>2323019971276</t>
  </si>
  <si>
    <t>Truyện Kiều 6x130</t>
  </si>
  <si>
    <t>CCO-LAN-UNI-HWR-SC2-TKU-PIN-6x130</t>
  </si>
  <si>
    <t>2330496205671</t>
  </si>
  <si>
    <t>CCO-DSP-UNI-BAG-CHR-SCH-LDP-0</t>
  </si>
  <si>
    <t>2341947554637</t>
  </si>
  <si>
    <t>CCO-DSP-UNI-HDR-TRA-ST2-DGN-0</t>
  </si>
  <si>
    <t>2349089752676</t>
  </si>
  <si>
    <t>An Tư  90x90</t>
  </si>
  <si>
    <t>CCO-LAN-UNI-HWR-SC1-ATU-BLU-90x90</t>
  </si>
  <si>
    <t>2351344749802</t>
  </si>
  <si>
    <t>Silk beads, Agates</t>
  </si>
  <si>
    <t>CCO-HAM-UNI-JEW-NEC-138-MIX-0</t>
  </si>
  <si>
    <t>2352181201270</t>
  </si>
  <si>
    <t>Jade, Crystal</t>
  </si>
  <si>
    <t>CCO-HAM-UNI-JEW-EAR-E42-MIX-0</t>
  </si>
  <si>
    <t>2359995938637</t>
  </si>
  <si>
    <t>Khăn 2 mặt Sapa 90x90</t>
  </si>
  <si>
    <t>CCO-LAN-UNI-HWR-SC2-SPA-PUR-90x90</t>
  </si>
  <si>
    <t>2375291958209</t>
  </si>
  <si>
    <t>RED PEPPER GRINDER 50G</t>
  </si>
  <si>
    <t>CPU-BLS-UNI-FNB-SAL-014-MIX-50g</t>
  </si>
  <si>
    <t>2387062505277</t>
  </si>
  <si>
    <t>CPU-VNE-UNI-SOU-SMS-NAK-SGR-16CM</t>
  </si>
  <si>
    <t>2395527031100</t>
  </si>
  <si>
    <t>CCO-DSP-UNI-FWR-LES-BOX-BUR-38</t>
  </si>
  <si>
    <t>2396037773306</t>
  </si>
  <si>
    <t>Hoàng Tử bé 6x130</t>
  </si>
  <si>
    <t>CCO-LAN-UNI-HWR-SC2-HTB-YEL-6x130</t>
  </si>
  <si>
    <t>2396950987774</t>
  </si>
  <si>
    <t>CCO-DSP-UNI-FWR-LES-BLF-CHO-39</t>
  </si>
  <si>
    <t>2408776335278</t>
  </si>
  <si>
    <t>CCO-DSP-UNI-FWR-LES-ALF-BPA-45</t>
  </si>
  <si>
    <t>2410931404637</t>
  </si>
  <si>
    <t>CPU-MAZ-UNI-SOU-GAM-TTT-WOE-0</t>
  </si>
  <si>
    <t>2417010783577</t>
  </si>
  <si>
    <t>CCO-DSP-UNI-FWR-LES-OWE-BLK-38</t>
  </si>
  <si>
    <t>2429451633137</t>
  </si>
  <si>
    <t>An Tư 60x60</t>
  </si>
  <si>
    <t>CCO-LAN-UNI-HWR-SC2-ATU-BLU-60x60</t>
  </si>
  <si>
    <t>2431971236804</t>
  </si>
  <si>
    <t>CCO-DSP-UNI-FWR-LES-BOX-DRB-38</t>
  </si>
  <si>
    <t>2448457369956</t>
  </si>
  <si>
    <t>Metal, Silk Tassel</t>
  </si>
  <si>
    <t>CCO-HAM-UNI-JEW-NEC-027-MIX-0</t>
  </si>
  <si>
    <t>2451396492371</t>
  </si>
  <si>
    <t>CPU-PSD-UNI-SOU-DEC-TWB-GRN-BOX</t>
  </si>
  <si>
    <t>2460560759202</t>
  </si>
  <si>
    <t>Ginkgo’s Phở Gà A2</t>
  </si>
  <si>
    <t>CCO-PAS-UNI-ART-ART-GPG-MIX-A2</t>
  </si>
  <si>
    <t>2464498615043</t>
  </si>
  <si>
    <t>Kassod wood, Metal</t>
  </si>
  <si>
    <t>CCO-HAM-UNI-JEW-NEC-N17-MIX-0</t>
  </si>
  <si>
    <t>2469431401851</t>
  </si>
  <si>
    <t>Metal, Natural wood</t>
  </si>
  <si>
    <t>CCO-HAM-UNI-JEW-NEC-N50-MIX-0</t>
  </si>
  <si>
    <t>2471255267575</t>
  </si>
  <si>
    <t>GPR-GCF-UNI-FNB-CFO-AME-MIX-0</t>
  </si>
  <si>
    <t>2478263141200</t>
  </si>
  <si>
    <t>CPU-PSD-UNI-SOU-DEC-LBA-YEL-18</t>
  </si>
  <si>
    <t>2478815261202</t>
  </si>
  <si>
    <t>CCO-DSP-UNI-FWR-LES-LAW-DBN-39</t>
  </si>
  <si>
    <t>2523222541031</t>
  </si>
  <si>
    <t>CCO-DSP-UNI-FWR-SLI-LMS-TUR-0</t>
  </si>
  <si>
    <t>2527779209307</t>
  </si>
  <si>
    <t>Cà phê RuNam hạt số 6 500gr</t>
  </si>
  <si>
    <t>CCO-RUN-UNI-FNB-CFB-SO6-NON-500g</t>
  </si>
  <si>
    <t>2532058523487</t>
  </si>
  <si>
    <t>Khăn 2M Quốc Học Huế 70x70</t>
  </si>
  <si>
    <t>CCO-LAN-UNI-HWR-SC2-QHH-RED-70x70</t>
  </si>
  <si>
    <t>2532670647509</t>
  </si>
  <si>
    <t>Nam Phương 60x60</t>
  </si>
  <si>
    <t>CCO-LAN-UNI-HWR-SC2-NPG-PUR-60x60</t>
  </si>
  <si>
    <t>2533624083237</t>
  </si>
  <si>
    <t>CPU-MAZ-UNI-SOU-GAM-SGL-LUM-0</t>
  </si>
  <si>
    <t>2545758598976</t>
  </si>
  <si>
    <t>CPU-PSD-UNI-SOU-DEC-LBA-YEL-12</t>
  </si>
  <si>
    <t>9638992423838</t>
  </si>
  <si>
    <t>Túi ba gang - ABCB21</t>
  </si>
  <si>
    <t>CCO-TOH-UNI-BAG-OTH-A21-MIX-S</t>
  </si>
  <si>
    <t>2573134424878</t>
  </si>
  <si>
    <t>Silk beads, Enamel, Agate</t>
  </si>
  <si>
    <t>CCO-HAM-UNI-JEW-NEC-D68-MIX-0</t>
  </si>
  <si>
    <t>2574956784034</t>
  </si>
  <si>
    <t>CCO-DSP-UNI-BAG-CBG-RUS-BLK-0</t>
  </si>
  <si>
    <t>2579491289006</t>
  </si>
  <si>
    <t>CCO-DSP-UNI-FWR-LES-LAW-TMB-37</t>
  </si>
  <si>
    <t>2580315116101</t>
  </si>
  <si>
    <t>CCO-PAS-UNI-ART-ART-MTB-MIX-A3</t>
  </si>
  <si>
    <t>2591416227900</t>
  </si>
  <si>
    <t>Cà phê RuNam hạt số 1 500gr</t>
  </si>
  <si>
    <t>CCO-RUN-UNI-FNB-CFB-SO1-NON-500g</t>
  </si>
  <si>
    <t>2591594854707</t>
  </si>
  <si>
    <t>Ngọc Hân - Nguyễn Huệ 60x60</t>
  </si>
  <si>
    <t>CCO-LAN-UNI-HWR-SC2-NHH-GRN-60x60</t>
  </si>
  <si>
    <t>2607677107209</t>
  </si>
  <si>
    <t>CCO-SHI-UNI-FNB-CFP-SLB-WHI-BOX</t>
  </si>
  <si>
    <t>2611381425801</t>
  </si>
  <si>
    <t>Jade, Amazonite, Leather</t>
  </si>
  <si>
    <t>CCO-HAM-UNI-JEW-NEC-128-MIX-0</t>
  </si>
  <si>
    <t>2612259851005</t>
  </si>
  <si>
    <t>Silk beads, Metal</t>
  </si>
  <si>
    <t>CCO-HAM-UNI-JEW-NEC-D45-MIX-0</t>
  </si>
  <si>
    <t>2619943164106</t>
  </si>
  <si>
    <t>CCO-DSP-UNI-BAG-WAL-SEU-SLR-0</t>
  </si>
  <si>
    <t>2621228071177</t>
  </si>
  <si>
    <t>FIVE- SPICE SALT 100G</t>
  </si>
  <si>
    <t>CPU-BLS-UNI-FNB-SAL-006-MIX-100g</t>
  </si>
  <si>
    <t>2654040679733</t>
  </si>
  <si>
    <t>CCO-DSP-UNI-FWR-SNE-SBR-LDP-39</t>
  </si>
  <si>
    <t>2659199217706</t>
  </si>
  <si>
    <t>CCO-SHI-UNI-FNB-CFB-KSB-WHI-CAN</t>
  </si>
  <si>
    <t>2669540237000</t>
  </si>
  <si>
    <t>CCO-DSP-UNI-BAG-TTB-ALT-DRE-0</t>
  </si>
  <si>
    <t>2670476707581</t>
  </si>
  <si>
    <t>Quốc học Huế 60x60</t>
  </si>
  <si>
    <t>CCO-LAN-UNI-HWR-SC2-QHH-RED-60x60</t>
  </si>
  <si>
    <t>2671767156606</t>
  </si>
  <si>
    <t>Khăn Hà Nội 6x130</t>
  </si>
  <si>
    <t>CCO-LAN-UNI-HWR-SC2-HNI-GRN-6x130</t>
  </si>
  <si>
    <t>2694540439277</t>
  </si>
  <si>
    <t>CCO-DSP-UNI-FWR-HDB-TAL-GBP-40</t>
  </si>
  <si>
    <t>2705962885105</t>
  </si>
  <si>
    <t>Ebony, Silver metal, Agate</t>
  </si>
  <si>
    <t>CCO-HAM-UNI-JEW-NEC-N47-MIX-0</t>
  </si>
  <si>
    <t>2707276781975</t>
  </si>
  <si>
    <t>CCO-DSP-UNI-HDR-TRA-DSP-DGN-0</t>
  </si>
  <si>
    <t>2721919969704</t>
  </si>
  <si>
    <t>CCO-SHI-UNI-FNB-CFP-ALB-WHI-CAN</t>
  </si>
  <si>
    <t>2741621856673</t>
  </si>
  <si>
    <t>CCO-DSP-UNI-FWR-LES-LAW-bul-38</t>
  </si>
  <si>
    <t>2762525772937</t>
  </si>
  <si>
    <t xml:space="preserve">Ví cầm tay (Glasses Case) </t>
  </si>
  <si>
    <t>CCO-DSP-UNI-BAG-WAL-GC0-BLK-0</t>
  </si>
  <si>
    <t>2803027542380</t>
  </si>
  <si>
    <t>CPU-NGO-UNI-FWR-SNE-HAI-MPE-43</t>
  </si>
  <si>
    <t>2803848718834</t>
  </si>
  <si>
    <t>Star Tote Bag - ABSD18</t>
  </si>
  <si>
    <t>CCO-TOH-UNI-BAG-TTB-AT2-MIX-S</t>
  </si>
  <si>
    <t>2806081496309</t>
  </si>
  <si>
    <t>ED Wall Clutch -  Yoke</t>
  </si>
  <si>
    <t>CCO-EDE-UNI-BAG-CLU-YOK-MIX-0</t>
  </si>
  <si>
    <t>2817244369835</t>
  </si>
  <si>
    <t>CCO-SHI-UNI-FNB-CFB-PBO-WHI-BAG</t>
  </si>
  <si>
    <t>2823413975608</t>
  </si>
  <si>
    <t xml:space="preserve">Túi Montagrard (Montagrard) </t>
  </si>
  <si>
    <t>CCO-DSP-UNI-BAG-COS-MON-PUR-0</t>
  </si>
  <si>
    <t>2840915442308</t>
  </si>
  <si>
    <t>CCO-DSP-UNI-ACC-KEY-DU1-CHE-0</t>
  </si>
  <si>
    <t>2863452562735</t>
  </si>
  <si>
    <t>CCO-TKC-UNI-FNB-CFB-DS-NON-250g</t>
  </si>
  <si>
    <t>2891795411939</t>
  </si>
  <si>
    <t>CCO-DSP-UNI-FWR-LES-DRI-RED-39</t>
  </si>
  <si>
    <t>2923370205876</t>
  </si>
  <si>
    <t>CCO-DSP-UNI-FWR-LES-BYR-BLK-47</t>
  </si>
  <si>
    <t>2931072716507</t>
  </si>
  <si>
    <t>Silk beads, Jade</t>
  </si>
  <si>
    <t>CCO-HAM-UNI-JEW-NEC-L32-MIX-0</t>
  </si>
  <si>
    <t>2937662784642</t>
  </si>
  <si>
    <t>CCO-HAM-UNI-JEW-NEC-A36-MIX-0</t>
  </si>
  <si>
    <t>2943070589977</t>
  </si>
  <si>
    <t>CCO-SHI-UNI-FNB-CFP-DLB-WHI-BOX</t>
  </si>
  <si>
    <t>2956770178235</t>
  </si>
  <si>
    <t>CCO-DSP-UNI-FWR-LES-GAB-BLK-40</t>
  </si>
  <si>
    <t>2968570448012</t>
  </si>
  <si>
    <t>CPU-PSD-UNI-SOU-DEC-BCB-BLU-0</t>
  </si>
  <si>
    <t>2971418553700</t>
  </si>
  <si>
    <t>CCO-DSP-UNI-FWR-LES-EL1-PBP-41</t>
  </si>
  <si>
    <t>2985228971630</t>
  </si>
  <si>
    <t>CCO-TKC-UNI-FNB-CFB-ARA-NON-250g</t>
  </si>
  <si>
    <t>2995626027600</t>
  </si>
  <si>
    <t>CCO-HAM-UNI-JEW-NEC-L36-MIX-0</t>
  </si>
  <si>
    <t>3000981527203</t>
  </si>
  <si>
    <t>CCO-DSP-UNI-BAG-CCR-AZ1-BLK-0</t>
  </si>
  <si>
    <t>3003543452104</t>
  </si>
  <si>
    <t>CPU-PSD-UNI-SOU-DEC-TWB-RED-BOX</t>
  </si>
  <si>
    <t>3020990335033</t>
  </si>
  <si>
    <t>CCO-HAM-UNI-JEW-NEC-A42-MIX-0</t>
  </si>
  <si>
    <t>3022410947574</t>
  </si>
  <si>
    <t>CPU-PSD-UNI-SOU-DEC-TWB-BRO-BOX</t>
  </si>
  <si>
    <t>3045716969279</t>
  </si>
  <si>
    <t>GPR-GCF-UNI-FNB-CFO-SPK-MIX-0</t>
  </si>
  <si>
    <t>3064918646207</t>
  </si>
  <si>
    <t>CPU-VNE-UNI-SOU-SMS-PET-SGR-12CM</t>
  </si>
  <si>
    <t>3072464441535</t>
  </si>
  <si>
    <t xml:space="preserve">Túi cầm tay da (Men Clutch) </t>
  </si>
  <si>
    <t>CCO-DSP-UNI-BAG-CLU-ML0-GRE-0</t>
  </si>
  <si>
    <t>3080784181338</t>
  </si>
  <si>
    <t>CCO-DSP-UNI-BAG-CHR-SCH-CMB-0</t>
  </si>
  <si>
    <t>3089113546374</t>
  </si>
  <si>
    <t>CCO-DSP-UNI-FWR-FLA-CO1-CRE-39</t>
  </si>
  <si>
    <t>3095324881104</t>
  </si>
  <si>
    <t>Sương Nguyệt Anh 90x90</t>
  </si>
  <si>
    <t>CCO-LAN-UNI-HWR-SC1-SNA-YEL-90x90</t>
  </si>
  <si>
    <t>3095943785401</t>
  </si>
  <si>
    <t>CCO-DSP-UNI-FWR-SLI-MAS-DED-37</t>
  </si>
  <si>
    <t>3099543289772</t>
  </si>
  <si>
    <t>ED Tote Bag - Miss Xuan</t>
  </si>
  <si>
    <t>CCO-EDE-UNI-BAG-TTB-XUA-GRE-0</t>
  </si>
  <si>
    <t>3127395360872</t>
  </si>
  <si>
    <t>CCO-DSP-UNI-HDR-SAS-DEL-CHE-0</t>
  </si>
  <si>
    <t>3131665772135</t>
  </si>
  <si>
    <t>CCO-RUN-UNI-SOU-SAS-HXN-MIX-0</t>
  </si>
  <si>
    <t>3132780092146</t>
  </si>
  <si>
    <t>CPU-NGO-UNI-FWR-SNE-HAI-MPE-37</t>
  </si>
  <si>
    <t>3136334458839</t>
  </si>
  <si>
    <t>CCO-DSP-UNI-BAG-CHR-BV3-CHO-0</t>
  </si>
  <si>
    <t>3138097068331</t>
  </si>
  <si>
    <t>CCO-DSP-UNI-FWR-LES-BL1-ORA-37</t>
  </si>
  <si>
    <t>3167298584937</t>
  </si>
  <si>
    <t>Silk beads, Silver metal, Silk tassel</t>
  </si>
  <si>
    <t>CCO-HAM-UNI-JEW-NEC-119-MIX-0</t>
  </si>
  <si>
    <t>3179501747008</t>
  </si>
  <si>
    <t>Mai Chau Canvas Beige</t>
  </si>
  <si>
    <t>CPU-NGO-UNI-FWR-SNE-MCS-BRO-40</t>
  </si>
  <si>
    <t>3189673643909</t>
  </si>
  <si>
    <t>Sương Nguyệt Anh 2 90x90</t>
  </si>
  <si>
    <t>CCO-LAN-UNI-HWR-SC2-SNA-YEL-90x90</t>
  </si>
  <si>
    <t>3209637419170</t>
  </si>
  <si>
    <t>Hồ Xuân Hương 60x60</t>
  </si>
  <si>
    <t>CCO-LAN-UNI-HWR-SC2-HXH-BLU-60x60</t>
  </si>
  <si>
    <t>3216457463306</t>
  </si>
  <si>
    <t>CCO-PAS-UNI-ART-ART-TMG-MIX-A3</t>
  </si>
  <si>
    <t>3247477023706</t>
  </si>
  <si>
    <t>CCO-DSP-UNI-FWR-LES-BLA-BLK-41</t>
  </si>
  <si>
    <t>3266089221805</t>
  </si>
  <si>
    <t>ED Ethnic Bag -  Cong</t>
  </si>
  <si>
    <t>CCO-EDE-UNI-BAG-ETB-CON-MIX-0</t>
  </si>
  <si>
    <t>3267291981136</t>
  </si>
  <si>
    <t>Silk beads, Resin, Silk tassel</t>
  </si>
  <si>
    <t>CCO-HAM-UNI-JEW-NEC-102-MIX-0</t>
  </si>
  <si>
    <t>3279076555203</t>
  </si>
  <si>
    <t>CCO-SHI-UNI-FNB-CFP-SLB-WHI-BAG</t>
  </si>
  <si>
    <t>3291752478804</t>
  </si>
  <si>
    <t>CCO-DSP-UNI-FWR-SNE-SBA-MBE-43</t>
  </si>
  <si>
    <t>3295035267833</t>
  </si>
  <si>
    <t>CPU-NGO-UNI-FWR-SNE-SGS-SES-43</t>
  </si>
  <si>
    <t>3300436520903</t>
  </si>
  <si>
    <t>CCO-DSP-UNI-SOU-CBX-CBP-BLK-0</t>
  </si>
  <si>
    <t>3319220044877</t>
  </si>
  <si>
    <t>CCO-PAS-UNI-ART-ART-TNN-MIX-A1</t>
  </si>
  <si>
    <t>3323628447901</t>
  </si>
  <si>
    <t>CCO-DSP-UNI-BAG-WAL-SEU-DGN-0</t>
  </si>
  <si>
    <t>3330929009400</t>
  </si>
  <si>
    <t>Jade, Sterling silver, EU Leather</t>
  </si>
  <si>
    <t>CCO-HAM-UNI-JEW-NEC-099-MIX-0</t>
  </si>
  <si>
    <t>3343496236209</t>
  </si>
  <si>
    <t>CPU-MAZ-UNI-SOU-GAM-HNY-WOE-0</t>
  </si>
  <si>
    <t>3361518551901</t>
  </si>
  <si>
    <t>CCO-ODE-UNI-COS-FCE-B03-NON-0</t>
  </si>
  <si>
    <t>3409481958676</t>
  </si>
  <si>
    <t>ED Tote Bag - Miss Anh</t>
  </si>
  <si>
    <t>CCO-EDE-UNI-BAG-TTB-ANH-YEL-0</t>
  </si>
  <si>
    <t>3411370781074</t>
  </si>
  <si>
    <t>CCO-DSP-UNI-BAG-CLU-CHA-BLK-0</t>
  </si>
  <si>
    <t>3412312207577</t>
  </si>
  <si>
    <t>CPU-NGO-UNI-FWR-SNE-SGS-LYC-42</t>
  </si>
  <si>
    <t>3417286655300</t>
  </si>
  <si>
    <t>Golden metal</t>
  </si>
  <si>
    <t>CCO-HAM-UNI-JEW-EAR-33G-MIX-0</t>
  </si>
  <si>
    <t>3440296234272</t>
  </si>
  <si>
    <t>CCO-DSP-UNI-BAG-CLU-CHA-LDP-0</t>
  </si>
  <si>
    <t>3447872691238</t>
  </si>
  <si>
    <t>Ví cầm tay nữ (Amelia Purse I)</t>
  </si>
  <si>
    <t>CCO-DSP-UNI-BAG-CLU-AP1-CHO-0</t>
  </si>
  <si>
    <t>3457286792407</t>
  </si>
  <si>
    <t>CCO-HAM-UNI-JEW-NEC-A39-MIX-0</t>
  </si>
  <si>
    <t>3467686934574</t>
  </si>
  <si>
    <t>CCO-DSP-UNI-FWR-SLI-MAS-DBN-39</t>
  </si>
  <si>
    <t>3477237256031</t>
  </si>
  <si>
    <t>CCO-HAM-UNI-JEW-NEC-123-MIX-0</t>
  </si>
  <si>
    <t>3499280303838</t>
  </si>
  <si>
    <t>CCO-DSP-UNI-FWR-LES-ALF-BUR-47</t>
  </si>
  <si>
    <t>3508077609777</t>
  </si>
  <si>
    <t>CCO-DSP-UNI-HDR-SAS-DEL-DRE-0</t>
  </si>
  <si>
    <t>3521492372101</t>
  </si>
  <si>
    <t>CCO-DSP-UNI-BAG-WAL-SEU-YWL-0</t>
  </si>
  <si>
    <t>3533090916939</t>
  </si>
  <si>
    <t>ED Tote Bag - Miss Dung</t>
  </si>
  <si>
    <t>CCO-EDE-UNI-BAG-TTB-DUN-WHI-0</t>
  </si>
  <si>
    <t>3533279114606</t>
  </si>
  <si>
    <t>CCO-DSP-UNI-BAG-CHR-SCH-BBM-0</t>
  </si>
  <si>
    <t>3538260887101</t>
  </si>
  <si>
    <t>CCO-HAM-UNI-JEW-EAR-34G-MIX-0</t>
  </si>
  <si>
    <t>3543946264237</t>
  </si>
  <si>
    <t>Jade, Leathetr</t>
  </si>
  <si>
    <t>CCO-HAM-UNI-JEW-NEC-125-MIX-0</t>
  </si>
  <si>
    <t>3553698889176</t>
  </si>
  <si>
    <t>Jade, Glass</t>
  </si>
  <si>
    <t>CCO-HAM-UNI-JEW-EAR-36G-MIX-0</t>
  </si>
  <si>
    <t>3558036693835</t>
  </si>
  <si>
    <t>Tràng An 6x130</t>
  </si>
  <si>
    <t>CCO-LAN-UNI-HWR-SC2-TAN-PIN-6x130</t>
  </si>
  <si>
    <t>3573161902454</t>
  </si>
  <si>
    <t>CCO-DSP-UNI-BAG-HDB-GA1-RED-0</t>
  </si>
  <si>
    <t>3575878768408</t>
  </si>
  <si>
    <t>Silk beads, Agate/ Crystal</t>
  </si>
  <si>
    <t>CCO-HAM-UNI-JEW-BRA-BR0-MIX-0</t>
  </si>
  <si>
    <t>3587043993874</t>
  </si>
  <si>
    <t>CCO-DSP-UNI-ACC-KEY-DUC-LEA-0</t>
  </si>
  <si>
    <t>3591593262205</t>
  </si>
  <si>
    <t>Sương Nguyệt Anh 6x130</t>
  </si>
  <si>
    <t>CCO-LAN-UNI-HWR-SC2-SNA-YEL-6x130</t>
  </si>
  <si>
    <t>3600919737287</t>
  </si>
  <si>
    <t>CCO-SHI-UNI-FNB-CFB-SLB-WHI-BAG</t>
  </si>
  <si>
    <t>3601832192207</t>
  </si>
  <si>
    <t>BLACK PEPPER GRINDER 55G</t>
  </si>
  <si>
    <t>CPU-BLS-UNI-FNB-SAL-012-MIX-55g</t>
  </si>
  <si>
    <t>3602499449109</t>
  </si>
  <si>
    <t>Khăn Sapa 6x130</t>
  </si>
  <si>
    <t>CCO-LAN-UNI-HWR-SC2-SPA-PUR-6x130</t>
  </si>
  <si>
    <t>3622991507770</t>
  </si>
  <si>
    <t>CPU-VNE-UNI-SOU-SMS-CHE-SGR-19CM</t>
  </si>
  <si>
    <t>3625589666446</t>
  </si>
  <si>
    <t>Khăn 2M Ngoc Hân 70x70</t>
  </si>
  <si>
    <t>CCO-LAN-UNI-HWR-SC2-NHH-GRN-70x70</t>
  </si>
  <si>
    <t>3637405186601</t>
  </si>
  <si>
    <t>CCO-PAS-UNI-ART-ART-PAN-MIX-A3</t>
  </si>
  <si>
    <t>3641289979433</t>
  </si>
  <si>
    <t>CPU-NGO-UNI-FWR-SNE-SGS-SES-41</t>
  </si>
  <si>
    <t>3641363489698</t>
  </si>
  <si>
    <t>CCO-EDE-UNI-HDR-CUS-SQA-MIX-0</t>
  </si>
  <si>
    <t>3651930967474</t>
  </si>
  <si>
    <t>CCO-DSP-UNI-BAG-TTB-ALT-BLK-0</t>
  </si>
  <si>
    <t>3652109695211</t>
  </si>
  <si>
    <t>Passport Holder - AHP</t>
  </si>
  <si>
    <t>CCO-TOH-UNI-BAG-PHR-AHP-MIX-0</t>
  </si>
  <si>
    <t>3657804342606</t>
  </si>
  <si>
    <t>CCO-DSP-UNI-BAG-CHR-SCH-LEA-0</t>
  </si>
  <si>
    <t>3687544808872</t>
  </si>
  <si>
    <t>CPU-VNE-UNI-SOU-SMS-GYU-SGR-20CM</t>
  </si>
  <si>
    <t>3687774572178</t>
  </si>
  <si>
    <t>Hai Bà Trưng 2 90x90</t>
  </si>
  <si>
    <t>CCO-LAN-UNI-HWR-SC2-HBT-ORA-90x90</t>
  </si>
  <si>
    <t>3697026246504</t>
  </si>
  <si>
    <t>CPU-GAR-UNI-SOU-SOP-TUR-MIX-0</t>
  </si>
  <si>
    <t>3702385674438</t>
  </si>
  <si>
    <t>ED Tote Bag - Miss Hong</t>
  </si>
  <si>
    <t>CCO-EDE-UNI-BAG-TTB-HO2-PIN-0</t>
  </si>
  <si>
    <t>3732248468201</t>
  </si>
  <si>
    <t>ED Cushion -  Miss Kim</t>
  </si>
  <si>
    <t>CCO-EDE-UNI-HDR-CUS-KIM-BLU-0</t>
  </si>
  <si>
    <t>3734262861709</t>
  </si>
  <si>
    <t>CCO-DSP-UNI-SOU-SAS-WBX-BRP-0</t>
  </si>
  <si>
    <t>3754790359509</t>
  </si>
  <si>
    <t>CCO-TOH-UNI-SOU-POS-PCS-MIX-S</t>
  </si>
  <si>
    <t>3762555772579</t>
  </si>
  <si>
    <t>CCO-DSP-UNI-FWR-LES-DRI-DED-40</t>
  </si>
  <si>
    <t>3775174157030</t>
  </si>
  <si>
    <t>Nam Phương 90x90</t>
  </si>
  <si>
    <t>CCO-LAN-UNI-HWR-SC1-NPG-PUR-90x90</t>
  </si>
  <si>
    <t>3794130558704</t>
  </si>
  <si>
    <t>CCO-DSP-UNI-FWR-LES-LAW-DED-36</t>
  </si>
  <si>
    <t>3794690468031</t>
  </si>
  <si>
    <t>Linen Moon Bag - ABLM</t>
  </si>
  <si>
    <t>CCO-TOH-UNI-BAG-SHB-ABL-MIX-S</t>
  </si>
  <si>
    <t>3800340066233</t>
  </si>
  <si>
    <t>All ED Tote Bag</t>
  </si>
  <si>
    <t>CCO-EDE-UNI-BAG-TTB-MIX-MIX-0</t>
  </si>
  <si>
    <t>3806572392638</t>
  </si>
  <si>
    <t>CPU-VNE-UNI-SOU-DAS-GYU-SGR-17CM</t>
  </si>
  <si>
    <t>3822818615637</t>
  </si>
  <si>
    <t>CCO-PAS-UNI-ART-ART-DIA-MIX-A1</t>
  </si>
  <si>
    <t>3827497151490</t>
  </si>
  <si>
    <t>CCO-HAM-UNI-JEW-NEC-A30-MIX-0</t>
  </si>
  <si>
    <t>3832397265635</t>
  </si>
  <si>
    <t>Cây khế 55x55</t>
  </si>
  <si>
    <t>CCO-LAN-UNI-HWR-SC2-CKE-YEL-55x55</t>
  </si>
  <si>
    <t>3833919737432</t>
  </si>
  <si>
    <t>Cà phê RuNam số6 bột 250gr</t>
  </si>
  <si>
    <t>CCO-RUN-UNI-FNB-CFP-SO6-NON-250g</t>
  </si>
  <si>
    <t>3837703668070</t>
  </si>
  <si>
    <t>CCO-DSP-UNI-FWR-LES-LUO-MBE-42</t>
  </si>
  <si>
    <t>3845844012836</t>
  </si>
  <si>
    <t>CCO-DSP-UNI-FWR-LES-OWE-BLK-36</t>
  </si>
  <si>
    <t>3868076781608</t>
  </si>
  <si>
    <t>CCO-DSP-UNI-BAG-CCR-AZ1-MBE-0</t>
  </si>
  <si>
    <t>3886821609472</t>
  </si>
  <si>
    <t>CCO-DSP-UNI-BAG-CLU-CEZ-FRB-0</t>
  </si>
  <si>
    <t>3906508489033</t>
  </si>
  <si>
    <t>Bucket Hat - AHA</t>
  </si>
  <si>
    <t>CCO-TOH-UNI-HWR-HAT-AH0-MIX-0</t>
  </si>
  <si>
    <t>3906732219802</t>
  </si>
  <si>
    <t>CCO-DSP-UNI-FWR-HDB-STL-BUR-48</t>
  </si>
  <si>
    <t>3921553577801</t>
  </si>
  <si>
    <t>CCO-DSP-UNI-BAG-WAL-STR-DRE-0</t>
  </si>
  <si>
    <t>3947969211702</t>
  </si>
  <si>
    <t>CCO-DSP-UNI-FWR-LES-DE3-BLK-37</t>
  </si>
  <si>
    <t>3957246411275</t>
  </si>
  <si>
    <t>CCO-DSP-UNI-BAG-CRB-CBG-CHO-0</t>
  </si>
  <si>
    <t>3962305972574</t>
  </si>
  <si>
    <t>CPU-PSD-UNI-SOU-DEC-SIB-GRN-14</t>
  </si>
  <si>
    <t>3972536329634</t>
  </si>
  <si>
    <t>CPU-MAZ-UNI-SOU-GAM-DOM-BLK-0</t>
  </si>
  <si>
    <t>4006226537432</t>
  </si>
  <si>
    <t>CCO-DSP-UNI-BAG-CCR-AZ1-HGP-0</t>
  </si>
  <si>
    <t>4007446327308</t>
  </si>
  <si>
    <t>CCO-DSP-UNI-FWR-LES-PER-BLU-40</t>
  </si>
  <si>
    <t>4008232054705</t>
  </si>
  <si>
    <t>CCO-PAS-UNI-ART-ART-CA3-MIX-A4</t>
  </si>
  <si>
    <t>4031257441830</t>
  </si>
  <si>
    <t>CCO-DSP-UNI-FWR-LES-BYR-LPA-47</t>
  </si>
  <si>
    <t>4035480016001</t>
  </si>
  <si>
    <t>CPU-PSD-UNI-SOU-DEC-LBA-RED-12</t>
  </si>
  <si>
    <t>4049407626570</t>
  </si>
  <si>
    <t>CPU-MAZ-UNI-SOU-GAM-DOM-GRN-0</t>
  </si>
  <si>
    <t>4066754097631</t>
  </si>
  <si>
    <t>Hồ Xuân Hương  6x130</t>
  </si>
  <si>
    <t>CCO-LAN-UNI-HWR-SC2-HXH-BLU-6x130</t>
  </si>
  <si>
    <t>4092145658839</t>
  </si>
  <si>
    <t>CCO-DSP-UNI-FWR-LES-RAY-BUR-40</t>
  </si>
  <si>
    <t>4103813838207</t>
  </si>
  <si>
    <t>Silk beads, Agate</t>
  </si>
  <si>
    <t>CCO-HAM-UNI-JEW-NEC-155-MIX-0</t>
  </si>
  <si>
    <t>4106218019059</t>
  </si>
  <si>
    <t>Marinetti II, Size 44</t>
  </si>
  <si>
    <t>CCO-DSP-UNI-FWR-LES-MA2-RGN-44</t>
  </si>
  <si>
    <t>4109072973031</t>
  </si>
  <si>
    <t>MINI WALLET - AWM</t>
  </si>
  <si>
    <t>CCO-TOH-UNI-BAG-WAL-AW1-MIX-S</t>
  </si>
  <si>
    <t>4119913362238</t>
  </si>
  <si>
    <t>Vòng cổ GINKGO92</t>
  </si>
  <si>
    <t>CCO-HAM-UNI-JEW-NEC-092-MIX-0</t>
  </si>
  <si>
    <t>4137136061608</t>
  </si>
  <si>
    <t>CCO-HAM-UNI-JEW-NEC-A38-MIX-0</t>
  </si>
  <si>
    <t>4153033856307</t>
  </si>
  <si>
    <t>CCO-DSP-UNI-FWR-SLI-MAS-MBE-38</t>
  </si>
  <si>
    <t>4181213653804</t>
  </si>
  <si>
    <t>CCO-DSP-UNI-BAG-HDB-SHE-BLK-0</t>
  </si>
  <si>
    <t>4198357415731</t>
  </si>
  <si>
    <t>CCO-DSP-UNI-FWR-LES-LAU-TUR-38</t>
  </si>
  <si>
    <t>4207077237735</t>
  </si>
  <si>
    <t>Pasolini, Size 43</t>
  </si>
  <si>
    <t>CCO-DSP-UNI-FWR-LES-PAS-DBW-43</t>
  </si>
  <si>
    <t>4223950132409</t>
  </si>
  <si>
    <t>CPU-PSD-UNI-SOU-DEC-SBA-GRN-18</t>
  </si>
  <si>
    <t>4231362641433</t>
  </si>
  <si>
    <t>CCO-ODE-UNI-COS-FCE-F03-NON-0</t>
  </si>
  <si>
    <t>4252056375731</t>
  </si>
  <si>
    <t>CCO-HAM-UNI-JEW-NEC-A17-MIX-0</t>
  </si>
  <si>
    <t>4255099114930</t>
  </si>
  <si>
    <t>CPU-GAR-UNI-SOU-SOP-MAS-MIX-0</t>
  </si>
  <si>
    <t>4284823688805</t>
  </si>
  <si>
    <t>ED Ethnic Clutch -  Yen</t>
  </si>
  <si>
    <t>CCO-EDE-UNI-BAG-CLU-YEN-MIX-L</t>
  </si>
  <si>
    <t>4299710649500</t>
  </si>
  <si>
    <t>CCO-DSP-UNI-BAG-CLU-BAZ-MBE-0</t>
  </si>
  <si>
    <t>4318473716233</t>
  </si>
  <si>
    <t>Aventurine, Glass, Ceramic</t>
  </si>
  <si>
    <t>CCO-HAM-UNI-JEW-EAR-E51-MIX-0</t>
  </si>
  <si>
    <t>4328989562835</t>
  </si>
  <si>
    <t>CCO-DSP-UNI-BAG-CHR-BRE-CHO-0</t>
  </si>
  <si>
    <t>4334334085676</t>
  </si>
  <si>
    <t>CCO-SHI-UNI-FNB-CFP-KSB-WHI-BAG</t>
  </si>
  <si>
    <t>4337030642600</t>
  </si>
  <si>
    <t>Ginkgo’s Bún Riêu A2</t>
  </si>
  <si>
    <t>CCO-PAS-UNI-ART-ART-GBR-MIX-A2</t>
  </si>
  <si>
    <t>4347152109547</t>
  </si>
  <si>
    <t>Khăn 2M Dinh Độc Lập 70x70</t>
  </si>
  <si>
    <t>CCO-LAN-UNI-HWR-SC2-DDL-BLU-70x70</t>
  </si>
  <si>
    <t>4351287147305</t>
  </si>
  <si>
    <t>CCO-DSP-UNI-FWR-LES-BYR-BLK-41</t>
  </si>
  <si>
    <t>4355486437281</t>
  </si>
  <si>
    <t>Khăn2M Sương Nguyệt Ánh70x70</t>
  </si>
  <si>
    <t>CCO-LAN-UNI-HWR-SC2-SNA-YEL-70x70</t>
  </si>
  <si>
    <t>4372040250179</t>
  </si>
  <si>
    <t>CCO-DSP-UNI-FWR-HDB-TAL-TAU-41</t>
  </si>
  <si>
    <t>4375856154976</t>
  </si>
  <si>
    <t xml:space="preserve">Túi cầm tay loại nhỏ (Accessories Bag S) </t>
  </si>
  <si>
    <t>CCO-DSP-UNI-BAG-HDB-ABG-HGP-S</t>
  </si>
  <si>
    <t>4405683811633</t>
  </si>
  <si>
    <t>ED Wall Clutch -  Bicycle</t>
  </si>
  <si>
    <t>CCO-EDE-UNI-BAG-CLU-BIC-MIX-0</t>
  </si>
  <si>
    <t>4408708405435</t>
  </si>
  <si>
    <t>CCO-DSP-UNI-BAG-WAL-SEU-BLK-0</t>
  </si>
  <si>
    <t>4418789786132</t>
  </si>
  <si>
    <t>CPU-NGO-UNI-FWR-SNE-SGS-RBY-39</t>
  </si>
  <si>
    <t>4453725942579</t>
  </si>
  <si>
    <t>CCO-DSP-UNI-BAG-CLU-FOU-CHO-0</t>
  </si>
  <si>
    <t>4487572195802</t>
  </si>
  <si>
    <t>Mẹ Âu Cơ 90x90</t>
  </si>
  <si>
    <t>CCO-LAN-UNI-HWR-SC1-MAC-RED-90x90</t>
  </si>
  <si>
    <t>4492835587300</t>
  </si>
  <si>
    <t>CPU-VNE-UNI-SOU-SMS-BUN-SGR-16CM</t>
  </si>
  <si>
    <t>4520381507456</t>
  </si>
  <si>
    <t>CCO-TOH-UNI-ACC-ICE-IPC-MIX-0</t>
  </si>
  <si>
    <t>4525330517937</t>
  </si>
  <si>
    <t>Jade, Golden metal</t>
  </si>
  <si>
    <t>CCO-HAM-UNI-JEW-NEC-D55-MIX-0</t>
  </si>
  <si>
    <t>4531399185505</t>
  </si>
  <si>
    <t>Khăn 2 mặt Hà Nội 70x70</t>
  </si>
  <si>
    <t>CCO-LAN-UNI-HWR-SC2-HNI-GRN-70x70</t>
  </si>
  <si>
    <t>4561723544401</t>
  </si>
  <si>
    <t>CCO-PAS-UNI-ART-ART-TDY-MIX-A3</t>
  </si>
  <si>
    <t>4565519198830</t>
  </si>
  <si>
    <t>CCO-DSP-UNI-FWR-LES-PER-DRB-39</t>
  </si>
  <si>
    <t>4566930287431</t>
  </si>
  <si>
    <t>CCO-DSP-UNI-FWR-LES-BLF-RED-41</t>
  </si>
  <si>
    <t>4576666161172</t>
  </si>
  <si>
    <t>Hai Bà Trưng 60x60</t>
  </si>
  <si>
    <t>CCO-LAN-UNI-HWR-SC2-HBT-ORA-60x60</t>
  </si>
  <si>
    <t>4585435418508</t>
  </si>
  <si>
    <t>GPR-GCF-UNI-FNB-CFO-CAP-MIX-0</t>
  </si>
  <si>
    <t>4587135776339</t>
  </si>
  <si>
    <t>Cà phê RuNam số3 bột 250gr</t>
  </si>
  <si>
    <t>CCO-RUN-UNI-FNB-CFP-SO3-NON-250g</t>
  </si>
  <si>
    <t>4592013522274</t>
  </si>
  <si>
    <t>ED Wall Clutch -  Red Cage</t>
  </si>
  <si>
    <t>CCO-EDE-UNI-BAG-CLU-RCA-MIX-0</t>
  </si>
  <si>
    <t>4593091118502</t>
  </si>
  <si>
    <t>CCO-DSP-UNI-BAG-CHR-SCH-YEL-0</t>
  </si>
  <si>
    <t>4604002714635</t>
  </si>
  <si>
    <t>CCO-DSP-UNI-FWR-HDB-TAL-BUR-45</t>
  </si>
  <si>
    <t>4610012510235</t>
  </si>
  <si>
    <t>CCO-DSP-UNI-SOU-SAS-WBX-GME-0</t>
  </si>
  <si>
    <t>4618737011570</t>
  </si>
  <si>
    <t>CCO-SHI-UNI-FNB-CFP-P12-RED-12oz</t>
  </si>
  <si>
    <t>4624559912810</t>
  </si>
  <si>
    <t>Dinosaur Tote Bag - ABTB1</t>
  </si>
  <si>
    <t>CCO-TOH-UNI-BAG-TTB-AT1-MIX-S</t>
  </si>
  <si>
    <t>4627818484431</t>
  </si>
  <si>
    <t>CCO-DSP-UNI-FWR-LES-ALF-CHO-38</t>
  </si>
  <si>
    <t>4649302247100</t>
  </si>
  <si>
    <t>CCO-DSP-UNI-FWR-SLI-MAS-RED-39</t>
  </si>
  <si>
    <t>4650401729602</t>
  </si>
  <si>
    <t>CPU-PSD-UNI-SOU-DEC-SIB-BRO-14</t>
  </si>
  <si>
    <t>4669894666004</t>
  </si>
  <si>
    <t>CCO-TOH-UNI-BAG-OTH-ABF-MIX-S</t>
  </si>
  <si>
    <t>4673561428406</t>
  </si>
  <si>
    <t>CCO-DSP-UNI-FWR-LES-LUO-SLR-43</t>
  </si>
  <si>
    <t>4708692435273</t>
  </si>
  <si>
    <t>CPU-MAZ-UNI-SOU-GAM-DSE-WOE-0</t>
  </si>
  <si>
    <t>4715159393373</t>
  </si>
  <si>
    <t>Golden metal,  Silk tassel, Leather</t>
  </si>
  <si>
    <t>CCO-HAM-UNI-JEW-NEC-114-MIX-0</t>
  </si>
  <si>
    <t>4730191605734</t>
  </si>
  <si>
    <t>CCO-DSP-UNI-FWR-LES-ALF-RBP-47</t>
  </si>
  <si>
    <t>4740197691136</t>
  </si>
  <si>
    <t>GPR-GCF-UNI-FNB-CFO-MIC-MIX-0</t>
  </si>
  <si>
    <t>4743673242884</t>
  </si>
  <si>
    <t>Tràng An 60x60</t>
  </si>
  <si>
    <t>CCO-LAN-UNI-HWR-SC2-TAN-PIN-60x60</t>
  </si>
  <si>
    <t>4748716810679</t>
  </si>
  <si>
    <t>Sen Đồng Tháp 60x60</t>
  </si>
  <si>
    <t>CCO-LAN-UNI-HWR-SC2-SDT-PIN-60x60</t>
  </si>
  <si>
    <t>4750035329572</t>
  </si>
  <si>
    <t>Silk beads, jade</t>
  </si>
  <si>
    <t>CCO-HAM-UNI-JEW-NEC-D60-MIX-0</t>
  </si>
  <si>
    <t>4753902753302</t>
  </si>
  <si>
    <t>All ED Cushion</t>
  </si>
  <si>
    <t>CCO-EDE-UNI-HDR-CUS-MIX-MIX-0</t>
  </si>
  <si>
    <t>4758132272074</t>
  </si>
  <si>
    <t>CCO-PAS-UNI-ART-ART-019-MIX-A2</t>
  </si>
  <si>
    <t>4764751303440</t>
  </si>
  <si>
    <t>CPU-PSD-UNI-SOU-DEC-LBA-CRE-56</t>
  </si>
  <si>
    <t>4772441250400</t>
  </si>
  <si>
    <t>CCO-DSP-UNI-BAG-CCR-AZP-BSY-0</t>
  </si>
  <si>
    <t>4782526707002</t>
  </si>
  <si>
    <t>CCO-DSP-UNI-FWR-FLA-CO1-CRE-37</t>
  </si>
  <si>
    <t>4792032482386</t>
  </si>
  <si>
    <t>All ED Ethnic Clutch</t>
  </si>
  <si>
    <t>CCO-EDE-UNI-BAG-CLU-MIX-MIX-L</t>
  </si>
  <si>
    <t>4806333124170</t>
  </si>
  <si>
    <t>CCO-DSP-UNI-BAG-HDB-GA1-BLK-0</t>
  </si>
  <si>
    <t>4817553895238</t>
  </si>
  <si>
    <t>CCO-DSP-UNI-BAG-CLU-CEZ-BLK-0</t>
  </si>
  <si>
    <t>4828775837531</t>
  </si>
  <si>
    <t>Lapis, Silver metal, Agate, Onyx</t>
  </si>
  <si>
    <t>CCO-HAM-UNI-JEW-NEC-096-MIX-0</t>
  </si>
  <si>
    <t>4829920096407</t>
  </si>
  <si>
    <t>CCO-DSP-UNI-BAG-HDB-SH1-BUR-0</t>
  </si>
  <si>
    <t>4847477915231</t>
  </si>
  <si>
    <t>ED Cushion -  Miss Dao</t>
  </si>
  <si>
    <t>CCO-EDE-UNI-HDR-CUS-DAO-BLU-0</t>
  </si>
  <si>
    <t>4872124544205</t>
  </si>
  <si>
    <t>CCO-DSP-UNI-BAG-HDB-ABG-LPA-L</t>
  </si>
  <si>
    <t>4882168432574</t>
  </si>
  <si>
    <t>ED Ethnic Bag -  Muong</t>
  </si>
  <si>
    <t>CCO-EDE-UNI-BAG-ETB-MUO-MIX-0</t>
  </si>
  <si>
    <t>4909611713834</t>
  </si>
  <si>
    <t>CPU-PSD-UNI-SOU-DEC-LBA-BSR-55</t>
  </si>
  <si>
    <t>4920779334808</t>
  </si>
  <si>
    <t>CCO-DSP-UNI-FWR-LES-NGO-BLK-42</t>
  </si>
  <si>
    <t>4943545711108</t>
  </si>
  <si>
    <t>CCO-PAS-UNI-ART-ART-NER-MIX-A2</t>
  </si>
  <si>
    <t>4949662359506</t>
  </si>
  <si>
    <t>CCO-DSP-UNI-FWR-HDB-TAL-BLU-37</t>
  </si>
  <si>
    <t>4956960248302</t>
  </si>
  <si>
    <t>CCO-SHI-UNI-FNB-CFB-ALB-WHI-CAN</t>
  </si>
  <si>
    <t>4967670581931</t>
  </si>
  <si>
    <t>CPU-PSD-UNI-SOU-DEC-SBA-BRO-12</t>
  </si>
  <si>
    <t>4971086873504</t>
  </si>
  <si>
    <t>ED Ethnic Clutch -  Clothe Mong</t>
  </si>
  <si>
    <t>CCO-EDE-UNI-BAG-CLU-CMO-MIX-L</t>
  </si>
  <si>
    <t>4977127881484</t>
  </si>
  <si>
    <t>Khăn 2M Mẹ Âu Cơ 70x70</t>
  </si>
  <si>
    <t>CCO-LAN-UNI-HWR-SC2-MAC-RED-70x70</t>
  </si>
  <si>
    <t>5010645243637</t>
  </si>
  <si>
    <t>Silk beads, Enamel, Agates</t>
  </si>
  <si>
    <t>CCO-HAM-UNI-JEW-NEC-A40-MIX-0</t>
  </si>
  <si>
    <t>5013403046006</t>
  </si>
  <si>
    <t>HD 26</t>
  </si>
  <si>
    <t>CCO-HAM-UNI-JEW-NEC-D26-MIX-0</t>
  </si>
  <si>
    <t>5017677666571</t>
  </si>
  <si>
    <t>Mẹ Âu Cơ 6x130</t>
  </si>
  <si>
    <t>CCO-LAN-UNI-HWR-SC2-MAC-RED-6x130</t>
  </si>
  <si>
    <t>5025921254979</t>
  </si>
  <si>
    <t>Eyes Mask - EM</t>
  </si>
  <si>
    <t>CCO-TOH-UNI-SOU-ECV-EM0-MIX-0</t>
  </si>
  <si>
    <t>5027459315337</t>
  </si>
  <si>
    <t>CCO-DSP-UNI-BAG-HDB-SH1-CAP-0</t>
  </si>
  <si>
    <t>5030665412677</t>
  </si>
  <si>
    <t>WHITE PEPPER GRINDER 55G</t>
  </si>
  <si>
    <t>CPU-BLS-UNI-FNB-SAL-013-MIX-55g</t>
  </si>
  <si>
    <t>5065322125201</t>
  </si>
  <si>
    <t>CCO-PAS-UNI-ART-ART-LAB-MIX-A1</t>
  </si>
  <si>
    <t>5084655825268</t>
  </si>
  <si>
    <t>Đường sắt Bắc Nam 6x130</t>
  </si>
  <si>
    <t>CCO-LAN-UNI-HWR-SC2-DBN-BLU-6x130</t>
  </si>
  <si>
    <t>5085721294001</t>
  </si>
  <si>
    <t>CCO-DSP-UNI-BAG-CHR-SCH-BDB-0</t>
  </si>
  <si>
    <t>5086625599100</t>
  </si>
  <si>
    <t>CCO-DSP-UNI-BAG-HDB-GA1-BBL-0</t>
  </si>
  <si>
    <t>5089292027372</t>
  </si>
  <si>
    <t>Quốc học Huế 90x90</t>
  </si>
  <si>
    <t>CCO-LAN-UNI-HWR-SC1-QHH-RED-90x90</t>
  </si>
  <si>
    <t>5132754799635</t>
  </si>
  <si>
    <t>CCO-DSP-UNI-FWR-LES-LAC-PUR-40</t>
  </si>
  <si>
    <t>5140686609335</t>
  </si>
  <si>
    <t>CCO-SHI-UNI-COS-BSB-CBS-BRO-PLJ</t>
  </si>
  <si>
    <t>5141546727237</t>
  </si>
  <si>
    <t>CPU-PSD-UNI-SOU-DEC-SBA-RED-18</t>
  </si>
  <si>
    <t>5153084029278</t>
  </si>
  <si>
    <t>CPU-PSD-UNI-SOU-DEC-SBA-YEL-12</t>
  </si>
  <si>
    <t>5165374406676</t>
  </si>
  <si>
    <t>CPU-LTN-UNI-FNB-GIN-DLG-MIX-0</t>
  </si>
  <si>
    <t>5169669130888</t>
  </si>
  <si>
    <t>Thành Cổ Loa 6x130</t>
  </si>
  <si>
    <t>CCO-LAN-UNI-HWR-SC2-TCL-YEL-6x130</t>
  </si>
  <si>
    <t>5174989492448</t>
  </si>
  <si>
    <t>Wilde, Size 41</t>
  </si>
  <si>
    <t>CCO-DSP-UNI-FWR-LES-WIL-SLR-41</t>
  </si>
  <si>
    <t>5190149798571</t>
  </si>
  <si>
    <t>Thành Cổ loa 2 90x90</t>
  </si>
  <si>
    <t>CCO-LAN-UNI-HWR-SC2-TCL-YEL-90x90</t>
  </si>
  <si>
    <t>5212872754331</t>
  </si>
  <si>
    <t>CCO-DSP-UNI-FWR-HDB-WEL-BLK-41</t>
  </si>
  <si>
    <t>5220913676832</t>
  </si>
  <si>
    <t>Jade, Onyx</t>
  </si>
  <si>
    <t>CCO-HAM-UNI-JEW-NEC-131-MIX-0</t>
  </si>
  <si>
    <t>5239405489508</t>
  </si>
  <si>
    <t>CCO-DSP-UNI-BAG-CCR-AIP-BSY-0</t>
  </si>
  <si>
    <t>5250735564239</t>
  </si>
  <si>
    <t>CCO-PAS-UNI-ART-ART-CA1-MIX-A4</t>
  </si>
  <si>
    <t>5261230485172</t>
  </si>
  <si>
    <t>Cây khế 90x90</t>
  </si>
  <si>
    <t>CCO-LAN-UNI-HWR-SC1-CKE-YEL-90x90</t>
  </si>
  <si>
    <t>5278276726930</t>
  </si>
  <si>
    <t>ED Wall Clutch -  Blue Bicycle</t>
  </si>
  <si>
    <t>CCO-EDE-UNI-BAG-CLU-BBE-MIX-0</t>
  </si>
  <si>
    <t>5282997866448</t>
  </si>
  <si>
    <t>Khăn 2M Hai Ba Trưng 70x70</t>
  </si>
  <si>
    <t>CCO-LAN-UNI-HWR-SC2-HBT-ORA-70x70</t>
  </si>
  <si>
    <t>5297052143402</t>
  </si>
  <si>
    <t>CCO-HAM-UNI-JEW-NEC-N11-MIX-0</t>
  </si>
  <si>
    <t>5301104964508</t>
  </si>
  <si>
    <t>An Tư Công chúa 2 90x90</t>
  </si>
  <si>
    <t>CCO-LAN-UNI-HWR-SC2-ATU-BLU-90x90</t>
  </si>
  <si>
    <t>5304901575878</t>
  </si>
  <si>
    <t>Cà phê RuNam số1  bột 250gr</t>
  </si>
  <si>
    <t>CCO-RUN-UNI-FNB-CFP-SO1-NON-250g</t>
  </si>
  <si>
    <t>5320917052608</t>
  </si>
  <si>
    <t>CCO-DSP-UNI-FWR-LES-CHU-BLK-40</t>
  </si>
  <si>
    <t>5326838745100</t>
  </si>
  <si>
    <t>CCO-DSP-UNI-SOU-SAS-WBO-GPA-0</t>
  </si>
  <si>
    <t>5334290368034</t>
  </si>
  <si>
    <t>CPU-PSD-UNI-SOU-DEC-LBA-YEL-8</t>
  </si>
  <si>
    <t>5337714978802</t>
  </si>
  <si>
    <t>CCO-SHI-UNI-FNB-CFP-H12-RED-12oz</t>
  </si>
  <si>
    <t>5386257913672</t>
  </si>
  <si>
    <t>CCO-DSP-UNI-BAG-WAL-BAR-MBE-0</t>
  </si>
  <si>
    <t>5389825505477</t>
  </si>
  <si>
    <t>CCO-DSP-UNI-BAG-HDB-SH1-BBL-0</t>
  </si>
  <si>
    <t>5395174598701</t>
  </si>
  <si>
    <t>Silk beads, Agate, Enamel</t>
  </si>
  <si>
    <t>CCO-HAM-UNI-JEW-NEC-D57-MIX-0</t>
  </si>
  <si>
    <t>5397553123801</t>
  </si>
  <si>
    <t>CPU-PSD-UNI-SOU-DEC-SBA-GRN-8</t>
  </si>
  <si>
    <t>5401885685231</t>
  </si>
  <si>
    <t>ED Wall Clutch -  Two friends</t>
  </si>
  <si>
    <t>CCO-EDE-UNI-BAG-CLU-TWF-MIX-0</t>
  </si>
  <si>
    <t>5422459972472</t>
  </si>
  <si>
    <t>Mai Chau Canvas Beige Sunflower</t>
  </si>
  <si>
    <t>CPU-NGO-UNI-FWR-SNE-MCS-BSR-41</t>
  </si>
  <si>
    <t>5423236756971</t>
  </si>
  <si>
    <t>CCO-DSP-UNI-BAG-HDB-SH1-RED-0</t>
  </si>
  <si>
    <t>5433782839639</t>
  </si>
  <si>
    <t>Đoàn Thị Điểm 6x130</t>
  </si>
  <si>
    <t>CCO-LAN-UNI-HWR-SC2-DTD-GRN-6x130</t>
  </si>
  <si>
    <t>5433862503900</t>
  </si>
  <si>
    <t>CCO-DSP-UNI-BAG-HDB-ABG-COP-L</t>
  </si>
  <si>
    <t>5455962861995</t>
  </si>
  <si>
    <t>Khăn 2 mặt Sen Đồng Tháp 90x90</t>
  </si>
  <si>
    <t>CCO-LAN-UNI-HWR-SC2-SDT-PIN-90x90</t>
  </si>
  <si>
    <t>5481899311609</t>
  </si>
  <si>
    <t>CCO-DSP-UNI-BAG-WAL-BAR-RAI-0</t>
  </si>
  <si>
    <t>5485372355739</t>
  </si>
  <si>
    <t>CPU-VNE-UNI-SOU-SMS-PAR-SGR-10CM</t>
  </si>
  <si>
    <t>5497732511204</t>
  </si>
  <si>
    <t>CCO-DSP-UNI-HDR-SAS-DEL-SLR-0</t>
  </si>
  <si>
    <t>2463859896138</t>
  </si>
  <si>
    <t>5506234647905</t>
  </si>
  <si>
    <t>CCO-DSP-UNI-BAG-CLU-MIL-BLK-0</t>
  </si>
  <si>
    <t>5509671427109</t>
  </si>
  <si>
    <t>CCO-HAM-UNI-JEW-BRA-SBR-MIX-0</t>
  </si>
  <si>
    <t>5514876845108</t>
  </si>
  <si>
    <t>CPU-MSA-UNI-FNB-SAK-PUE-MIX-300</t>
  </si>
  <si>
    <t>5520062607771</t>
  </si>
  <si>
    <t>CCO-DSP-UNI-FWR-LES-PEN-TAN-39</t>
  </si>
  <si>
    <t>5533741109909</t>
  </si>
  <si>
    <t>ED Cushion -  Miss Lao</t>
  </si>
  <si>
    <t>CCO-EDE-UNI-HDR-CUS-LAO-WHI-0</t>
  </si>
  <si>
    <t>5537872329502</t>
  </si>
  <si>
    <t>CCO-HAM-UNI-JEW-NEC-101-MIX-0</t>
  </si>
  <si>
    <t>5546154323404</t>
  </si>
  <si>
    <t>CCO-DSP-UNI-FWR-LES-BLA-CHE-43</t>
  </si>
  <si>
    <t>5557925417833</t>
  </si>
  <si>
    <t>CCO-PAS-UNI-ART-ART-TRC-MIX-A4</t>
  </si>
  <si>
    <t>5633161623372</t>
  </si>
  <si>
    <t>CCO-DSP-UNI-HDR-TRA-ST1-CHO-0</t>
  </si>
  <si>
    <t>5635130104707</t>
  </si>
  <si>
    <t>CCO-DSP-UNI-BAG-CHR-BRE-DRE-0</t>
  </si>
  <si>
    <t>5641257266839</t>
  </si>
  <si>
    <t>CPU-MAZ-UNI-SOU-GAM-SGY-WOE-0</t>
  </si>
  <si>
    <t>5659070726133</t>
  </si>
  <si>
    <t>Khăn 2M Dương Vân Nga 70x70</t>
  </si>
  <si>
    <t>CCO-LAN-UNI-HWR-SC2-DVN-YEL-70x70</t>
  </si>
  <si>
    <t>5667736873930</t>
  </si>
  <si>
    <t>CCO-DSP-UNI-BAG-CCR-AZ1-DRE-0</t>
  </si>
  <si>
    <t>5677857716870</t>
  </si>
  <si>
    <t>Mũ ba hoa - AHA2</t>
  </si>
  <si>
    <t>CCO-TOH-UNI-HWR-HAT-AH2-MIX-0</t>
  </si>
  <si>
    <t>5725072022167</t>
  </si>
  <si>
    <t>Jade, Ebony</t>
  </si>
  <si>
    <t>CCO-HAM-UNI-JEW-NEC-N03-MIX-0</t>
  </si>
  <si>
    <t>5741636842309</t>
  </si>
  <si>
    <t>CCO-DSP-UNI-FWR-HDB-TAL-PBP-38</t>
  </si>
  <si>
    <t>5748545589974</t>
  </si>
  <si>
    <t>CCO-DSP-UNI-FWR-LES-BOX-GRE-41</t>
  </si>
  <si>
    <t>5759519417131</t>
  </si>
  <si>
    <t>CCO-DSP-UNI-SOU-SAS-WRB-SLR-0</t>
  </si>
  <si>
    <t>5765190005703</t>
  </si>
  <si>
    <t>ED Tote Bag - Miss Lao</t>
  </si>
  <si>
    <t>CCO-EDE-UNI-BAG-TTB-LAO-WHI-0</t>
  </si>
  <si>
    <t>5766214374775</t>
  </si>
  <si>
    <t>Quốc học Huế 2 90x90</t>
  </si>
  <si>
    <t>CCO-LAN-UNI-HWR-SC2-QHH-RED-90x90</t>
  </si>
  <si>
    <t>5775589719777</t>
  </si>
  <si>
    <t>Silk beads, Agate, Metal</t>
  </si>
  <si>
    <t>CCO-HAM-UNI-JEW-NEC-A34-MIX-0</t>
  </si>
  <si>
    <t>5777231494391</t>
  </si>
  <si>
    <t>CCO-HAM-UNI-JEW-NEC-080-MIX-0</t>
  </si>
  <si>
    <t>5790623425278</t>
  </si>
  <si>
    <t>CCO-DSP-UNI-FWR-LES-NGO-CHE-45</t>
  </si>
  <si>
    <t>5794197704609</t>
  </si>
  <si>
    <t>CPU-PSD-UNI-SOU-DEC-UNI-RED-M</t>
  </si>
  <si>
    <t>5797373343401</t>
  </si>
  <si>
    <t>Truyện Kiều 2 90x90</t>
  </si>
  <si>
    <t>CCO-LAN-UNI-HWR-SC2-TKU-PIN-90x90</t>
  </si>
  <si>
    <t>5814347207283</t>
  </si>
  <si>
    <t>Khăn 2M Sapa 70x70</t>
  </si>
  <si>
    <t>CCO-LAN-UNI-HWR-SC2-SPA-PUR-70x70</t>
  </si>
  <si>
    <t>5821545244606</t>
  </si>
  <si>
    <t>CPU-PSD-UNI-SOU-DEC-LBA-GRN-12</t>
  </si>
  <si>
    <t>5823884718770</t>
  </si>
  <si>
    <t>Đoàn Thị Điểm 60x60</t>
  </si>
  <si>
    <t>CCO-LAN-UNI-HWR-SC2-DTD-GRN-60x60</t>
  </si>
  <si>
    <t>5830917549508</t>
  </si>
  <si>
    <t>CCO-DSP-UNI-FWR-HDB-STL-LEA-47</t>
  </si>
  <si>
    <t>5844693023473</t>
  </si>
  <si>
    <t>CCO-ODE-UNI-COS-BCE-D05-NON-0</t>
  </si>
  <si>
    <t>5854961571537</t>
  </si>
  <si>
    <t>Coral</t>
  </si>
  <si>
    <t>CCO-HAM-UNI-JEW-NEC-143-MIX-0</t>
  </si>
  <si>
    <t>5878989924175</t>
  </si>
  <si>
    <t>CCO-DSP-UNI-FWR-LES-CHU-DBN-37</t>
  </si>
  <si>
    <t>5897831676574</t>
  </si>
  <si>
    <t>CCO-DSP-UNI-ACC-KEY-DUC-BLK-0</t>
  </si>
  <si>
    <t>5916064927601</t>
  </si>
  <si>
    <t>CCO-DSP-UNI-FWR-SLI-SLN-WOE-43</t>
  </si>
  <si>
    <t>5916981201501</t>
  </si>
  <si>
    <t>CCO-DSP-UNI-FWR-LES-AYR-GRE-42</t>
  </si>
  <si>
    <t>5919263984970</t>
  </si>
  <si>
    <t>White Pepper &amp; Salt Mix Grinder</t>
  </si>
  <si>
    <t>CPU-BLS-UNI-FNB-SAL-008-MIX-70g</t>
  </si>
  <si>
    <t>5937188268906</t>
  </si>
  <si>
    <t>9 Ginkgo’s Vietnamese soups A3</t>
  </si>
  <si>
    <t>CCO-PAS-UNI-ART-ART-9GK-MIX-A3</t>
  </si>
  <si>
    <t>5945351056809</t>
  </si>
  <si>
    <t xml:space="preserve">Cà phê RuNam số5  bột 250gr </t>
  </si>
  <si>
    <t>CCO-RUN-UNI-FNB-CFP-SO5-NON-250g</t>
  </si>
  <si>
    <t>5946875176905</t>
  </si>
  <si>
    <t>Turquoise, Gold plated, Amazonite</t>
  </si>
  <si>
    <t>CCO-HAM-UNI-JEW-NEC-095-MIX-0</t>
  </si>
  <si>
    <t>5950413286438</t>
  </si>
  <si>
    <t>CCO-SHI-UNI-FNB-CFP-ALB-WHI-BAG</t>
  </si>
  <si>
    <t>5951195935736</t>
  </si>
  <si>
    <t>CPU-MAZ-UNI-SOU-GAM-YGO-RED-0</t>
  </si>
  <si>
    <t>5972120473383</t>
  </si>
  <si>
    <t>CCO-DSP-UNI-BAG-CLU-CEZ-HYP-0</t>
  </si>
  <si>
    <t>5994847236034</t>
  </si>
  <si>
    <t>CCO-DSP-UNI-FWR-LES-ALF-BLK-46</t>
  </si>
  <si>
    <t>6000635781606</t>
  </si>
  <si>
    <t>CCO-PAS-UNI-ART-ART-XIX-MIX-A2</t>
  </si>
  <si>
    <t>6005771737302</t>
  </si>
  <si>
    <t>CCO-DSP-UNI-BAG-CHR-SCH-RGN-0</t>
  </si>
  <si>
    <t>6030009498809</t>
  </si>
  <si>
    <t>ED Cushion -  Miss Anh</t>
  </si>
  <si>
    <t>CCO-EDE-UNI-HDR-CUS-ANH-YEL-0</t>
  </si>
  <si>
    <t>6035660479808</t>
  </si>
  <si>
    <t>Metal, Jade</t>
  </si>
  <si>
    <t>CCO-HAM-UNI-JEW-EAR-35G-MIX-0</t>
  </si>
  <si>
    <t>7405734648536</t>
  </si>
  <si>
    <t>6040596136336</t>
  </si>
  <si>
    <t>Silk Beads, Enamel</t>
  </si>
  <si>
    <t>CCO-HAM-UNI-JEW-NEC-D72-MIX-0</t>
  </si>
  <si>
    <t>6068677731904</t>
  </si>
  <si>
    <t>CCO-DSP-UNI-BAG-CHR-BRE-BLK-0</t>
  </si>
  <si>
    <t>6076486115204</t>
  </si>
  <si>
    <t>CPU-PSD-UNI-SOU-DEC-SBA-RED-8</t>
  </si>
  <si>
    <t>6099460399438</t>
  </si>
  <si>
    <t>ED Cushion -  Miss Dung</t>
  </si>
  <si>
    <t>CCO-EDE-UNI-HDR-CUS-DUN-WHI-0</t>
  </si>
  <si>
    <t>6119372468104</t>
  </si>
  <si>
    <t>CCO-DSP-UNI-FWR-LES-BL1-TES-38</t>
  </si>
  <si>
    <t>6132129523536</t>
  </si>
  <si>
    <t>CCO-DSP-UNI-BAG-CLU-FOU-BLK-0</t>
  </si>
  <si>
    <t>6137817064438</t>
  </si>
  <si>
    <t>CCO-DSP-UNI-BAG-CLU-CEZ-WOE-0</t>
  </si>
  <si>
    <t>6150869621633</t>
  </si>
  <si>
    <t>ED Ethnic Clutch -  Face Lolo</t>
  </si>
  <si>
    <t>CCO-EDE-UNI-BAG-CLU-FLO-MIX-L</t>
  </si>
  <si>
    <t>6152834082104</t>
  </si>
  <si>
    <t>CCO-TKC-UNI-FNB-CFB-ROB-NON-250g</t>
  </si>
  <si>
    <t>6180260665172</t>
  </si>
  <si>
    <t>CCO-DSP-UNI-FWR-LES-ALF-LEA-40</t>
  </si>
  <si>
    <t>6198430925476</t>
  </si>
  <si>
    <t>Aventurine, Golden metal</t>
  </si>
  <si>
    <t>CCO-HAM-UNI-JEW-EAR-E50-MIX-0</t>
  </si>
  <si>
    <t>6203007092946</t>
  </si>
  <si>
    <t>Khăn 2M An Tư 70x70</t>
  </si>
  <si>
    <t>CCO-LAN-UNI-HWR-SC2-ATU-BLU-70x70</t>
  </si>
  <si>
    <t>6211436030538</t>
  </si>
  <si>
    <t>CCO-SHI-UNI-COS-BSB-BOC-BRO-PLJ</t>
  </si>
  <si>
    <t>6231751674736</t>
  </si>
  <si>
    <t>GPR-GCF-UNI-FNB-CFO-SAC-MIX-0</t>
  </si>
  <si>
    <t>6253836294431</t>
  </si>
  <si>
    <t>CCO-DSP-UNI-BAG-HDB-AUS-DPK-0</t>
  </si>
  <si>
    <t>6260181176107</t>
  </si>
  <si>
    <t>Mẹ Âu Cơ 60x60</t>
  </si>
  <si>
    <t>CCO-LAN-UNI-HWR-SC2-MAC-RED-60x60</t>
  </si>
  <si>
    <t>6271354936602</t>
  </si>
  <si>
    <t>Jade, Crystal, Leather</t>
  </si>
  <si>
    <t>CCO-HAM-UNI-JEW-NEC-130-MIX-0</t>
  </si>
  <si>
    <t>6315286376805</t>
  </si>
  <si>
    <t>CCO-DSP-UNI-FWR-LES-EL2-BRO-39</t>
  </si>
  <si>
    <t>6386709748776</t>
  </si>
  <si>
    <t>CCO-SHI-UNI-FNB-CFP-SLB-WHI-CAN</t>
  </si>
  <si>
    <t>6389616358830</t>
  </si>
  <si>
    <t>CCO-DSP-UNI-BAG-CHR-SCH-ORA-0</t>
  </si>
  <si>
    <t>6407739109006</t>
  </si>
  <si>
    <t>CCO-DSP-UNI-BAG-CLU-CHA-CGN-0</t>
  </si>
  <si>
    <t>6412342343303</t>
  </si>
  <si>
    <t>CCO-HAM-UNI-JEW-NEC-104-MIX-0</t>
  </si>
  <si>
    <t>6421667088837</t>
  </si>
  <si>
    <t>CCO-DSP-UNI-FWR-LES-LAW-GWH-38</t>
  </si>
  <si>
    <t>6424712394006</t>
  </si>
  <si>
    <t>CCO-RUN-UNI-HDR-FBA-LTA-MIX-0</t>
  </si>
  <si>
    <t>6453931284003</t>
  </si>
  <si>
    <t>CCO-HAM-UNI-JEW-NEC-116-MIX-0</t>
  </si>
  <si>
    <t>6477712075031</t>
  </si>
  <si>
    <t>CPU-PSD-UNI-SOU-DEC-UNI-RED-S</t>
  </si>
  <si>
    <t>6487041218474</t>
  </si>
  <si>
    <t>CCO-DSP-UNI-BAG-CLU-CHA-BUR-0</t>
  </si>
  <si>
    <t>6487466009800</t>
  </si>
  <si>
    <t>CCO-PAS-UNI-ART-ART-WTB-MIX-A1</t>
  </si>
  <si>
    <t>6491622589907</t>
  </si>
  <si>
    <t>CCO-DSP-UNI-BAG-CHR-SCH-BPP-0</t>
  </si>
  <si>
    <t>6493445343070</t>
  </si>
  <si>
    <t>Jade, metal</t>
  </si>
  <si>
    <t>CCO-HAM-UNI-JEW-EAR-E47-MIX-0</t>
  </si>
  <si>
    <t>6498956417876</t>
  </si>
  <si>
    <t>CPU-NGO-UNI-FWR-SNE-SGS-SES-38</t>
  </si>
  <si>
    <t>6503733994706</t>
  </si>
  <si>
    <t>Twilly 6x130</t>
  </si>
  <si>
    <t>CCO-LAN-UNI-HWR-SC2-CBBD-PIN-6x130</t>
  </si>
  <si>
    <t>6506368657107</t>
  </si>
  <si>
    <t>CPU-PSD-UNI-SOU-DEC-SIB-YEL-14</t>
  </si>
  <si>
    <t>6509370311500</t>
  </si>
  <si>
    <t>CCO-DSP-UNI-BAG-WAL-SEU-CMB-0</t>
  </si>
  <si>
    <t>6518109023072</t>
  </si>
  <si>
    <t>CCO-DSP-UNI-FWR-HDB-WEL-BLK-39</t>
  </si>
  <si>
    <t>6545825318434</t>
  </si>
  <si>
    <t>Đoàn Thị Điểm 90x90</t>
  </si>
  <si>
    <t>CCO-LAN-UNI-HWR-SC1-DTD-GRN-90x90</t>
  </si>
  <si>
    <t>6547405085408</t>
  </si>
  <si>
    <t>CCO-RUN-UNI-SOU-GAM-LTO-MIX-0</t>
  </si>
  <si>
    <t>6558856497405</t>
  </si>
  <si>
    <t>CCO-DSP-UNI-ACC-KEY-DUC-DGN-0</t>
  </si>
  <si>
    <t>6565157263202</t>
  </si>
  <si>
    <t>CCO-DSP-UNI-BAG-CLU-FOU-DBN-0</t>
  </si>
  <si>
    <t>6595309497308</t>
  </si>
  <si>
    <t>HOI AN Grey Black</t>
  </si>
  <si>
    <t>CPU-NGO-UNI-FWR-SNE-HAI-GRB-40</t>
  </si>
  <si>
    <t>6605076947606</t>
  </si>
  <si>
    <t>CCO-DSP-UNI-BAG-CLU-CEZ-SLR-0</t>
  </si>
  <si>
    <t>6625676586654</t>
  </si>
  <si>
    <t>ED Tote Bag - Miss Thu</t>
  </si>
  <si>
    <t>CCO-EDE-UNI-BAG-TTB-THU-BLU-0</t>
  </si>
  <si>
    <t>6662550476601</t>
  </si>
  <si>
    <t>GPR-GCF-UNI-FNB-CFO-SPT-MIX-0</t>
  </si>
  <si>
    <t>6683904298274</t>
  </si>
  <si>
    <t>CCO-DSP-UNI-FWR-LES-BYR-BLU-40</t>
  </si>
  <si>
    <t>6684863838631</t>
  </si>
  <si>
    <t>CCO-HAM-UNI-JEW-NEC-098-MIX-0</t>
  </si>
  <si>
    <t>6709020101509</t>
  </si>
  <si>
    <t>CCO-DSP-UNI-FWR-HDB-WAT-DBP-38</t>
  </si>
  <si>
    <t>6714537113006</t>
  </si>
  <si>
    <t>CCO-ODE-UNI-COS-BCE-D04-NON-0</t>
  </si>
  <si>
    <t>6714572042408</t>
  </si>
  <si>
    <t>CCO-TKC-UNI-FNB-CFP-ROB-NON-250g</t>
  </si>
  <si>
    <t>6735039638170</t>
  </si>
  <si>
    <t>Silk Beads, Agate</t>
  </si>
  <si>
    <t>CCO-HAM-UNI-JEW-NEC-A43-MIX-0</t>
  </si>
  <si>
    <t>6743205818776</t>
  </si>
  <si>
    <t>CCO-PAS-UNI-ART-ART-RTT-MIX-A5</t>
  </si>
  <si>
    <t>6743421874600</t>
  </si>
  <si>
    <t>CCO-DSP-UNI-BAG-CHR-SCH-GPA-0</t>
  </si>
  <si>
    <t>6781325985404</t>
  </si>
  <si>
    <t>Small Drawstring Bag - ABDM</t>
  </si>
  <si>
    <t>CCO-TOH-UNI-BAG-DRB-AB2-MIX-S</t>
  </si>
  <si>
    <t>6782192206203</t>
  </si>
  <si>
    <t>CCO-HAM-UNI-JEW-NEC-L31-MIX-0</t>
  </si>
  <si>
    <t>6786236464239</t>
  </si>
  <si>
    <t>CCO-DSP-UNI-BAG-CHR-BRE-SLR-0</t>
  </si>
  <si>
    <t>6817159968907</t>
  </si>
  <si>
    <t xml:space="preserve">Ví cầm tay nữ (Amelia Purse) </t>
  </si>
  <si>
    <t>CCO-DSP-UNI-BAG-CLU-AP0-LGN-0</t>
  </si>
  <si>
    <t>6823539464150</t>
  </si>
  <si>
    <t>Wilde, Size 43</t>
  </si>
  <si>
    <t>CCO-DSP-UNI-FWR-LES-WIL-MBE-43</t>
  </si>
  <si>
    <t>6824011785077</t>
  </si>
  <si>
    <t>CPU-PSD-UNI-SOU-DEC-LBA-RED-8</t>
  </si>
  <si>
    <t>6827734035504</t>
  </si>
  <si>
    <t>CCO-DSP-UNI-HDR-LTK-LTK-CHE-0</t>
  </si>
  <si>
    <t>6846808041807</t>
  </si>
  <si>
    <t>CPU-GAR-UNI-SOU-SOP-GAS-MIX-0</t>
  </si>
  <si>
    <t>6862976709301</t>
  </si>
  <si>
    <t>CCO-DSP-UNI-BAG-CLU-CHA-LEA-0</t>
  </si>
  <si>
    <t>6882978128009</t>
  </si>
  <si>
    <t>CCO-SHI-UNI-FNB-CFB-DLB-WHI-CAN</t>
  </si>
  <si>
    <t>6895232621635</t>
  </si>
  <si>
    <t>CCO-ODE-UNI-COS-BSB-MO1-NON-0</t>
  </si>
  <si>
    <t>6907633819235</t>
  </si>
  <si>
    <t>Pen Case - ACPB</t>
  </si>
  <si>
    <t>CCO-TOH-UNI-ACC-WAL-ACP-MIX-0</t>
  </si>
  <si>
    <t>6913592830662</t>
  </si>
  <si>
    <t>Dinh độc lập 60x60</t>
  </si>
  <si>
    <t>CCO-LAN-UNI-HWR-SC2-DDL-BLU-60x60</t>
  </si>
  <si>
    <t>6930172909174</t>
  </si>
  <si>
    <t>CCO-DSP-UNI-FWR-LES-ALF-CPA-36</t>
  </si>
  <si>
    <t>6940030442033</t>
  </si>
  <si>
    <t>Dương Vân Nga 6x130</t>
  </si>
  <si>
    <t>CCO-LAN-UNI-HWR-SC2-DVN-YEL-6x130</t>
  </si>
  <si>
    <t>6945730672773</t>
  </si>
  <si>
    <t>CCO-DSP-UNI-FWR-FLA-CO0-HBK-37</t>
  </si>
  <si>
    <t>6958557272095</t>
  </si>
  <si>
    <t>Đường sắt Bắc Nam 90x90</t>
  </si>
  <si>
    <t>CCO-LAN-UNI-HWR-SC1-DBN-BLU-90x90</t>
  </si>
  <si>
    <t>6959685577472</t>
  </si>
  <si>
    <t>CCO-HAM-UNI-JEW-NEC-132-MIX-0</t>
  </si>
  <si>
    <t>6966739421506</t>
  </si>
  <si>
    <t>Star Personal Pouch - APOC-S</t>
  </si>
  <si>
    <t>CCO-TOH-UNI-ACC-WAL-APS-MIX-0</t>
  </si>
  <si>
    <t>6969438185908</t>
  </si>
  <si>
    <t>CCO-HAM-UNI-JEW-NEC-L30-MIX-0</t>
  </si>
  <si>
    <t>6977456188771</t>
  </si>
  <si>
    <t>CCO-DSP-UNI-BAG-HDB-GA1-ORA-0</t>
  </si>
  <si>
    <t>6981410506433</t>
  </si>
  <si>
    <t>CCO-HAM-UNI-JEW-NEC-D69-MIX-0</t>
  </si>
  <si>
    <t>6985004730921</t>
  </si>
  <si>
    <t>Khăn 2M Trang An 70x70</t>
  </si>
  <si>
    <t>CCO-LAN-UNI-HWR-SC2-TAN-PIN-70x70</t>
  </si>
  <si>
    <t>6986304683276</t>
  </si>
  <si>
    <t>CCO-DSP-UNI-BAG-HDB-ABG-OLP-L</t>
  </si>
  <si>
    <t>6990132828907</t>
  </si>
  <si>
    <t>CCO-DSP-UNI-FWR-LES-BL1-BLK-38</t>
  </si>
  <si>
    <t>6993599753201</t>
  </si>
  <si>
    <t>ED Ethnic Bag -  En</t>
  </si>
  <si>
    <t>CCO-EDE-UNI-BAG-ETB-EN0-MIX-0</t>
  </si>
  <si>
    <t>6996659676991</t>
  </si>
  <si>
    <t>CCO-SHI-UNI-FNB-CFP-PBO-WHI-BAG</t>
  </si>
  <si>
    <t>7001087764604</t>
  </si>
  <si>
    <t>ED Wall Clutch -  Grey</t>
  </si>
  <si>
    <t>CCO-EDE-UNI-BAG-CLU-GRE-MIX-0</t>
  </si>
  <si>
    <t>7003996055538</t>
  </si>
  <si>
    <t>CCO-DSP-UNI-BAG-CLU-CEZ-GPA-0</t>
  </si>
  <si>
    <t>7008592617890</t>
  </si>
  <si>
    <t>ED Cushion -  Miss Lam</t>
  </si>
  <si>
    <t>CCO-EDE-UNI-HDR-CUS-LAM-GRE-0</t>
  </si>
  <si>
    <t>7009335901733</t>
  </si>
  <si>
    <t>CCO-SHI-UNI-FNB-CFD-VNM-RED-BOX</t>
  </si>
  <si>
    <t>7023462536934</t>
  </si>
  <si>
    <t>ED Cushion -  Miss Hue</t>
  </si>
  <si>
    <t>CCO-EDE-UNI-HDR-CUS-HUE-YEL-0</t>
  </si>
  <si>
    <t>7029314874179</t>
  </si>
  <si>
    <t>Jade, Natural wood</t>
  </si>
  <si>
    <t>CCO-HAM-UNI-JEW-NEC-N45-MIX-0</t>
  </si>
  <si>
    <t>9830769722605</t>
  </si>
  <si>
    <t>7032933076602</t>
  </si>
  <si>
    <t>CCO-DSP-UNI-HDR-LTK-LTK-DGN-0</t>
  </si>
  <si>
    <t>7047192885902</t>
  </si>
  <si>
    <t xml:space="preserve">Túi Cosmetic (Cosmetic Bag) </t>
  </si>
  <si>
    <t>CCO-DSP-UNI-BAG-COS-COS-BLU-0</t>
  </si>
  <si>
    <t>7049479381435</t>
  </si>
  <si>
    <t>CCO-PAS-UNI-ART-ART-FRA-MIX-A2</t>
  </si>
  <si>
    <t>7064873795428</t>
  </si>
  <si>
    <t>CCO-DSP-UNI-BAG-HDB-GA1-CHO-0</t>
  </si>
  <si>
    <t>7077101976605</t>
  </si>
  <si>
    <t>CPU-NGO-UNI-FWR-SNE-SGS-LYC-40</t>
  </si>
  <si>
    <t>7110367598478</t>
  </si>
  <si>
    <t>CCO-PAS-UNI-ART-ART-NOC-MIX-A4</t>
  </si>
  <si>
    <t>7116681259415</t>
  </si>
  <si>
    <t>Quốc học Huế 6x130</t>
  </si>
  <si>
    <t>CCO-LAN-UNI-HWR-SC2-QHH-RED-6x130</t>
  </si>
  <si>
    <t>7134309266003</t>
  </si>
  <si>
    <t>CCO-DSP-UNI-FWR-SLI-MAS-CRE-40</t>
  </si>
  <si>
    <t>7142567738705</t>
  </si>
  <si>
    <t>CCO-DSP-UNI-FWR-LES-BYR-LEA-38</t>
  </si>
  <si>
    <t>7162233535735</t>
  </si>
  <si>
    <t>CCO-DSP-UNI-BAG-WAL-BAR-YME-0</t>
  </si>
  <si>
    <t>7165055650341</t>
  </si>
  <si>
    <t>Khăn 2M HH Nam Phương 70x70</t>
  </si>
  <si>
    <t>CCO-LAN-UNI-HWR-SC2-NPG-PUR-70x70</t>
  </si>
  <si>
    <t>7171255805504</t>
  </si>
  <si>
    <t>CCO-PAS-UNI-ART-ART-DYE-MIX-A3</t>
  </si>
  <si>
    <t>7174241577539</t>
  </si>
  <si>
    <t>CCO-HAM-UNI-JEW-NEC-159-MIX-0</t>
  </si>
  <si>
    <t>7177496746033</t>
  </si>
  <si>
    <t>CCO-DSP-UNI-BAG-HDB-BRO-BLK-0</t>
  </si>
  <si>
    <t>7182470788671</t>
  </si>
  <si>
    <t>CPU-NGO-UNI-FWR-SNE-SGS-SES-39</t>
  </si>
  <si>
    <t>7189378686436</t>
  </si>
  <si>
    <t>Jade, Enamel, European Leather</t>
  </si>
  <si>
    <t>CCO-HAM-UNI-JEW-NEC-094-MIX-0</t>
  </si>
  <si>
    <t>7191294889372</t>
  </si>
  <si>
    <t>Wood, plated, pearl</t>
  </si>
  <si>
    <t>CCO-HAM-UNI-JEW-NEC-N43-MIX-0</t>
  </si>
  <si>
    <t>7204747774634</t>
  </si>
  <si>
    <t>Golden metal,  Silk tassel</t>
  </si>
  <si>
    <t>CCO-HAM-UNI-JEW-NEC-118-MIX-0</t>
  </si>
  <si>
    <t>7239680464632</t>
  </si>
  <si>
    <t>Kassod wood, golden metal</t>
  </si>
  <si>
    <t>CCO-HAM-UNI-JEW-NEC-N46-MIX-0</t>
  </si>
  <si>
    <t>7258838512506</t>
  </si>
  <si>
    <t>CCO-DSP-UNI-BAG-CBG-RUS-SLR-0</t>
  </si>
  <si>
    <t>7265359039573</t>
  </si>
  <si>
    <t>CCO-DSP-UNI-BAG-HDB-GA1-YEL-0</t>
  </si>
  <si>
    <t>7295560067638</t>
  </si>
  <si>
    <t>CCO-DSP-UNI-BAG-CHR-TUS-DBN-0</t>
  </si>
  <si>
    <t>1461247589601</t>
  </si>
  <si>
    <t>7296243351839</t>
  </si>
  <si>
    <t>CCO-DSP-UNI-BAG-CLU-ML0-TAC-0</t>
  </si>
  <si>
    <t>7319722695139</t>
  </si>
  <si>
    <t>CCO-DSP-UNI-FWR-SLI-MAS-LEA-38</t>
  </si>
  <si>
    <t>7343729105230</t>
  </si>
  <si>
    <t>CPU-NGO-UNI-FWR-SNE-SGS-SES-42</t>
  </si>
  <si>
    <t>7374818273776</t>
  </si>
  <si>
    <t>CCO-DSP-UNI-BAG-CHR-BRE-DBN-0</t>
  </si>
  <si>
    <t>7395982024834</t>
  </si>
  <si>
    <t>CCO-HAM-UNI-JEW-NEC-126-MIX-0</t>
  </si>
  <si>
    <t>7403419905776</t>
  </si>
  <si>
    <t>Silk beads, Enamel, Silk tassel</t>
  </si>
  <si>
    <t>CCO-HAM-UNI-JEW-NEC-A46-MIX-0</t>
  </si>
  <si>
    <t>7407567194334</t>
  </si>
  <si>
    <t>Ceramic, Natural wood</t>
  </si>
  <si>
    <t>CCO-HAM-UNI-JEW-BRA-N50-MIX-0</t>
  </si>
  <si>
    <t>7421942217777</t>
  </si>
  <si>
    <t>CPU-LTN-UNI-FNB-GIN-SPA-MIX-0</t>
  </si>
  <si>
    <t>7498709508379</t>
  </si>
  <si>
    <t>Cà phê RuNam hạt số 3 500gr</t>
  </si>
  <si>
    <t>CCO-RUN-UNI-FNB-CFB-SO3-NON-500g</t>
  </si>
  <si>
    <t>7508923832270</t>
  </si>
  <si>
    <t>CCO-DSP-UNI-BAG-CHR-SCH-LGW-0</t>
  </si>
  <si>
    <t>7511733266470</t>
  </si>
  <si>
    <t>CPU-PSD-UNI-SOU-DEC-SBA-RED-12</t>
  </si>
  <si>
    <t>7560962742774</t>
  </si>
  <si>
    <t>CCO-DSP-UNI-ACC-KEY-DU1-RED-0</t>
  </si>
  <si>
    <t>7576037757574</t>
  </si>
  <si>
    <t>ED Wall Clutch -  Family</t>
  </si>
  <si>
    <t>CCO-EDE-UNI-BAG-CLU-FAM-MIX-0</t>
  </si>
  <si>
    <t>7583449377870</t>
  </si>
  <si>
    <t>CPU-NGO-UNI-FWR-SNE-SGS-LYC-43</t>
  </si>
  <si>
    <t>7590952605147</t>
  </si>
  <si>
    <t>Hai Bà Trưng 6x130</t>
  </si>
  <si>
    <t>CCO-LAN-UNI-HWR-SC2-HBT-ORA-6x130</t>
  </si>
  <si>
    <t>7601664137335</t>
  </si>
  <si>
    <t>Đoàn Thị Điểm 2 90x90</t>
  </si>
  <si>
    <t>CCO-LAN-UNI-HWR-SC2-DTD-GRN-90x90</t>
  </si>
  <si>
    <t>7608177614100</t>
  </si>
  <si>
    <t>CCO-DSP-UNI-FWR-LES-ALF-BLK-36</t>
  </si>
  <si>
    <t>7613180442770</t>
  </si>
  <si>
    <t>CCO-DSP-UNI-FWR-LES-LAS-PIN-40</t>
  </si>
  <si>
    <t>7646080830538</t>
  </si>
  <si>
    <t>ED Ethnic Clutch -  Muong</t>
  </si>
  <si>
    <t>CCO-EDE-UNI-BAG-CLU-MUO-MIX-L</t>
  </si>
  <si>
    <t>7653002616804</t>
  </si>
  <si>
    <t>Túi đi chợ nhỏ - ABG</t>
  </si>
  <si>
    <t>CCO-TOH-UNI-BAG-OTH-AG1-MIX-S</t>
  </si>
  <si>
    <t>7665518491974</t>
  </si>
  <si>
    <t>CCO-DSP-UNI-FWR-LES-PHD-TAN-39</t>
  </si>
  <si>
    <t>7676484329901</t>
  </si>
  <si>
    <t>CCO-HAM-UNI-JEW-NEC-100-MIX-0</t>
  </si>
  <si>
    <t>7685196876573</t>
  </si>
  <si>
    <t>CCO-DSP-UNI-BAG-HDB-GA1-PAR-0</t>
  </si>
  <si>
    <t>7686468155730</t>
  </si>
  <si>
    <t>CCO-DSP-UNI-FWR-FLA-CO1-BLK-39</t>
  </si>
  <si>
    <t>7696762486676</t>
  </si>
  <si>
    <t>Wilde, Size 45</t>
  </si>
  <si>
    <t>CCO-DSP-UNI-FWR-LES-WIL-CHE-45</t>
  </si>
  <si>
    <t>7701016165709</t>
  </si>
  <si>
    <t>CCO-HAM-UNI-JEW-NEC-122-MIX-0</t>
  </si>
  <si>
    <t>7727958436707</t>
  </si>
  <si>
    <t>Túi Wash loại lớn (Wash Bag Size L)</t>
  </si>
  <si>
    <t>CCO-DSP-UNI-BAG-SHB-WAS-HEA-0</t>
  </si>
  <si>
    <t>7728379479731</t>
  </si>
  <si>
    <t>CCO-HAM-UNI-JEW-NEC-141-MIX-0</t>
  </si>
  <si>
    <t>7730555576264</t>
  </si>
  <si>
    <t>Khăn Hà Nội 60x60</t>
  </si>
  <si>
    <t>CCO-LAN-UNI-HWR-SC2-HNI-GRN-60x60</t>
  </si>
  <si>
    <t>7746237504234</t>
  </si>
  <si>
    <t>Cô bé bán diêm 55x55</t>
  </si>
  <si>
    <t>CCO-LAN-UNI-HWR-SC2-CBBD-PIN-55x55</t>
  </si>
  <si>
    <t>7769690874607</t>
  </si>
  <si>
    <t>FLEUR DE SEL 180G</t>
  </si>
  <si>
    <t>CPU-BLS-UNI-FNB-SAL-001-MIX-180g</t>
  </si>
  <si>
    <t>7808229975405</t>
  </si>
  <si>
    <t>CCO-DSP-UNI-HDR-SAS-TPB-TUR-0</t>
  </si>
  <si>
    <t>7809493329406</t>
  </si>
  <si>
    <t>CCO-DSP-UNI-BAG-WAL-BAR-CME-0</t>
  </si>
  <si>
    <t>7829223697834</t>
  </si>
  <si>
    <t>CCO-DSP-UNI-BAG-HDB-GA1-BNW-0</t>
  </si>
  <si>
    <t>7845167639037</t>
  </si>
  <si>
    <t>Tràng An 2 90x90</t>
  </si>
  <si>
    <t>CCO-LAN-UNI-HWR-SC2-TAN-PIN-90x90</t>
  </si>
  <si>
    <t>7870901414175</t>
  </si>
  <si>
    <t>CCO-DSP-UNI-BAG-CLU-FOU-RED-0</t>
  </si>
  <si>
    <t>7875709877801</t>
  </si>
  <si>
    <t>CCO-DSP-UNI-BAG-CLU-BAZ-BLK-0</t>
  </si>
  <si>
    <t>7886376561030</t>
  </si>
  <si>
    <t>CPU-MAZ-UNI-SOU-GAM-DOM-WOE-0</t>
  </si>
  <si>
    <t>7915455805175</t>
  </si>
  <si>
    <t>CCO-HAM-UNI-JEW-NEC-127-MIX-0</t>
  </si>
  <si>
    <t>7917202024105</t>
  </si>
  <si>
    <t>Khăn Sen Đồng Tháp 6x130</t>
  </si>
  <si>
    <t>CCO-LAN-UNI-HWR-SC2-SDT-PIN-6x130</t>
  </si>
  <si>
    <t>7922709667601</t>
  </si>
  <si>
    <t>CCO-DSP-UNI-FWR-LES-ALF-BUR-40</t>
  </si>
  <si>
    <t>7928255534473</t>
  </si>
  <si>
    <t>CCO-HAM-UNI-JEW-NEC-D40-MIX-0</t>
  </si>
  <si>
    <t>7946025974472</t>
  </si>
  <si>
    <t>CCO-DSP-UNI-FWR-HDB-WEL-SLI-40</t>
  </si>
  <si>
    <t>7956159273303</t>
  </si>
  <si>
    <t>CCO-TKC-UNI-FNB-CFD-ARA-NON-250g</t>
  </si>
  <si>
    <t>7959002768100</t>
  </si>
  <si>
    <t>CCO-DSP-UNI-HDR-TRA-ST1-DRE-0</t>
  </si>
  <si>
    <t>7983548804152</t>
  </si>
  <si>
    <t>Carved Jade, Silk Tassel</t>
  </si>
  <si>
    <t>CCO-HAM-UNI-JEW-NEC-079-MIX-0</t>
  </si>
  <si>
    <t>7985709328309</t>
  </si>
  <si>
    <t>CCO-PAS-UNI-ART-ART-HAQ-MIX-A4</t>
  </si>
  <si>
    <t>7991761554631</t>
  </si>
  <si>
    <t>CCO-DSP-UNI-BAG-BEL-GAU-CHE-0</t>
  </si>
  <si>
    <t>7999906504008</t>
  </si>
  <si>
    <t>CPU-MAZ-UNI-SOU-GAM-TRO-WOE-0</t>
  </si>
  <si>
    <t>8006836569300</t>
  </si>
  <si>
    <t>ED Tote Bag - Miss Hoan</t>
  </si>
  <si>
    <t>CCO-EDE-UNI-BAG-TTB-HO1-PIN-0</t>
  </si>
  <si>
    <t>8011024543475</t>
  </si>
  <si>
    <t>Mixed Peppers Grinder 55G</t>
  </si>
  <si>
    <t>CPU-BLS-UNI-FNB-SAL-015-MIX-55g</t>
  </si>
  <si>
    <t>8013043092446</t>
  </si>
  <si>
    <t>CPU-NGO-UNI-FWR-SNE-MCS-BSR-37</t>
  </si>
  <si>
    <t>8034351178974</t>
  </si>
  <si>
    <t>CCO-DSP-UNI-BAG-CCR-AIP-BLK-0</t>
  </si>
  <si>
    <t>8040982813337</t>
  </si>
  <si>
    <t>CCO-PAS-UNI-ART-ART-GRY-MIX-A5</t>
  </si>
  <si>
    <t>8042206297176</t>
  </si>
  <si>
    <t>Personal Pouch - APOC</t>
  </si>
  <si>
    <t>CCO-TOH-UNI-ACC-WAL-APO-MIX-0</t>
  </si>
  <si>
    <t>8058542380090</t>
  </si>
  <si>
    <t>All ED Ethnic Bag</t>
  </si>
  <si>
    <t>CCO-EDE-UNI-BAG-ETB-MIX-MIX-0</t>
  </si>
  <si>
    <t>8061994528170</t>
  </si>
  <si>
    <t>CCO-HAM-UNI-JEW-NEC-D12-MIX-0</t>
  </si>
  <si>
    <t>8063392204274</t>
  </si>
  <si>
    <t>CPU-PSD-UNI-SOU-DEC-SIB-RED-14</t>
  </si>
  <si>
    <t>8091997833230</t>
  </si>
  <si>
    <t>Turquoise,  Natural wood</t>
  </si>
  <si>
    <t>CCO-HAM-UNI-JEW-NEC-N10-MIX-0</t>
  </si>
  <si>
    <t>8122616255178</t>
  </si>
  <si>
    <t>CCO-HAM-UNI-JEW-NEC-088-MIX-0</t>
  </si>
  <si>
    <t>8130445517572</t>
  </si>
  <si>
    <t>ED Tote Bag - Miss Dao</t>
  </si>
  <si>
    <t>CCO-EDE-UNI-BAG-TTB-DAO-BLU-0</t>
  </si>
  <si>
    <t>8148587249503</t>
  </si>
  <si>
    <t>CCO-HAM-UNI-JEW-NEC-137-MIX-0</t>
  </si>
  <si>
    <t>8152027446971</t>
  </si>
  <si>
    <t>CCO-HAM-UNI-JEW-NEC-D74-MIX-0</t>
  </si>
  <si>
    <t>8156938856706</t>
  </si>
  <si>
    <t>Hoàng hậu Nam Phương 2  90x90</t>
  </si>
  <si>
    <t>CCO-LAN-UNI-HWR-SC2-NPG-PUR-90x90</t>
  </si>
  <si>
    <t>8171122767378</t>
  </si>
  <si>
    <t>CCO-PAS-UNI-ART-ART-MEM-MIX-A3</t>
  </si>
  <si>
    <t>8171748121400</t>
  </si>
  <si>
    <t>CCO-DSP-UNI-FWR-LES-CHU-LDP-38</t>
  </si>
  <si>
    <t>8182533951577</t>
  </si>
  <si>
    <t>Dương Vân Nga 60x60</t>
  </si>
  <si>
    <t>CCO-LAN-UNI-HWR-SC2-DVN-YEL-60x60</t>
  </si>
  <si>
    <t>8196315239937</t>
  </si>
  <si>
    <t>CPU-MAZ-UNI-SOU-GAM-DOM-BRO-0</t>
  </si>
  <si>
    <t>8204776709675</t>
  </si>
  <si>
    <t>Đường sắt Bắc Nam 2  90x90</t>
  </si>
  <si>
    <t>CCO-LAN-UNI-HWR-SC2-DBN-BLU-90x90</t>
  </si>
  <si>
    <t>8213836783371</t>
  </si>
  <si>
    <t>CPU-GAR-UNI-SOU-SOP-LBS-MIX-0</t>
  </si>
  <si>
    <t>8229392685271</t>
  </si>
  <si>
    <t>CCO-DSP-UNI-FWR-LES-PHD-CHA-44</t>
  </si>
  <si>
    <t>8246122338139</t>
  </si>
  <si>
    <t>Thánh Gióng 55x55</t>
  </si>
  <si>
    <t>CCO-LAN-UNI-HWR-SC2-TGG-GRN-55x55</t>
  </si>
  <si>
    <t>8251668629238</t>
  </si>
  <si>
    <t>Hai Bà Trưng 90x90</t>
  </si>
  <si>
    <t>CCO-LAN-UNI-HWR-SC1-HBT-ORA-90x90</t>
  </si>
  <si>
    <t>8255036351530</t>
  </si>
  <si>
    <t>CCO-DSP-UNI-FWR-LES-BYR-BLK-37</t>
  </si>
  <si>
    <t>8262300942271</t>
  </si>
  <si>
    <t>ED Ethnic Clutch -  Big Hat</t>
  </si>
  <si>
    <t>CCO-EDE-UNI-BAG-CLU-BIG-MIX-L</t>
  </si>
  <si>
    <t>8266589129736</t>
  </si>
  <si>
    <t>CPU-PSD-UNI-SOU-DEC-BCB-BRO-40</t>
  </si>
  <si>
    <t>8286865765632</t>
  </si>
  <si>
    <t>CCO-DSP-UNI-BAG-HDB-SH1-BLU-0</t>
  </si>
  <si>
    <t>8289696396402</t>
  </si>
  <si>
    <t xml:space="preserve">Túi cầm tay Hand (Hand Bag) </t>
  </si>
  <si>
    <t>CCO-DSP-UNI-BAG-HDB-HDB-CAM-0</t>
  </si>
  <si>
    <t>8295692739549</t>
  </si>
  <si>
    <t>Travel Tag - ATG</t>
  </si>
  <si>
    <t>CCO-TOH-UNI-SOU-LUG-ATG-MIX-0</t>
  </si>
  <si>
    <t>8296273353406</t>
  </si>
  <si>
    <t>CCO-DSP-UNI-FWR-LES-DRI-RED-40</t>
  </si>
  <si>
    <t>8299740285071</t>
  </si>
  <si>
    <t>ED Tote Bag - Miss Hue</t>
  </si>
  <si>
    <t>CCO-EDE-UNI-BAG-TTB-HUE-RED-0</t>
  </si>
  <si>
    <t>8311015596580</t>
  </si>
  <si>
    <t>ED Cushion -  Miss Xuân</t>
  </si>
  <si>
    <t>CCO-EDE-UNI-HDR-CUS-XUA-GRE-0</t>
  </si>
  <si>
    <t>8315924568539</t>
  </si>
  <si>
    <t>CCO-DSP-UNI-FWR-LES-PHD-TAN-40</t>
  </si>
  <si>
    <t>8341436017975</t>
  </si>
  <si>
    <t>Hồ Xuân Hương  2 90x90</t>
  </si>
  <si>
    <t>CCO-LAN-UNI-HWR-SC2-HXH-BLU-90x90</t>
  </si>
  <si>
    <t>8344871346709</t>
  </si>
  <si>
    <t>CPU-VNE-UNI-SOU-SMS-GYU-SGR-17CM</t>
  </si>
  <si>
    <t>8349765677877</t>
  </si>
  <si>
    <t>Silk beads, agate</t>
  </si>
  <si>
    <t>CCO-HAM-UNI-JEW-BRA-BR3-MIX-0</t>
  </si>
  <si>
    <t>8352038159475</t>
  </si>
  <si>
    <t>Túi đeo 2 kiểu - ABTF</t>
  </si>
  <si>
    <t>CCO-TOH-UNI-BAG-CRB-ABT-MIX-S</t>
  </si>
  <si>
    <t>8387602516101</t>
  </si>
  <si>
    <t>CCO-HAM-UNI-JEW-NEC-129-MIX-0</t>
  </si>
  <si>
    <t>8397355137300</t>
  </si>
  <si>
    <t>CCO-HAM-UNI-JEW-NEC-L35-MIX-0</t>
  </si>
  <si>
    <t>8397405194604</t>
  </si>
  <si>
    <t>Big Drawstring Bag - ABD</t>
  </si>
  <si>
    <t>CCO-TOH-UNI-BAG-DRB-AB1-MIX-M</t>
  </si>
  <si>
    <t>8415418888676</t>
  </si>
  <si>
    <t>CCO-DSP-UNI-BAG-WAL-SEU-CHO-0</t>
  </si>
  <si>
    <t>6344756106376</t>
  </si>
  <si>
    <t>8418144074337</t>
  </si>
  <si>
    <t>CPU-LTN-UNI-FNB-GIN-MKG-MIX-0</t>
  </si>
  <si>
    <t>8428419692074</t>
  </si>
  <si>
    <t>CCO-PAS-UNI-ART-ART-ATS-MIX-A1</t>
  </si>
  <si>
    <t>8430856148076</t>
  </si>
  <si>
    <t>Wilde, Size 44</t>
  </si>
  <si>
    <t>CCO-DSP-UNI-FWR-LES-WIL-GPA-44</t>
  </si>
  <si>
    <t>8455928607503</t>
  </si>
  <si>
    <t>CCO-HAM-UNI-JEW-NEC-A47-MIX-0</t>
  </si>
  <si>
    <t>8457349719070</t>
  </si>
  <si>
    <t>Dinh độc lập 6x130</t>
  </si>
  <si>
    <t>CCO-LAN-UNI-HWR-SC2-DDL-BLU-6x130</t>
  </si>
  <si>
    <t>8465894964012</t>
  </si>
  <si>
    <t>Siam wood, Glass</t>
  </si>
  <si>
    <t>CCO-HAM-UNI-JEW-BRA-N18-MIX-0</t>
  </si>
  <si>
    <t>8468710075008</t>
  </si>
  <si>
    <t>Mẹ Âu Cơ 2 90x90</t>
  </si>
  <si>
    <t>CCO-LAN-UNI-HWR-SC2-MAC-RED-90x90</t>
  </si>
  <si>
    <t>8469856501239</t>
  </si>
  <si>
    <t>CCO-SHI-UNI-FNB-CFP-B12-RED-12oz</t>
  </si>
  <si>
    <t>8475167971777</t>
  </si>
  <si>
    <t>CPU-DI8-UNI-SOU-GAM-ICS-MIX-0</t>
  </si>
  <si>
    <t>8482603073131</t>
  </si>
  <si>
    <t>CCO-DSP-UNI-FWR-LES-DRI-CHO-39</t>
  </si>
  <si>
    <t>8483497871674</t>
  </si>
  <si>
    <t>CCO-DSP-UNI-HDR-TRA-DSP-SLR-0</t>
  </si>
  <si>
    <t>8493691082578</t>
  </si>
  <si>
    <t>CCO-DSP-UNI-HDR-SAS-DEL-MBE-0</t>
  </si>
  <si>
    <t>8493695658205</t>
  </si>
  <si>
    <t>EAR 32G</t>
  </si>
  <si>
    <t>CCO-HAM-UNI-JEW-EAR-32G-MIX-0</t>
  </si>
  <si>
    <t>8494588275721</t>
  </si>
  <si>
    <t>CCO-EDE-UNI-SOU-TCL-TAB-MIX-0</t>
  </si>
  <si>
    <t>8498141069406</t>
  </si>
  <si>
    <t>CCO-SHI-UNI-FNB-CFP-DLB-WHI-CAN</t>
  </si>
  <si>
    <t>8502349981276</t>
  </si>
  <si>
    <t>CCO-DSP-UNI-BAG-CHR-SCH-RDT-0</t>
  </si>
  <si>
    <t>8553643701909</t>
  </si>
  <si>
    <t>Hộp sơn mài DVN</t>
  </si>
  <si>
    <t>CCO-LAN-UNI-HDR-LBX-DVN-YEL-BOX</t>
  </si>
  <si>
    <t>8558112995971</t>
  </si>
  <si>
    <t>CCO-SHI-UNI-FNB-CFP-DLB-WHI-BAG</t>
  </si>
  <si>
    <t>8565987019909</t>
  </si>
  <si>
    <t>CCO-DSP-UNI-BAG-CHR-SCH-SLR-0</t>
  </si>
  <si>
    <t>8126076618078</t>
  </si>
  <si>
    <t>8572239611170</t>
  </si>
  <si>
    <t>ED Ethnic Clutch -  Basket</t>
  </si>
  <si>
    <t>CCO-EDE-UNI-BAG-CLU-BAS-MIX-L</t>
  </si>
  <si>
    <t>8599635065307</t>
  </si>
  <si>
    <t>CCO-DSP-UNI-BAG-HDB-ABG-HGM-S</t>
  </si>
  <si>
    <t>8604379487206</t>
  </si>
  <si>
    <t>CCO-DSP-UNI-FWR-LES-BLF-RED-40</t>
  </si>
  <si>
    <t>8610168032700</t>
  </si>
  <si>
    <t>CCO-PAS-UNI-ART-ART-SOU-MIX-A2</t>
  </si>
  <si>
    <t>8618604922639</t>
  </si>
  <si>
    <t>CCO-PAS-UNI-ART-ART-2JI-MIX-A2</t>
  </si>
  <si>
    <t>8623225913539</t>
  </si>
  <si>
    <t>CCO-DSP-UNI-FWR-LES-PHD-CHA-40</t>
  </si>
  <si>
    <t>8640554992677</t>
  </si>
  <si>
    <t>CCO-ODE-UNI-COS-BCE-D03-NON-0</t>
  </si>
  <si>
    <t>8647179738000</t>
  </si>
  <si>
    <t>CCO-DSP-UNI-BAG-CCR-AZR-CHE-0</t>
  </si>
  <si>
    <t>8648295835871</t>
  </si>
  <si>
    <t>CCO-HAM-UNI-JEW-NEC-D71-MIX-0</t>
  </si>
  <si>
    <t>8649538588530</t>
  </si>
  <si>
    <t>Cotton Wallet - AWSZ</t>
  </si>
  <si>
    <t>CCO-TOH-UNI-BAG-WAL-AW2-MIX-S</t>
  </si>
  <si>
    <t>8657254441626</t>
  </si>
  <si>
    <t>Khay đựng xà phòng - Round tray</t>
  </si>
  <si>
    <t>CPU-GAR-UNI-SOU-TRA-RT1-MIX-0</t>
  </si>
  <si>
    <t>8664445728237</t>
  </si>
  <si>
    <t>CPU-LTN-UNI-FNB-GIN-ESG-MIX-0</t>
  </si>
  <si>
    <t>8686147056173</t>
  </si>
  <si>
    <t>CPU-MSA-UNI-FNB-SAK-PCB-MIX-300</t>
  </si>
  <si>
    <t>8696471651609</t>
  </si>
  <si>
    <t>CPU-PSD-UNI-SOU-DEC-LBA-BRO-12</t>
  </si>
  <si>
    <t>8711261048336</t>
  </si>
  <si>
    <t>GPR-GCF-UNI-FNB-CFO-GSK-MIX-0</t>
  </si>
  <si>
    <t>8722473433377</t>
  </si>
  <si>
    <t>CCO-RUN-UNI-HDR-FBA-MAO-MIX-0</t>
  </si>
  <si>
    <t>8724614257071</t>
  </si>
  <si>
    <t>CCO-PAS-UNI-ART-ART-598-MIX-A3</t>
  </si>
  <si>
    <t>8725076572634</t>
  </si>
  <si>
    <t>CCO-DSP-UNI-BAG-WAL-GC0-REP-0</t>
  </si>
  <si>
    <t>8728904719430</t>
  </si>
  <si>
    <t>CCO-DSP-UNI-FWR-LES-BOX-CHO-39</t>
  </si>
  <si>
    <t>8747639644008</t>
  </si>
  <si>
    <t>CCO-DSP-UNI-FWR-LES-JOB-TAU-39</t>
  </si>
  <si>
    <t>8748064203532</t>
  </si>
  <si>
    <t>CCO-HAM-UNI-JEW-NEC-L28-MIX-0</t>
  </si>
  <si>
    <t>8765049689402</t>
  </si>
  <si>
    <t>CCO-PAS-UNI-ART-ART-LAD-MIX-A5</t>
  </si>
  <si>
    <t>8774556834106</t>
  </si>
  <si>
    <t>CPU-PSD-UNI-SOU-DEC-UNI-RED-L</t>
  </si>
  <si>
    <t>8796295158008</t>
  </si>
  <si>
    <t>Lapis,Gold plated,Agate,Onyx</t>
  </si>
  <si>
    <t>CCO-HAM-UNI-JEW-NEC-097-MIX-0</t>
  </si>
  <si>
    <t>8797306054777</t>
  </si>
  <si>
    <t>CCO-DSP-UNI-FWR-LES-ALF-DBP-37</t>
  </si>
  <si>
    <t>8804874762437</t>
  </si>
  <si>
    <t>CCO-DSP-UNI-FWR-LES-ALF-MBE-39</t>
  </si>
  <si>
    <t>8868051664570</t>
  </si>
  <si>
    <t>CCO-SHI-UNI-FNB-CFB-DLB-WHI-BAG</t>
  </si>
  <si>
    <t>8875328608267</t>
  </si>
  <si>
    <t>CCO-TOH-UNI-BAG-WAL-BA2-MIX-S</t>
  </si>
  <si>
    <t>8894316421701</t>
  </si>
  <si>
    <t>CCO-DSP-UNI-BAG-CLU-CHA-CHE-0</t>
  </si>
  <si>
    <t>8910027696105</t>
  </si>
  <si>
    <t>CCO-PAS-UNI-ART-ART-273-MIX-A2</t>
  </si>
  <si>
    <t>8931517905170</t>
  </si>
  <si>
    <t>Ngọc Hân - Nguyễn Huệ 6x130</t>
  </si>
  <si>
    <t>CCO-LAN-UNI-HWR-SC2-NHH-GRN-6x130</t>
  </si>
  <si>
    <t>8936840773670</t>
  </si>
  <si>
    <t>CCO-DSP-UNI-BAG-CHR-SCH-DBN-0</t>
  </si>
  <si>
    <t>8938938303073</t>
  </si>
  <si>
    <t>Carved Jade, Leather, Glass</t>
  </si>
  <si>
    <t>CCO-HAM-UNI-JEW-NEC-113-MIX-0</t>
  </si>
  <si>
    <t>8943519675272</t>
  </si>
  <si>
    <t>CCO-HAM-UNI-JEW-NEC-120-MIX-0</t>
  </si>
  <si>
    <t>8947779771934</t>
  </si>
  <si>
    <t>CCO-TKC-UNI-FNB-CFP-ARA-NON-250g</t>
  </si>
  <si>
    <t>8955063103804</t>
  </si>
  <si>
    <t>Truyện Kiều 60x60</t>
  </si>
  <si>
    <t>CCO-LAN-UNI-HWR-SC2-TKU-PIN-60x60</t>
  </si>
  <si>
    <t>8966059911129</t>
  </si>
  <si>
    <t>Dương Vân Nga 2 90x90</t>
  </si>
  <si>
    <t>CCO-LAN-UNI-HWR-SC2-DVN-YEL-90x90</t>
  </si>
  <si>
    <t>8988741013775</t>
  </si>
  <si>
    <t>Cô bé bán diêm 90x90</t>
  </si>
  <si>
    <t>CCO-LAN-UNI-HWR-SC1-CBBD-PIN-90x90</t>
  </si>
  <si>
    <t>8989418611928</t>
  </si>
  <si>
    <t>CPU-PSD-UNI-SOU-DEC-LBA-GRN-56</t>
  </si>
  <si>
    <t>8993359542135</t>
  </si>
  <si>
    <t>CPU-MAZ-UNI-SOU-GAM-DSR-YEL-0</t>
  </si>
  <si>
    <t>8994292886577</t>
  </si>
  <si>
    <t>CCO-HAM-UNI-JEW-EAR-E52-MIX-0</t>
  </si>
  <si>
    <t>8994441244500</t>
  </si>
  <si>
    <t>CCO-DSP-UNI-FWR-FLA-CO1-NAT-38</t>
  </si>
  <si>
    <t>9033786163134</t>
  </si>
  <si>
    <t>CCO-HAM-UNI-JEW-NEC-059-MIX-0</t>
  </si>
  <si>
    <t>9057917005407</t>
  </si>
  <si>
    <t>CCO-DSP-UNI-BAG-HDB-AU1-DPK-0</t>
  </si>
  <si>
    <t>9058494595732</t>
  </si>
  <si>
    <t>CCO-DSP-UNI-FWR-SLI-MAS-CRE-39</t>
  </si>
  <si>
    <t>9060331159809</t>
  </si>
  <si>
    <t>CCO-DSP-UNI-BAG-CRB-CBG-SAN-0</t>
  </si>
  <si>
    <t>9061800889432</t>
  </si>
  <si>
    <t>CPU-PSD-UNI-SOU-DEC-SBA-BRO-18</t>
  </si>
  <si>
    <t>9065867873434</t>
  </si>
  <si>
    <t>CCO-PAS-UNI-ART-ART-CPO-MIX-A2</t>
  </si>
  <si>
    <t>9091481845533</t>
  </si>
  <si>
    <t>GPR-GCF-UNI-FNB-CFO-PGT-MIX-0</t>
  </si>
  <si>
    <t>9095200868209</t>
  </si>
  <si>
    <t>CPU-PSD-UNI-SOU-DEC-BCB-BLU-40</t>
  </si>
  <si>
    <t>9106436423770</t>
  </si>
  <si>
    <t>CCO-PAS-UNI-ART-ART-TNT-MIX-A3</t>
  </si>
  <si>
    <t>9119152999276</t>
  </si>
  <si>
    <t>GPR-GCF-UNI-FNB-CFO-LAT-MIX-0</t>
  </si>
  <si>
    <t>9132961313705</t>
  </si>
  <si>
    <t>Golden metal, Leather</t>
  </si>
  <si>
    <t>CCO-HAM-UNI-JEW-NEC-115-MIX-0</t>
  </si>
  <si>
    <t>9134784327976</t>
  </si>
  <si>
    <t>Khay đựng xà phòng - Soap tray</t>
  </si>
  <si>
    <t>CPU-GAR-UNI-SOU-TRA-ST1-MIX-0</t>
  </si>
  <si>
    <t>9172321908608</t>
  </si>
  <si>
    <t>Thánh Gióng 6x130</t>
  </si>
  <si>
    <t>CCO-LAN-UNI-HWR-SC2-TGG-GRN-6x130</t>
  </si>
  <si>
    <t>9180041196304</t>
  </si>
  <si>
    <t>GPR-GCF-UNI-FNB-CFO-ESP-MIX-0</t>
  </si>
  <si>
    <t>9189368132873</t>
  </si>
  <si>
    <t>ED Wall Clutch -  Café sua da</t>
  </si>
  <si>
    <t>CCO-EDE-UNI-BAG-CLU-CSD-MIX-0</t>
  </si>
  <si>
    <t>9198077045930</t>
  </si>
  <si>
    <t>CCO-DSP-UNI-FWR-SNE-SBR-TMB-41</t>
  </si>
  <si>
    <t>9209898889969</t>
  </si>
  <si>
    <t>Ngọc Hân - Nguyễn Huệ 2 90x90</t>
  </si>
  <si>
    <t>CCO-LAN-UNI-HWR-SC2-NHH-GRN-90x90</t>
  </si>
  <si>
    <t>9213692928700</t>
  </si>
  <si>
    <t>CCO-DSP-UNI-BAG-CLU-CHA-RED-0</t>
  </si>
  <si>
    <t>9227427104178</t>
  </si>
  <si>
    <t>CCO-DSP-UNI-FWR-LES-LAS-YEL-37</t>
  </si>
  <si>
    <t>9228212837837</t>
  </si>
  <si>
    <t>CCO-PAS-UNI-ART-ART-SMO-MIX-A4</t>
  </si>
  <si>
    <t>9236589846673</t>
  </si>
  <si>
    <t>CCO-DSP-UNI-FWR-LES-ALF-DPU-46</t>
  </si>
  <si>
    <t>9238555327735</t>
  </si>
  <si>
    <t>CCO-DSP-UNI-BAG-HDB-GA1-CRI-0</t>
  </si>
  <si>
    <t>9241627364873</t>
  </si>
  <si>
    <t>CCO-SHI-UNI-FNB-CFB-ALB-WHI-BAG</t>
  </si>
  <si>
    <t>9251238225005</t>
  </si>
  <si>
    <t>CCO-DSP-UNI-BAG-HDB-SH1-GRE-0</t>
  </si>
  <si>
    <t>9254002861300</t>
  </si>
  <si>
    <t>CPU-NGO-UNI-FWR-SNE-SGS-SAG-45</t>
  </si>
  <si>
    <t>9255798881534</t>
  </si>
  <si>
    <t>CPU-PSD-UNI-SOU-DEC-TWB-GRN-0</t>
  </si>
  <si>
    <t>9273915271938</t>
  </si>
  <si>
    <t>GPR-GCF-UNI-FNB-CFO-WHC-MIX-0</t>
  </si>
  <si>
    <t>9291570117231</t>
  </si>
  <si>
    <t>CPU-NGO-UNI-FWR-SNE-SGS-SAG-37</t>
  </si>
  <si>
    <t>9320930377234</t>
  </si>
  <si>
    <t>CPU-PSD-UNI-SOU-DEC-LBA-RED-18</t>
  </si>
  <si>
    <t>9321223567578</t>
  </si>
  <si>
    <t>ED Cushion -  Miss Chau</t>
  </si>
  <si>
    <t>CCO-EDE-UNI-HDR-CUS-CHA-PIN-0</t>
  </si>
  <si>
    <t>9349279235579</t>
  </si>
  <si>
    <t>Kassod wood, jade</t>
  </si>
  <si>
    <t>CCO-HAM-UNI-JEW-BRA-N48-MIX-0</t>
  </si>
  <si>
    <t>6724969094804</t>
  </si>
  <si>
    <t>Natural wood, jade</t>
  </si>
  <si>
    <t>9349989247770</t>
  </si>
  <si>
    <t>Hộp sơn mài SNA</t>
  </si>
  <si>
    <t>CCO-LAN-UNI-HDR-LBX-SNA-YEL-BOX</t>
  </si>
  <si>
    <t>9352738069875</t>
  </si>
  <si>
    <t>CCO-PAS-UNI-ART-ART-LIB-MIX-A5</t>
  </si>
  <si>
    <t>9365119764702</t>
  </si>
  <si>
    <t>Silk beads, Crystal, Metal</t>
  </si>
  <si>
    <t>CCO-HAM-UNI-JEW-NEC-087-MIX-0</t>
  </si>
  <si>
    <t>9369636219103</t>
  </si>
  <si>
    <t>CCO-SHI-UNI-FNB-CFP-KSB-WHI-CAN</t>
  </si>
  <si>
    <t>9387917215033</t>
  </si>
  <si>
    <t>CCO-DSP-UNI-HDR-LTK-LTK-DRE-0</t>
  </si>
  <si>
    <t>9389259794894</t>
  </si>
  <si>
    <t>Khăn 2M Thành Cổ Loa 70x70</t>
  </si>
  <si>
    <t>CCO-LAN-UNI-HWR-SC2-TCL-YEL-70x70</t>
  </si>
  <si>
    <t>9417114911909</t>
  </si>
  <si>
    <t>CCO-DSP-UNI-BAG-HDB-SIS-DRE-0</t>
  </si>
  <si>
    <t>9425037461104</t>
  </si>
  <si>
    <t>Dương Vân Nga 90x90</t>
  </si>
  <si>
    <t>CCO-LAN-UNI-HWR-SC1-DVN-YEL-90x90</t>
  </si>
  <si>
    <t>9434088292209</t>
  </si>
  <si>
    <t>CCO-DSP-UNI-FWR-LES-DRI-BLK-39</t>
  </si>
  <si>
    <t>9436651663973</t>
  </si>
  <si>
    <t>CCO-DSP-UNI-FWR-HDB-VIN-BLU-44</t>
  </si>
  <si>
    <t>9444832525835</t>
  </si>
  <si>
    <t>ED Cushion -  Miss Hoan</t>
  </si>
  <si>
    <t>CCO-EDE-UNI-HDR-CUS-HO1-PIN-0</t>
  </si>
  <si>
    <t>9457354414754</t>
  </si>
  <si>
    <t>CPU-PSD-UNI-SOU-DEC-LBA-GRN-55</t>
  </si>
  <si>
    <t>9458863148703</t>
  </si>
  <si>
    <t>CCO-HAM-UNI-JEW-NEC-135-MIX-0</t>
  </si>
  <si>
    <t>9463309549372</t>
  </si>
  <si>
    <t>CCO-SHI-UNI-FNB-CFP-PBO-BRO-CAN</t>
  </si>
  <si>
    <t>9472508958205</t>
  </si>
  <si>
    <t>CCO-DSP-UNI-BAG-WAL-SEU-LEA-0</t>
  </si>
  <si>
    <t>9480802699335</t>
  </si>
  <si>
    <t>Truyện Kiều 90x90</t>
  </si>
  <si>
    <t>CCO-LAN-UNI-HWR-SC1-TKU-PIN-90x90</t>
  </si>
  <si>
    <t>9485509762535</t>
  </si>
  <si>
    <t>CCO-PAS-UNI-ART-ART-CPA-MIX-A1</t>
  </si>
  <si>
    <t>9487139715837</t>
  </si>
  <si>
    <t>CCO-HAM-UNI-JEW-NEC-093-MIX-0</t>
  </si>
  <si>
    <t>9502676013038</t>
  </si>
  <si>
    <t>CPU-PSD-UNI-SOU-DEC-SIB-RED-8</t>
  </si>
  <si>
    <t>9522440238573</t>
  </si>
  <si>
    <t>CCO-DSP-UNI-HDR-TRA-ST2-DRE-0</t>
  </si>
  <si>
    <t>9532977746878</t>
  </si>
  <si>
    <t>CCO-DSP-UNI-BAG-CHR-SCH-MBE-0</t>
  </si>
  <si>
    <t>9545783431470</t>
  </si>
  <si>
    <t>CPU-PSD-UNI-SOU-DEC-SIB-GRN-8</t>
  </si>
  <si>
    <t>9553430383232</t>
  </si>
  <si>
    <t>CCO-DSP-UNI-FWR-FLA-CO0-PUR-39</t>
  </si>
  <si>
    <t>9556808838358</t>
  </si>
  <si>
    <t>Dinh độc lập 90x90</t>
  </si>
  <si>
    <t>CCO-LAN-UNI-HWR-SC1-DDL-BLU-90x90</t>
  </si>
  <si>
    <t>9561511429007</t>
  </si>
  <si>
    <t>CPU-MAZ-UNI-SOU-GAM-CHS-WOE-0</t>
  </si>
  <si>
    <t>9568441484137</t>
  </si>
  <si>
    <t>ED Ethnic Clutch -  Earring</t>
  </si>
  <si>
    <t>CCO-EDE-UNI-BAG-CLU-EAR-MIX-L</t>
  </si>
  <si>
    <t>9583853943034</t>
  </si>
  <si>
    <t>GPR-GCF-UNI-FNB-CFO-EGC-MIX-0</t>
  </si>
  <si>
    <t>9595385971430</t>
  </si>
  <si>
    <t>Red Pepper &amp; Salt Mix Grinder</t>
  </si>
  <si>
    <t>CPU-BLS-UNI-FNB-SAL-009-MIX-70g</t>
  </si>
  <si>
    <t>9608332998234</t>
  </si>
  <si>
    <t>CCO-DSP-UNI-FWR-LES-ALF-BPA-40</t>
  </si>
  <si>
    <t>9622065103178</t>
  </si>
  <si>
    <t>CCO-DSP-UNI-FWR-LES-OWE-RED-38</t>
  </si>
  <si>
    <t>9627745954903</t>
  </si>
  <si>
    <t>CPU-PSD-UNI-SOU-DEC-SBA-GRN-12</t>
  </si>
  <si>
    <t>9634870711103</t>
  </si>
  <si>
    <t>CPU-GAR-UNI-SOU-SOP-COS-MIX-0</t>
  </si>
  <si>
    <t>9649201475777</t>
  </si>
  <si>
    <t>CCO-DSP-UNI-FWR-LES-ALF-DBP-48</t>
  </si>
  <si>
    <t>9662503766978</t>
  </si>
  <si>
    <t>CCO-DSP-UNI-BAG-HDB-BRO-GME-0</t>
  </si>
  <si>
    <t>9663414597200</t>
  </si>
  <si>
    <t>GPR-GCF-UNI-FNB-CFO-BLC-MIX-0</t>
  </si>
  <si>
    <t>9663981624750</t>
  </si>
  <si>
    <t>CCO-HAM-UNI-JEW-NEC-L25-MIX-0</t>
  </si>
  <si>
    <t>9665615069678</t>
  </si>
  <si>
    <t>Ginkgo’s Bún Bò Huế A2</t>
  </si>
  <si>
    <t>CCO-PAS-UNI-ART-ART-BBH-MIX-A2</t>
  </si>
  <si>
    <t>9666712576151</t>
  </si>
  <si>
    <t>CCO-HAM-UNI-JEW-NEC-A32-MIX-0</t>
  </si>
  <si>
    <t>9677753023603</t>
  </si>
  <si>
    <t>An Tư 6x130</t>
  </si>
  <si>
    <t>CCO-LAN-UNI-HWR-SC2-ATU-BLU-6x130</t>
  </si>
  <si>
    <t>9685797838039</t>
  </si>
  <si>
    <t>CCO-DSP-UNI-BAG-CHR-SCH-BUR-0</t>
  </si>
  <si>
    <t>9687923548928</t>
  </si>
  <si>
    <t>Khăn 2M Hồ Xuân Hương 70x70</t>
  </si>
  <si>
    <t>CCO-LAN-UNI-HWR-SC2-HXH-BLU-70x70</t>
  </si>
  <si>
    <t>9693019092701</t>
  </si>
  <si>
    <t>CCO-DSP-UNI-BAG-CLU-SIS-DGN-0</t>
  </si>
  <si>
    <t>9697826215377</t>
  </si>
  <si>
    <t>CPU-NGO-UNI-FWR-SNE-SGS-RBY-37</t>
  </si>
  <si>
    <t>9706081061831</t>
  </si>
  <si>
    <t>Agate, Lapis, Agates, Coral</t>
  </si>
  <si>
    <t>CCO-HAM-UNI-JEW-NEC-144-MIX-0</t>
  </si>
  <si>
    <t>9713629601107</t>
  </si>
  <si>
    <t>CCO-ODE-UNI-COS-FCE-F02-NON-0</t>
  </si>
  <si>
    <t>9714093924631</t>
  </si>
  <si>
    <t>CCO-RUN-UNI-SOU-SAS-CGY-MIX-0</t>
  </si>
  <si>
    <t>9727752529238</t>
  </si>
  <si>
    <t>CCO-HAM-UNI-JEW-NEC-033-MIX-0</t>
  </si>
  <si>
    <t>9731608814409</t>
  </si>
  <si>
    <t>Silk beads, Enamel, Crystal</t>
  </si>
  <si>
    <t>CCO-HAM-UNI-JEW-NEC-A41-MIX-0</t>
  </si>
  <si>
    <t>9737895744108</t>
  </si>
  <si>
    <t>CCO-SHI-UNI-FNB-CFB-KSB-WHI-BAG</t>
  </si>
  <si>
    <t>9743841517405</t>
  </si>
  <si>
    <t>CCO-DSP-UNI-FWR-LES-PEN-MBE-40</t>
  </si>
  <si>
    <t>9752022379305</t>
  </si>
  <si>
    <t>ED Ethnic Clutch -  Man</t>
  </si>
  <si>
    <t>CCO-EDE-UNI-BAG-CLU-MAN-MIX-L</t>
  </si>
  <si>
    <t>9763488868685</t>
  </si>
  <si>
    <t>Thành Cổ Loa 90x90</t>
  </si>
  <si>
    <t>CCO-LAN-UNI-HWR-SC1-TCL-YEL-90x90</t>
  </si>
  <si>
    <t>9785994789704</t>
  </si>
  <si>
    <t>CCO-DSP-UNI-FWR-LES-BOX-BUR-36</t>
  </si>
  <si>
    <t>9790995108300</t>
  </si>
  <si>
    <t>CCO-SHI-UNI-FNB-CFB-PBO-BRO-CAN</t>
  </si>
  <si>
    <t>9795448433602</t>
  </si>
  <si>
    <t>CCO-PAS-UNI-ART-ART-CP2-MIX-A3</t>
  </si>
  <si>
    <t>9797899475101</t>
  </si>
  <si>
    <t>CCO-DSP-UNI-FWR-FLA-CO1-RED-38</t>
  </si>
  <si>
    <t>9804281591278</t>
  </si>
  <si>
    <t>CCO-SHI-UNI-FNB-CFP-VNC-WHI-BOX</t>
  </si>
  <si>
    <t>9808490529435</t>
  </si>
  <si>
    <t>CCO-DSP-UNI-BAG-CHR-SCH-RED-0</t>
  </si>
  <si>
    <t>9828355759739</t>
  </si>
  <si>
    <t>GPR-GCF-UNI-FNB-CFO-RPK-MIX-0</t>
  </si>
  <si>
    <t>9830648502014</t>
  </si>
  <si>
    <t>Khăn 2 mặt Hà Nội 90x90</t>
  </si>
  <si>
    <t>CCO-LAN-UNI-HWR-SC2-HNI-GRN-90x90</t>
  </si>
  <si>
    <t>9834971735736</t>
  </si>
  <si>
    <t>CCO-DSP-UNI-BAG-CLU-BAZ-SLR-0</t>
  </si>
  <si>
    <t>9842352262405</t>
  </si>
  <si>
    <t>CPU-PSD-UNI-SOU-DEC-LBA-CRE-55</t>
  </si>
  <si>
    <t>9854327647209</t>
  </si>
  <si>
    <t>CCO-DSP-UNI-HDR-SAS-DEL-BLK-0</t>
  </si>
  <si>
    <t>9856940533709</t>
  </si>
  <si>
    <t>CCO-DSP-UNI-HDR-TRA-ST1-MBE-0</t>
  </si>
  <si>
    <t>9868366749176</t>
  </si>
  <si>
    <t>CCO-DSP-UNI-FWR-HDB-STL-HBN-48</t>
  </si>
  <si>
    <t>9876821467077</t>
  </si>
  <si>
    <t>Khăn 2 mặt Sen Đồng Tháp 70x70</t>
  </si>
  <si>
    <t>CCO-LAN-UNI-HWR-SC2-SDT-PIN-70x70</t>
  </si>
  <si>
    <t>9890012435768</t>
  </si>
  <si>
    <t>Khăn 2M DS Bắc Nam 70x70</t>
  </si>
  <si>
    <t>CCO-LAN-UNI-HWR-SC2-DBN-BLU-70x70</t>
  </si>
  <si>
    <t>9891515784230</t>
  </si>
  <si>
    <t>CCO-DSP-UNI-BAG-CCR-AZ1-CHE-0</t>
  </si>
  <si>
    <t>9906229559576</t>
  </si>
  <si>
    <t>CCO-PAS-UNI-ART-ART-SIA-MIX-A1</t>
  </si>
  <si>
    <t>9906949228707</t>
  </si>
  <si>
    <t>CPU-LTN-UNI-FNB-GIN-COG-MIX-0</t>
  </si>
  <si>
    <t>9924069193835</t>
  </si>
  <si>
    <t>CPU-MSA-UNI-FNB-SAK-SCL-MIX-300</t>
  </si>
  <si>
    <t>9967117766605</t>
  </si>
  <si>
    <t>CCO-PAS-UNI-ART-ART-487-MIX-A3</t>
  </si>
  <si>
    <t>9967659268339</t>
  </si>
  <si>
    <t>CCO-DSP-UNI-BAG-HDB-GA1-BOR-0</t>
  </si>
  <si>
    <t>9972247569231</t>
  </si>
  <si>
    <t>CCO-DSP-UNI-BAG-CLU-BAZ-BUR-0</t>
  </si>
  <si>
    <t>9983249003876</t>
  </si>
  <si>
    <t>CCO-DSP-UNI-BAG-CLU-FOU-CHE-0</t>
  </si>
  <si>
    <t>7063258191473</t>
  </si>
  <si>
    <t>9983298327435</t>
  </si>
  <si>
    <t>CCO-DSP-UNI-SOU-SAS-WRB-HOE-0</t>
  </si>
  <si>
    <t>9995476640304</t>
  </si>
  <si>
    <t>Dinh độc lập 2 90x90</t>
  </si>
  <si>
    <t>CCO-LAN-UNI-HWR-SC2-DDL-BLU-90x90</t>
  </si>
  <si>
    <t>9997807881677</t>
  </si>
  <si>
    <t>CPU-MAZ-UNI-SOU-GAM-DSR-GRN-0</t>
  </si>
  <si>
    <t>6615242373030</t>
  </si>
  <si>
    <t>Daily Cross Body Bag - ABBM20</t>
  </si>
  <si>
    <t>CCO-TOH-UNI-BAG-CBB-ABM-MIX-0</t>
  </si>
  <si>
    <t>7790566569006</t>
  </si>
  <si>
    <t xml:space="preserve">Silk beads, Enamel </t>
  </si>
  <si>
    <t>CCO-HAM-UNI-JEW-NEC-H80-MIX-0</t>
  </si>
  <si>
    <t>4476720509301</t>
  </si>
  <si>
    <t>CCO-HAM-UNI-JEW-NEC-H81-MIX-0</t>
  </si>
  <si>
    <t>2550702639605</t>
  </si>
  <si>
    <t>CCO-HAM-UNI-JEW-NEC-H82-MIX-0</t>
  </si>
  <si>
    <t>6774481549900</t>
  </si>
  <si>
    <t>CCO-HAM-UNI-JEW-NEC-H83-MIX-0</t>
  </si>
  <si>
    <t>4330985366232</t>
  </si>
  <si>
    <t>CCO-HAM-UNI-JEW-NEC-H84-MIX-0</t>
  </si>
  <si>
    <t>3734730286539</t>
  </si>
  <si>
    <t xml:space="preserve">Leather, Jade </t>
  </si>
  <si>
    <t>CCO-HAM-UNI-JEW-NEC-H85-MIX-0</t>
  </si>
  <si>
    <t>5542128498871</t>
  </si>
  <si>
    <t>CCO-HAM-UNI-JEW-NEC-H86-MIX-0</t>
  </si>
  <si>
    <t>5841916708377</t>
  </si>
  <si>
    <t>Silk beads, Crystal, Golden metal</t>
  </si>
  <si>
    <t>CCO-HAM-UNI-JEW-NEC-L50-MIX-0</t>
  </si>
  <si>
    <t>3085515552906</t>
  </si>
  <si>
    <t>Silk beads, Jade, Enamel</t>
  </si>
  <si>
    <t>CCO-HAM-UNI-JEW-NEC-L51-MIX-0</t>
  </si>
  <si>
    <t>3393621683408</t>
  </si>
  <si>
    <t>CCO-HAM-UNI-JEW-NEC-L52-MIX-0</t>
  </si>
  <si>
    <t>3628848723874</t>
  </si>
  <si>
    <t>CCO-HAM-UNI-JEW-NEC-L53-MIX-0</t>
  </si>
  <si>
    <t>9547199458676</t>
  </si>
  <si>
    <t>Silk beads, Metal, Silk tassel</t>
  </si>
  <si>
    <t>CCO-HAM-UNI-JEW-NEC-L54-MIX-0</t>
  </si>
  <si>
    <t>7956096847407</t>
  </si>
  <si>
    <t>CCO-HAM-UNI-JEW-NEC-156-MIX-0</t>
  </si>
  <si>
    <t>3730485387736</t>
  </si>
  <si>
    <t>CCO-HAM-UNI-JEW-NEC-157-MIX-0</t>
  </si>
  <si>
    <t>7767934588037</t>
  </si>
  <si>
    <t>CCO-HAM-UNI-JEW-NEC-158-MIX-0</t>
  </si>
  <si>
    <t>4112739941441</t>
  </si>
  <si>
    <t>CCO-HAM-UNI-JEW-NEC-A37-MIX-0</t>
  </si>
  <si>
    <t>5979650242939</t>
  </si>
  <si>
    <t>CCO-HAM-UNI-JEW-NEC-003-MIX-0</t>
  </si>
  <si>
    <t>4912100685239</t>
  </si>
  <si>
    <t>CCO-HAM-UNI-JEW-NEC-150-MIX-0</t>
  </si>
  <si>
    <t>3146839715702</t>
  </si>
  <si>
    <t>CCO-HAM-UNI-JEW-NEC-151-MIX-0</t>
  </si>
  <si>
    <t>4228586316001</t>
  </si>
  <si>
    <t>CCO-HAM-UNI-JEW-NEC-152-MIX-0</t>
  </si>
  <si>
    <t>1620886616509</t>
  </si>
  <si>
    <t>CCO-HAM-UNI-JEW-NEC-153-MIX-0</t>
  </si>
  <si>
    <t>9508539026801</t>
  </si>
  <si>
    <t>CCO-HAM-UNI-JEW-NEC-154-MIX-0</t>
  </si>
  <si>
    <t>3732317937102</t>
  </si>
  <si>
    <t>CCO-HAM-UNI-JEW-NEC-A55-MIX-0</t>
  </si>
  <si>
    <t>Name</t>
  </si>
  <si>
    <t>Souvernir</t>
  </si>
  <si>
    <t>Bag</t>
  </si>
  <si>
    <t>Other Accessories</t>
  </si>
  <si>
    <t>Scarves</t>
  </si>
  <si>
    <t>Jewelry</t>
  </si>
  <si>
    <t>Foot Wear</t>
  </si>
  <si>
    <t>Head Wear</t>
  </si>
  <si>
    <t>Home Décor</t>
  </si>
  <si>
    <t>CBB</t>
  </si>
  <si>
    <t>142</t>
  </si>
  <si>
    <t>140</t>
  </si>
  <si>
    <t>136</t>
  </si>
  <si>
    <t>133</t>
  </si>
  <si>
    <t>134</t>
  </si>
  <si>
    <t>139</t>
  </si>
  <si>
    <t>138</t>
  </si>
  <si>
    <t>GPG</t>
  </si>
  <si>
    <t>128</t>
  </si>
  <si>
    <t>102</t>
  </si>
  <si>
    <t>125</t>
  </si>
  <si>
    <t>155</t>
  </si>
  <si>
    <t>GBR</t>
  </si>
  <si>
    <t>131</t>
  </si>
  <si>
    <t>101</t>
  </si>
  <si>
    <t>143</t>
  </si>
  <si>
    <t>9GK</t>
  </si>
  <si>
    <t>130</t>
  </si>
  <si>
    <t>132</t>
  </si>
  <si>
    <t>159</t>
  </si>
  <si>
    <t>126</t>
  </si>
  <si>
    <t>100</t>
  </si>
  <si>
    <t>141</t>
  </si>
  <si>
    <t>127</t>
  </si>
  <si>
    <t>137</t>
  </si>
  <si>
    <t>129</t>
  </si>
  <si>
    <t>598</t>
  </si>
  <si>
    <t>273</t>
  </si>
  <si>
    <t>135</t>
  </si>
  <si>
    <t>BBH</t>
  </si>
  <si>
    <t>144</t>
  </si>
  <si>
    <t>487</t>
  </si>
  <si>
    <t>ABM</t>
  </si>
  <si>
    <t>H80</t>
  </si>
  <si>
    <t>H81</t>
  </si>
  <si>
    <t>H82</t>
  </si>
  <si>
    <t>H83</t>
  </si>
  <si>
    <t>H84</t>
  </si>
  <si>
    <t>H85</t>
  </si>
  <si>
    <t>H86</t>
  </si>
  <si>
    <t>L50</t>
  </si>
  <si>
    <t>L51</t>
  </si>
  <si>
    <t>L52</t>
  </si>
  <si>
    <t>L53</t>
  </si>
  <si>
    <t>L54</t>
  </si>
  <si>
    <t>156</t>
  </si>
  <si>
    <t>157</t>
  </si>
  <si>
    <t>A37</t>
  </si>
  <si>
    <t>003</t>
  </si>
  <si>
    <t>150</t>
  </si>
  <si>
    <t>151</t>
  </si>
  <si>
    <t>152</t>
  </si>
  <si>
    <t>153</t>
  </si>
  <si>
    <t>154</t>
  </si>
  <si>
    <t>A55</t>
  </si>
  <si>
    <t>l</t>
  </si>
  <si>
    <t>TER</t>
  </si>
  <si>
    <t>10</t>
  </si>
  <si>
    <t>8</t>
  </si>
  <si>
    <t>2</t>
  </si>
  <si>
    <t>6</t>
  </si>
  <si>
    <t>12</t>
  </si>
  <si>
    <t>75</t>
  </si>
  <si>
    <t>4</t>
  </si>
  <si>
    <t>90</t>
  </si>
  <si>
    <t>300</t>
  </si>
  <si>
    <t>#N/A</t>
  </si>
  <si>
    <t>SKU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</si>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</sst>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"/>
  </numFmts>
  <fonts count="3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name val="Aptos Narrow"/>
      <family val="2"/>
    </font>
    <font>
      <sz val="11"/>
      <color theme="1"/>
      <name val="Aptos Narrow"/>
      <family val="2"/>
    </font>
    <font>
      <b/>
      <sz val="11"/>
      <name val="Aptos Narrow"/>
      <family val="2"/>
    </font>
    <font>
      <sz val="10"/>
      <name val="Arial"/>
      <family val="2"/>
    </font>
    <font>
      <sz val="11"/>
      <color rgb="FFFF0000"/>
      <name val="Aptos Narrow"/>
      <family val="2"/>
    </font>
    <font>
      <sz val="10"/>
      <color rgb="FF000000"/>
      <name val="Arial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8"/>
      <color theme="5"/>
      <name val="Times New Roman"/>
      <family val="1"/>
    </font>
    <font>
      <sz val="10"/>
      <name val="Arial"/>
      <family val="2"/>
      <scheme val="minor"/>
    </font>
    <font>
      <sz val="11"/>
      <color rgb="FF000000"/>
      <name val="Times New Roman"/>
      <family val="1"/>
    </font>
    <font>
      <b/>
      <sz val="10"/>
      <color rgb="FF000000"/>
      <name val="Arial"/>
      <family val="2"/>
      <scheme val="minor"/>
    </font>
    <font>
      <b/>
      <sz val="10"/>
      <name val="Arial"/>
      <family val="2"/>
      <scheme val="minor"/>
    </font>
    <font>
      <b/>
      <i/>
      <sz val="11"/>
      <color rgb="FFFF0000"/>
      <name val="&quot;Times New Roman&quot;"/>
    </font>
    <font>
      <sz val="11"/>
      <name val="Arial"/>
      <family val="2"/>
      <scheme val="minor"/>
    </font>
    <font>
      <sz val="16"/>
      <color rgb="FFFF0000"/>
      <name val="Times New Roman"/>
      <family val="1"/>
    </font>
    <font>
      <sz val="16"/>
      <name val="Times New Roman"/>
      <family val="1"/>
    </font>
    <font>
      <b/>
      <sz val="11"/>
      <name val="Times New Roman"/>
      <family val="1"/>
    </font>
    <font>
      <b/>
      <i/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i/>
      <sz val="11"/>
      <color theme="1"/>
      <name val="Times New Roman"/>
      <family val="1"/>
    </font>
    <font>
      <sz val="11"/>
      <color rgb="FFFF0000"/>
      <name val="Times New Roman"/>
      <family val="1"/>
    </font>
    <font>
      <i/>
      <sz val="11"/>
      <color rgb="FFFF0000"/>
      <name val="Times New Roman"/>
      <family val="1"/>
    </font>
    <font>
      <sz val="11"/>
      <color theme="5"/>
      <name val="Times New Roman"/>
      <family val="1"/>
    </font>
    <font>
      <sz val="11"/>
      <color rgb="FF00B0F0"/>
      <name val="Times New Roman"/>
      <family val="1"/>
    </font>
    <font>
      <i/>
      <sz val="11"/>
      <name val="Times New Roman"/>
      <family val="1"/>
    </font>
    <font>
      <sz val="9"/>
      <name val="Aptos Narrow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7" fillId="0" borderId="0"/>
    <xf numFmtId="0" fontId="1" fillId="0" borderId="0"/>
  </cellStyleXfs>
  <cellXfs count="299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4" fillId="0" borderId="0" xfId="0" applyFont="1"/>
    <xf numFmtId="164" fontId="4" fillId="3" borderId="1" xfId="0" applyNumberFormat="1" applyFont="1" applyFill="1" applyBorder="1" applyAlignment="1">
      <alignment horizontal="center"/>
    </xf>
    <xf numFmtId="0" fontId="4" fillId="2" borderId="1" xfId="0" applyFont="1" applyFill="1" applyBorder="1"/>
    <xf numFmtId="0" fontId="6" fillId="0" borderId="0" xfId="0" applyFont="1"/>
    <xf numFmtId="0" fontId="3" fillId="0" borderId="1" xfId="0" applyFont="1" applyBorder="1"/>
    <xf numFmtId="0" fontId="2" fillId="0" borderId="0" xfId="0" quotePrefix="1" applyFont="1"/>
    <xf numFmtId="0" fontId="2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49" fontId="2" fillId="0" borderId="0" xfId="0" applyNumberFormat="1" applyFont="1"/>
    <xf numFmtId="0" fontId="4" fillId="2" borderId="0" xfId="0" applyFont="1" applyFill="1"/>
    <xf numFmtId="0" fontId="8" fillId="0" borderId="0" xfId="2" applyFont="1" applyAlignment="1">
      <alignment vertical="center"/>
    </xf>
    <xf numFmtId="0" fontId="9" fillId="0" borderId="0" xfId="2" applyFont="1" applyAlignment="1">
      <alignment vertical="center"/>
    </xf>
    <xf numFmtId="0" fontId="10" fillId="0" borderId="0" xfId="2" applyFont="1" applyAlignment="1">
      <alignment vertical="center"/>
    </xf>
    <xf numFmtId="0" fontId="9" fillId="0" borderId="0" xfId="2" applyFont="1" applyAlignment="1">
      <alignment horizontal="center" vertical="center"/>
    </xf>
    <xf numFmtId="0" fontId="9" fillId="0" borderId="0" xfId="2" applyFont="1" applyAlignment="1">
      <alignment horizontal="left" vertical="center"/>
    </xf>
    <xf numFmtId="0" fontId="7" fillId="0" borderId="0" xfId="2"/>
    <xf numFmtId="0" fontId="11" fillId="4" borderId="0" xfId="2" applyFont="1" applyFill="1" applyAlignment="1">
      <alignment vertical="center"/>
    </xf>
    <xf numFmtId="0" fontId="12" fillId="0" borderId="0" xfId="2" applyFont="1"/>
    <xf numFmtId="15" fontId="8" fillId="0" borderId="0" xfId="2" applyNumberFormat="1" applyFont="1" applyAlignment="1">
      <alignment vertical="center"/>
    </xf>
    <xf numFmtId="0" fontId="9" fillId="5" borderId="1" xfId="2" applyFont="1" applyFill="1" applyBorder="1" applyAlignment="1">
      <alignment vertical="center"/>
    </xf>
    <xf numFmtId="0" fontId="9" fillId="5" borderId="1" xfId="2" applyFont="1" applyFill="1" applyBorder="1" applyAlignment="1">
      <alignment horizontal="center" vertical="center"/>
    </xf>
    <xf numFmtId="0" fontId="7" fillId="0" borderId="0" xfId="2" quotePrefix="1"/>
    <xf numFmtId="0" fontId="7" fillId="0" borderId="1" xfId="2" applyBorder="1" applyAlignment="1">
      <alignment vertical="center"/>
    </xf>
    <xf numFmtId="0" fontId="7" fillId="0" borderId="1" xfId="2" applyBorder="1" applyAlignment="1">
      <alignment horizontal="left" vertical="center"/>
    </xf>
    <xf numFmtId="0" fontId="13" fillId="0" borderId="1" xfId="2" applyFont="1" applyBorder="1" applyAlignment="1">
      <alignment vertical="center"/>
    </xf>
    <xf numFmtId="0" fontId="7" fillId="0" borderId="0" xfId="2" applyAlignment="1">
      <alignment vertical="center"/>
    </xf>
    <xf numFmtId="0" fontId="7" fillId="0" borderId="0" xfId="2" applyAlignment="1">
      <alignment horizontal="center" vertical="center"/>
    </xf>
    <xf numFmtId="0" fontId="7" fillId="0" borderId="0" xfId="2" applyAlignment="1">
      <alignment horizontal="left" vertical="center"/>
    </xf>
    <xf numFmtId="0" fontId="7" fillId="0" borderId="1" xfId="2" quotePrefix="1" applyBorder="1" applyAlignment="1">
      <alignment horizontal="left" vertical="center"/>
    </xf>
    <xf numFmtId="0" fontId="14" fillId="0" borderId="0" xfId="2" applyFont="1"/>
    <xf numFmtId="0" fontId="15" fillId="0" borderId="0" xfId="2" applyFont="1"/>
    <xf numFmtId="0" fontId="12" fillId="0" borderId="0" xfId="2" applyFont="1" applyAlignment="1">
      <alignment vertical="center"/>
    </xf>
    <xf numFmtId="0" fontId="7" fillId="0" borderId="4" xfId="2" applyBorder="1" applyAlignment="1">
      <alignment vertical="center"/>
    </xf>
    <xf numFmtId="0" fontId="13" fillId="0" borderId="0" xfId="2" applyFont="1" applyAlignment="1">
      <alignment vertical="center"/>
    </xf>
    <xf numFmtId="0" fontId="8" fillId="0" borderId="4" xfId="2" applyFont="1" applyBorder="1" applyAlignment="1">
      <alignment vertical="center"/>
    </xf>
    <xf numFmtId="0" fontId="16" fillId="0" borderId="0" xfId="0" applyFont="1"/>
    <xf numFmtId="0" fontId="17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8" fillId="0" borderId="0" xfId="2" applyFont="1" applyAlignment="1">
      <alignment horizontal="center" vertical="center"/>
    </xf>
    <xf numFmtId="0" fontId="19" fillId="0" borderId="0" xfId="2" applyFont="1" applyAlignment="1">
      <alignment horizontal="center" vertical="center"/>
    </xf>
    <xf numFmtId="0" fontId="18" fillId="0" borderId="0" xfId="2" applyFont="1" applyAlignment="1">
      <alignment horizontal="left" vertical="center"/>
    </xf>
    <xf numFmtId="0" fontId="8" fillId="6" borderId="7" xfId="0" applyFont="1" applyFill="1" applyBorder="1" applyAlignment="1">
      <alignment horizontal="center" vertical="center" wrapText="1"/>
    </xf>
    <xf numFmtId="0" fontId="8" fillId="9" borderId="10" xfId="2" applyFont="1" applyFill="1" applyBorder="1" applyAlignment="1">
      <alignment horizontal="center" vertical="center" wrapText="1"/>
    </xf>
    <xf numFmtId="0" fontId="8" fillId="10" borderId="7" xfId="2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8" fillId="4" borderId="16" xfId="2" applyFont="1" applyFill="1" applyBorder="1" applyAlignment="1">
      <alignment horizontal="center" vertical="center"/>
    </xf>
    <xf numFmtId="0" fontId="8" fillId="4" borderId="13" xfId="2" applyFont="1" applyFill="1" applyBorder="1" applyAlignment="1">
      <alignment horizontal="center" vertical="center"/>
    </xf>
    <xf numFmtId="0" fontId="8" fillId="4" borderId="15" xfId="2" applyFont="1" applyFill="1" applyBorder="1" applyAlignment="1">
      <alignment horizontal="center" vertical="center"/>
    </xf>
    <xf numFmtId="0" fontId="8" fillId="4" borderId="17" xfId="2" applyFont="1" applyFill="1" applyBorder="1" applyAlignment="1">
      <alignment horizontal="center" vertical="center"/>
    </xf>
    <xf numFmtId="0" fontId="8" fillId="4" borderId="18" xfId="2" applyFont="1" applyFill="1" applyBorder="1" applyAlignment="1">
      <alignment horizontal="center" vertical="center"/>
    </xf>
    <xf numFmtId="0" fontId="8" fillId="4" borderId="19" xfId="2" applyFont="1" applyFill="1" applyBorder="1" applyAlignment="1">
      <alignment horizontal="center" vertical="center"/>
    </xf>
    <xf numFmtId="0" fontId="8" fillId="4" borderId="10" xfId="2" applyFont="1" applyFill="1" applyBorder="1" applyAlignment="1">
      <alignment horizontal="center" vertical="center"/>
    </xf>
    <xf numFmtId="0" fontId="8" fillId="4" borderId="20" xfId="2" applyFont="1" applyFill="1" applyBorder="1" applyAlignment="1">
      <alignment horizontal="center" vertical="center"/>
    </xf>
    <xf numFmtId="0" fontId="8" fillId="4" borderId="21" xfId="2" applyFont="1" applyFill="1" applyBorder="1" applyAlignment="1">
      <alignment horizontal="center" vertical="center"/>
    </xf>
    <xf numFmtId="0" fontId="8" fillId="4" borderId="22" xfId="2" applyFont="1" applyFill="1" applyBorder="1" applyAlignment="1">
      <alignment horizontal="center" vertical="center"/>
    </xf>
    <xf numFmtId="0" fontId="20" fillId="4" borderId="22" xfId="2" applyFont="1" applyFill="1" applyBorder="1" applyAlignment="1">
      <alignment horizontal="center" vertical="center"/>
    </xf>
    <xf numFmtId="0" fontId="20" fillId="4" borderId="23" xfId="2" applyFont="1" applyFill="1" applyBorder="1" applyAlignment="1">
      <alignment horizontal="center" vertical="center"/>
    </xf>
    <xf numFmtId="0" fontId="8" fillId="4" borderId="6" xfId="2" applyFont="1" applyFill="1" applyBorder="1" applyAlignment="1">
      <alignment horizontal="center" vertical="center"/>
    </xf>
    <xf numFmtId="0" fontId="8" fillId="11" borderId="12" xfId="2" applyFont="1" applyFill="1" applyBorder="1" applyAlignment="1">
      <alignment horizontal="center" vertical="center"/>
    </xf>
    <xf numFmtId="0" fontId="8" fillId="11" borderId="13" xfId="2" applyFont="1" applyFill="1" applyBorder="1" applyAlignment="1">
      <alignment horizontal="center" vertical="center"/>
    </xf>
    <xf numFmtId="0" fontId="21" fillId="11" borderId="13" xfId="2" applyFont="1" applyFill="1" applyBorder="1" applyAlignment="1">
      <alignment horizontal="center" vertical="center"/>
    </xf>
    <xf numFmtId="0" fontId="8" fillId="11" borderId="14" xfId="2" applyFont="1" applyFill="1" applyBorder="1" applyAlignment="1">
      <alignment horizontal="center" vertical="center"/>
    </xf>
    <xf numFmtId="0" fontId="8" fillId="11" borderId="15" xfId="2" applyFont="1" applyFill="1" applyBorder="1" applyAlignment="1">
      <alignment horizontal="center" vertical="center"/>
    </xf>
    <xf numFmtId="0" fontId="8" fillId="12" borderId="12" xfId="2" applyFont="1" applyFill="1" applyBorder="1" applyAlignment="1">
      <alignment horizontal="center" vertical="center" wrapText="1"/>
    </xf>
    <xf numFmtId="0" fontId="8" fillId="12" borderId="13" xfId="2" applyFont="1" applyFill="1" applyBorder="1" applyAlignment="1">
      <alignment horizontal="center" vertical="center" wrapText="1"/>
    </xf>
    <xf numFmtId="0" fontId="8" fillId="12" borderId="15" xfId="2" applyFont="1" applyFill="1" applyBorder="1" applyAlignment="1">
      <alignment horizontal="center" vertical="center" wrapText="1"/>
    </xf>
    <xf numFmtId="0" fontId="8" fillId="13" borderId="12" xfId="2" applyFont="1" applyFill="1" applyBorder="1" applyAlignment="1">
      <alignment horizontal="center" vertical="center" wrapText="1"/>
    </xf>
    <xf numFmtId="0" fontId="8" fillId="13" borderId="13" xfId="2" applyFont="1" applyFill="1" applyBorder="1" applyAlignment="1">
      <alignment horizontal="center" vertical="center" wrapText="1"/>
    </xf>
    <xf numFmtId="0" fontId="8" fillId="13" borderId="14" xfId="2" applyFont="1" applyFill="1" applyBorder="1" applyAlignment="1">
      <alignment horizontal="center" vertical="center" wrapText="1"/>
    </xf>
    <xf numFmtId="0" fontId="20" fillId="5" borderId="12" xfId="2" applyFont="1" applyFill="1" applyBorder="1" applyAlignment="1">
      <alignment horizontal="center" vertical="center"/>
    </xf>
    <xf numFmtId="0" fontId="20" fillId="5" borderId="13" xfId="2" applyFont="1" applyFill="1" applyBorder="1" applyAlignment="1">
      <alignment horizontal="center" vertical="center"/>
    </xf>
    <xf numFmtId="0" fontId="20" fillId="5" borderId="15" xfId="2" applyFont="1" applyFill="1" applyBorder="1" applyAlignment="1">
      <alignment horizontal="center" vertical="center"/>
    </xf>
    <xf numFmtId="0" fontId="9" fillId="4" borderId="24" xfId="0" applyFont="1" applyFill="1" applyBorder="1" applyAlignment="1">
      <alignment horizontal="center" vertical="center" wrapText="1"/>
    </xf>
    <xf numFmtId="0" fontId="9" fillId="4" borderId="25" xfId="0" applyFont="1" applyFill="1" applyBorder="1" applyAlignment="1">
      <alignment vertical="center" wrapText="1"/>
    </xf>
    <xf numFmtId="0" fontId="13" fillId="0" borderId="26" xfId="0" applyFont="1" applyBorder="1" applyAlignment="1">
      <alignment wrapText="1"/>
    </xf>
    <xf numFmtId="0" fontId="13" fillId="0" borderId="27" xfId="0" applyFont="1" applyBorder="1" applyAlignment="1">
      <alignment wrapText="1"/>
    </xf>
    <xf numFmtId="0" fontId="9" fillId="4" borderId="28" xfId="2" applyFont="1" applyFill="1" applyBorder="1" applyAlignment="1">
      <alignment horizontal="center" vertical="center"/>
    </xf>
    <xf numFmtId="0" fontId="9" fillId="4" borderId="25" xfId="2" applyFont="1" applyFill="1" applyBorder="1" applyAlignment="1">
      <alignment vertical="center"/>
    </xf>
    <xf numFmtId="0" fontId="13" fillId="0" borderId="25" xfId="2" applyFont="1" applyBorder="1"/>
    <xf numFmtId="0" fontId="9" fillId="4" borderId="27" xfId="2" applyFont="1" applyFill="1" applyBorder="1" applyAlignment="1">
      <alignment vertical="center"/>
    </xf>
    <xf numFmtId="0" fontId="9" fillId="4" borderId="29" xfId="2" applyFont="1" applyFill="1" applyBorder="1" applyAlignment="1">
      <alignment horizontal="center" vertical="center"/>
    </xf>
    <xf numFmtId="0" fontId="9" fillId="4" borderId="30" xfId="2" applyFont="1" applyFill="1" applyBorder="1" applyAlignment="1">
      <alignment vertical="center"/>
    </xf>
    <xf numFmtId="0" fontId="9" fillId="4" borderId="31" xfId="2" applyFont="1" applyFill="1" applyBorder="1" applyAlignment="1">
      <alignment vertical="center"/>
    </xf>
    <xf numFmtId="0" fontId="8" fillId="4" borderId="10" xfId="2" applyFont="1" applyFill="1" applyBorder="1" applyAlignment="1">
      <alignment vertical="center"/>
    </xf>
    <xf numFmtId="0" fontId="8" fillId="9" borderId="32" xfId="2" applyFont="1" applyFill="1" applyBorder="1" applyAlignment="1">
      <alignment vertical="center"/>
    </xf>
    <xf numFmtId="0" fontId="9" fillId="9" borderId="30" xfId="2" applyFont="1" applyFill="1" applyBorder="1" applyAlignment="1">
      <alignment vertical="center"/>
    </xf>
    <xf numFmtId="0" fontId="8" fillId="9" borderId="30" xfId="2" applyFont="1" applyFill="1" applyBorder="1" applyAlignment="1">
      <alignment vertical="center"/>
    </xf>
    <xf numFmtId="0" fontId="20" fillId="9" borderId="30" xfId="2" applyFont="1" applyFill="1" applyBorder="1" applyAlignment="1">
      <alignment vertical="center"/>
    </xf>
    <xf numFmtId="0" fontId="8" fillId="9" borderId="31" xfId="2" applyFont="1" applyFill="1" applyBorder="1" applyAlignment="1">
      <alignment vertical="center"/>
    </xf>
    <xf numFmtId="0" fontId="8" fillId="14" borderId="29" xfId="2" applyFont="1" applyFill="1" applyBorder="1" applyAlignment="1">
      <alignment horizontal="right" vertical="center"/>
    </xf>
    <xf numFmtId="0" fontId="8" fillId="14" borderId="30" xfId="2" applyFont="1" applyFill="1" applyBorder="1" applyAlignment="1">
      <alignment vertical="center"/>
    </xf>
    <xf numFmtId="0" fontId="21" fillId="14" borderId="30" xfId="2" applyFont="1" applyFill="1" applyBorder="1" applyAlignment="1">
      <alignment vertical="center"/>
    </xf>
    <xf numFmtId="0" fontId="8" fillId="14" borderId="31" xfId="2" applyFont="1" applyFill="1" applyBorder="1" applyAlignment="1">
      <alignment vertical="center"/>
    </xf>
    <xf numFmtId="0" fontId="9" fillId="6" borderId="31" xfId="2" applyFont="1" applyFill="1" applyBorder="1" applyAlignment="1">
      <alignment vertical="center"/>
    </xf>
    <xf numFmtId="0" fontId="22" fillId="0" borderId="29" xfId="3" applyFont="1" applyBorder="1" applyAlignment="1">
      <alignment vertical="center"/>
    </xf>
    <xf numFmtId="0" fontId="22" fillId="0" borderId="30" xfId="3" applyFont="1" applyBorder="1" applyAlignment="1">
      <alignment vertical="center" wrapText="1"/>
    </xf>
    <xf numFmtId="0" fontId="22" fillId="0" borderId="30" xfId="3" applyFont="1" applyBorder="1" applyAlignment="1">
      <alignment horizontal="center" vertical="center"/>
    </xf>
    <xf numFmtId="0" fontId="23" fillId="0" borderId="33" xfId="3" applyFont="1" applyBorder="1" applyAlignment="1">
      <alignment horizontal="center" vertical="center" wrapText="1"/>
    </xf>
    <xf numFmtId="0" fontId="9" fillId="0" borderId="28" xfId="2" applyFont="1" applyBorder="1" applyAlignment="1">
      <alignment horizontal="center" vertical="center"/>
    </xf>
    <xf numFmtId="0" fontId="9" fillId="0" borderId="25" xfId="2" applyFont="1" applyBorder="1" applyAlignment="1">
      <alignment horizontal="center" vertical="center"/>
    </xf>
    <xf numFmtId="0" fontId="9" fillId="0" borderId="26" xfId="2" applyFont="1" applyBorder="1" applyAlignment="1">
      <alignment horizontal="center" vertical="center"/>
    </xf>
    <xf numFmtId="0" fontId="10" fillId="4" borderId="24" xfId="2" applyFont="1" applyFill="1" applyBorder="1" applyAlignment="1">
      <alignment horizontal="center" vertical="center"/>
    </xf>
    <xf numFmtId="0" fontId="10" fillId="4" borderId="25" xfId="2" applyFont="1" applyFill="1" applyBorder="1" applyAlignment="1">
      <alignment horizontal="left" vertical="center"/>
    </xf>
    <xf numFmtId="0" fontId="10" fillId="4" borderId="27" xfId="2" applyFont="1" applyFill="1" applyBorder="1" applyAlignment="1">
      <alignment horizontal="left" vertical="center"/>
    </xf>
    <xf numFmtId="0" fontId="9" fillId="4" borderId="34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vertical="center" wrapText="1"/>
    </xf>
    <xf numFmtId="0" fontId="13" fillId="0" borderId="2" xfId="0" applyFont="1" applyBorder="1" applyAlignment="1">
      <alignment wrapText="1"/>
    </xf>
    <xf numFmtId="0" fontId="13" fillId="0" borderId="35" xfId="0" applyFont="1" applyBorder="1" applyAlignment="1">
      <alignment wrapText="1"/>
    </xf>
    <xf numFmtId="0" fontId="9" fillId="4" borderId="3" xfId="2" applyFont="1" applyFill="1" applyBorder="1" applyAlignment="1">
      <alignment horizontal="center" vertical="center"/>
    </xf>
    <xf numFmtId="0" fontId="9" fillId="4" borderId="1" xfId="2" applyFont="1" applyFill="1" applyBorder="1" applyAlignment="1">
      <alignment vertical="center"/>
    </xf>
    <xf numFmtId="0" fontId="13" fillId="0" borderId="1" xfId="2" applyFont="1" applyBorder="1"/>
    <xf numFmtId="0" fontId="9" fillId="4" borderId="35" xfId="2" applyFont="1" applyFill="1" applyBorder="1" applyAlignment="1">
      <alignment vertical="center"/>
    </xf>
    <xf numFmtId="0" fontId="9" fillId="4" borderId="34" xfId="2" applyFont="1" applyFill="1" applyBorder="1" applyAlignment="1">
      <alignment horizontal="center" vertical="center"/>
    </xf>
    <xf numFmtId="0" fontId="9" fillId="4" borderId="2" xfId="2" applyFont="1" applyFill="1" applyBorder="1" applyAlignment="1">
      <alignment vertical="center"/>
    </xf>
    <xf numFmtId="0" fontId="9" fillId="4" borderId="36" xfId="2" applyFont="1" applyFill="1" applyBorder="1" applyAlignment="1">
      <alignment vertical="center"/>
    </xf>
    <xf numFmtId="0" fontId="9" fillId="4" borderId="3" xfId="2" applyFont="1" applyFill="1" applyBorder="1" applyAlignment="1">
      <alignment vertical="center"/>
    </xf>
    <xf numFmtId="0" fontId="24" fillId="4" borderId="1" xfId="2" applyFont="1" applyFill="1" applyBorder="1" applyAlignment="1">
      <alignment vertical="center"/>
    </xf>
    <xf numFmtId="0" fontId="10" fillId="4" borderId="1" xfId="2" applyFont="1" applyFill="1" applyBorder="1" applyAlignment="1">
      <alignment vertical="center"/>
    </xf>
    <xf numFmtId="0" fontId="9" fillId="11" borderId="34" xfId="2" applyFont="1" applyFill="1" applyBorder="1" applyAlignment="1">
      <alignment vertical="center"/>
    </xf>
    <xf numFmtId="0" fontId="9" fillId="11" borderId="1" xfId="2" applyFont="1" applyFill="1" applyBorder="1" applyAlignment="1">
      <alignment vertical="center"/>
    </xf>
    <xf numFmtId="0" fontId="24" fillId="11" borderId="1" xfId="2" applyFont="1" applyFill="1" applyBorder="1" applyAlignment="1">
      <alignment vertical="center"/>
    </xf>
    <xf numFmtId="0" fontId="9" fillId="11" borderId="2" xfId="2" applyFont="1" applyFill="1" applyBorder="1" applyAlignment="1">
      <alignment vertical="center"/>
    </xf>
    <xf numFmtId="0" fontId="9" fillId="6" borderId="2" xfId="2" applyFont="1" applyFill="1" applyBorder="1" applyAlignment="1">
      <alignment vertical="center"/>
    </xf>
    <xf numFmtId="0" fontId="22" fillId="0" borderId="34" xfId="3" applyFont="1" applyBorder="1" applyAlignment="1">
      <alignment vertical="center"/>
    </xf>
    <xf numFmtId="0" fontId="23" fillId="0" borderId="1" xfId="3" applyFont="1" applyBorder="1" applyAlignment="1">
      <alignment horizontal="left" vertical="center" wrapText="1"/>
    </xf>
    <xf numFmtId="0" fontId="23" fillId="0" borderId="1" xfId="3" applyFont="1" applyBorder="1" applyAlignment="1">
      <alignment horizontal="center" vertical="center" wrapText="1"/>
    </xf>
    <xf numFmtId="0" fontId="23" fillId="0" borderId="35" xfId="3" applyFont="1" applyBorder="1" applyAlignment="1">
      <alignment horizontal="center" vertical="center" wrapText="1"/>
    </xf>
    <xf numFmtId="0" fontId="9" fillId="0" borderId="3" xfId="2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9" fillId="0" borderId="2" xfId="2" applyFont="1" applyBorder="1" applyAlignment="1">
      <alignment horizontal="center" vertical="center"/>
    </xf>
    <xf numFmtId="0" fontId="10" fillId="4" borderId="34" xfId="2" applyFont="1" applyFill="1" applyBorder="1" applyAlignment="1">
      <alignment horizontal="center" vertical="center"/>
    </xf>
    <xf numFmtId="0" fontId="10" fillId="4" borderId="1" xfId="2" applyFont="1" applyFill="1" applyBorder="1" applyAlignment="1">
      <alignment horizontal="left" vertical="center"/>
    </xf>
    <xf numFmtId="0" fontId="10" fillId="4" borderId="35" xfId="2" applyFont="1" applyFill="1" applyBorder="1" applyAlignment="1">
      <alignment horizontal="left" vertical="center"/>
    </xf>
    <xf numFmtId="0" fontId="10" fillId="4" borderId="1" xfId="0" applyFont="1" applyFill="1" applyBorder="1" applyAlignment="1">
      <alignment vertical="center" wrapText="1"/>
    </xf>
    <xf numFmtId="0" fontId="10" fillId="0" borderId="2" xfId="0" applyFont="1" applyBorder="1" applyAlignment="1">
      <alignment wrapText="1"/>
    </xf>
    <xf numFmtId="0" fontId="10" fillId="0" borderId="35" xfId="0" applyFont="1" applyBorder="1" applyAlignment="1">
      <alignment wrapText="1"/>
    </xf>
    <xf numFmtId="0" fontId="9" fillId="4" borderId="37" xfId="0" applyFont="1" applyFill="1" applyBorder="1" applyAlignment="1">
      <alignment horizontal="center" vertical="center" wrapText="1"/>
    </xf>
    <xf numFmtId="0" fontId="10" fillId="4" borderId="38" xfId="0" applyFont="1" applyFill="1" applyBorder="1" applyAlignment="1">
      <alignment vertical="center" wrapText="1"/>
    </xf>
    <xf numFmtId="0" fontId="10" fillId="4" borderId="39" xfId="0" applyFont="1" applyFill="1" applyBorder="1" applyAlignment="1">
      <alignment vertical="center" wrapText="1"/>
    </xf>
    <xf numFmtId="0" fontId="10" fillId="4" borderId="40" xfId="0" applyFont="1" applyFill="1" applyBorder="1" applyAlignment="1">
      <alignment vertical="center" wrapText="1"/>
    </xf>
    <xf numFmtId="0" fontId="9" fillId="4" borderId="37" xfId="2" applyFont="1" applyFill="1" applyBorder="1" applyAlignment="1">
      <alignment horizontal="center" vertical="center"/>
    </xf>
    <xf numFmtId="0" fontId="9" fillId="4" borderId="38" xfId="2" applyFont="1" applyFill="1" applyBorder="1" applyAlignment="1">
      <alignment vertical="center"/>
    </xf>
    <xf numFmtId="0" fontId="9" fillId="4" borderId="39" xfId="2" applyFont="1" applyFill="1" applyBorder="1" applyAlignment="1">
      <alignment vertical="center"/>
    </xf>
    <xf numFmtId="0" fontId="22" fillId="0" borderId="1" xfId="3" applyFont="1" applyBorder="1" applyAlignment="1">
      <alignment vertical="center"/>
    </xf>
    <xf numFmtId="0" fontId="22" fillId="0" borderId="1" xfId="3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4" borderId="0" xfId="2" applyFont="1" applyFill="1" applyAlignment="1">
      <alignment horizontal="center" vertical="center"/>
    </xf>
    <xf numFmtId="0" fontId="10" fillId="4" borderId="0" xfId="2" applyFont="1" applyFill="1" applyAlignment="1">
      <alignment vertical="center"/>
    </xf>
    <xf numFmtId="0" fontId="10" fillId="4" borderId="36" xfId="2" applyFont="1" applyFill="1" applyBorder="1" applyAlignment="1">
      <alignment vertical="center"/>
    </xf>
    <xf numFmtId="0" fontId="9" fillId="0" borderId="3" xfId="3" applyFont="1" applyBorder="1" applyAlignment="1">
      <alignment horizontal="center" vertical="center"/>
    </xf>
    <xf numFmtId="0" fontId="25" fillId="0" borderId="1" xfId="3" applyFont="1" applyBorder="1" applyAlignment="1">
      <alignment horizontal="center" vertical="center" wrapText="1"/>
    </xf>
    <xf numFmtId="0" fontId="25" fillId="0" borderId="2" xfId="3" applyFont="1" applyBorder="1" applyAlignment="1">
      <alignment horizontal="center" vertical="center" wrapText="1"/>
    </xf>
    <xf numFmtId="0" fontId="9" fillId="4" borderId="0" xfId="2" applyFont="1" applyFill="1" applyAlignment="1">
      <alignment vertical="center"/>
    </xf>
    <xf numFmtId="0" fontId="9" fillId="0" borderId="34" xfId="2" applyFont="1" applyBorder="1" applyAlignment="1">
      <alignment vertical="center"/>
    </xf>
    <xf numFmtId="0" fontId="9" fillId="0" borderId="1" xfId="2" applyFont="1" applyBorder="1" applyAlignment="1">
      <alignment vertical="center"/>
    </xf>
    <xf numFmtId="0" fontId="9" fillId="0" borderId="35" xfId="2" applyFont="1" applyBorder="1" applyAlignment="1">
      <alignment vertical="center"/>
    </xf>
    <xf numFmtId="0" fontId="24" fillId="0" borderId="1" xfId="2" applyFont="1" applyBorder="1" applyAlignment="1">
      <alignment vertical="center"/>
    </xf>
    <xf numFmtId="0" fontId="10" fillId="0" borderId="1" xfId="2" applyFont="1" applyBorder="1" applyAlignment="1">
      <alignment vertical="center"/>
    </xf>
    <xf numFmtId="0" fontId="22" fillId="0" borderId="1" xfId="3" applyFont="1" applyBorder="1" applyAlignment="1">
      <alignment vertical="center" wrapText="1"/>
    </xf>
    <xf numFmtId="0" fontId="10" fillId="0" borderId="1" xfId="3" applyFont="1" applyBorder="1" applyAlignment="1">
      <alignment horizontal="center" vertical="center" wrapText="1"/>
    </xf>
    <xf numFmtId="0" fontId="10" fillId="2" borderId="2" xfId="3" applyFont="1" applyFill="1" applyBorder="1" applyAlignment="1">
      <alignment horizontal="center" vertical="center" wrapText="1"/>
    </xf>
    <xf numFmtId="0" fontId="10" fillId="4" borderId="35" xfId="2" applyFont="1" applyFill="1" applyBorder="1" applyAlignment="1">
      <alignment vertical="center"/>
    </xf>
    <xf numFmtId="0" fontId="25" fillId="11" borderId="1" xfId="2" applyFont="1" applyFill="1" applyBorder="1" applyAlignment="1">
      <alignment vertical="center"/>
    </xf>
    <xf numFmtId="0" fontId="26" fillId="11" borderId="1" xfId="2" applyFont="1" applyFill="1" applyBorder="1" applyAlignment="1">
      <alignment vertical="center"/>
    </xf>
    <xf numFmtId="0" fontId="25" fillId="11" borderId="2" xfId="2" applyFont="1" applyFill="1" applyBorder="1" applyAlignment="1">
      <alignment vertical="center"/>
    </xf>
    <xf numFmtId="0" fontId="10" fillId="0" borderId="2" xfId="3" applyFont="1" applyBorder="1" applyAlignment="1">
      <alignment horizontal="center" vertical="center" wrapText="1"/>
    </xf>
    <xf numFmtId="0" fontId="9" fillId="4" borderId="1" xfId="2" applyFont="1" applyFill="1" applyBorder="1" applyAlignment="1">
      <alignment horizontal="center" vertical="center"/>
    </xf>
    <xf numFmtId="0" fontId="9" fillId="4" borderId="2" xfId="2" applyFont="1" applyFill="1" applyBorder="1" applyAlignment="1">
      <alignment horizontal="center" vertical="center"/>
    </xf>
    <xf numFmtId="0" fontId="9" fillId="0" borderId="2" xfId="2" applyFont="1" applyBorder="1" applyAlignment="1">
      <alignment vertical="center"/>
    </xf>
    <xf numFmtId="0" fontId="25" fillId="6" borderId="2" xfId="2" applyFont="1" applyFill="1" applyBorder="1" applyAlignment="1">
      <alignment vertical="center"/>
    </xf>
    <xf numFmtId="0" fontId="27" fillId="4" borderId="1" xfId="2" applyFont="1" applyFill="1" applyBorder="1" applyAlignment="1">
      <alignment vertical="center"/>
    </xf>
    <xf numFmtId="0" fontId="27" fillId="4" borderId="35" xfId="2" applyFont="1" applyFill="1" applyBorder="1" applyAlignment="1">
      <alignment vertical="center"/>
    </xf>
    <xf numFmtId="0" fontId="8" fillId="14" borderId="34" xfId="2" applyFont="1" applyFill="1" applyBorder="1" applyAlignment="1">
      <alignment vertical="center"/>
    </xf>
    <xf numFmtId="0" fontId="8" fillId="14" borderId="1" xfId="2" applyFont="1" applyFill="1" applyBorder="1" applyAlignment="1">
      <alignment vertical="center"/>
    </xf>
    <xf numFmtId="0" fontId="21" fillId="14" borderId="1" xfId="2" applyFont="1" applyFill="1" applyBorder="1" applyAlignment="1">
      <alignment vertical="center"/>
    </xf>
    <xf numFmtId="0" fontId="10" fillId="4" borderId="1" xfId="2" quotePrefix="1" applyFont="1" applyFill="1" applyBorder="1" applyAlignment="1">
      <alignment horizontal="left" vertical="center"/>
    </xf>
    <xf numFmtId="0" fontId="10" fillId="4" borderId="35" xfId="2" quotePrefix="1" applyFont="1" applyFill="1" applyBorder="1" applyAlignment="1">
      <alignment horizontal="left" vertical="center"/>
    </xf>
    <xf numFmtId="0" fontId="8" fillId="4" borderId="1" xfId="2" applyFont="1" applyFill="1" applyBorder="1" applyAlignment="1">
      <alignment horizontal="center" vertical="center"/>
    </xf>
    <xf numFmtId="0" fontId="8" fillId="4" borderId="2" xfId="2" applyFont="1" applyFill="1" applyBorder="1" applyAlignment="1">
      <alignment horizontal="center" vertical="center"/>
    </xf>
    <xf numFmtId="0" fontId="28" fillId="0" borderId="3" xfId="2" applyFont="1" applyBorder="1" applyAlignment="1">
      <alignment horizontal="center" vertical="center"/>
    </xf>
    <xf numFmtId="0" fontId="28" fillId="4" borderId="1" xfId="2" applyFont="1" applyFill="1" applyBorder="1" applyAlignment="1">
      <alignment horizontal="center" vertical="center"/>
    </xf>
    <xf numFmtId="0" fontId="28" fillId="4" borderId="2" xfId="2" applyFont="1" applyFill="1" applyBorder="1" applyAlignment="1">
      <alignment horizontal="center" vertical="center"/>
    </xf>
    <xf numFmtId="0" fontId="28" fillId="0" borderId="3" xfId="3" applyFont="1" applyBorder="1" applyAlignment="1">
      <alignment horizontal="center" vertical="center"/>
    </xf>
    <xf numFmtId="0" fontId="28" fillId="0" borderId="1" xfId="3" applyFont="1" applyBorder="1" applyAlignment="1">
      <alignment horizontal="center" vertical="center" wrapText="1"/>
    </xf>
    <xf numFmtId="0" fontId="28" fillId="0" borderId="2" xfId="3" applyFont="1" applyBorder="1" applyAlignment="1">
      <alignment horizontal="center" vertical="center" wrapText="1"/>
    </xf>
    <xf numFmtId="0" fontId="9" fillId="4" borderId="36" xfId="2" applyFont="1" applyFill="1" applyBorder="1" applyAlignment="1">
      <alignment horizontal="center" vertical="center"/>
    </xf>
    <xf numFmtId="0" fontId="9" fillId="4" borderId="40" xfId="2" applyFont="1" applyFill="1" applyBorder="1" applyAlignment="1">
      <alignment vertical="center"/>
    </xf>
    <xf numFmtId="0" fontId="10" fillId="0" borderId="1" xfId="2" applyFont="1" applyBorder="1" applyAlignment="1">
      <alignment horizontal="left" vertical="center"/>
    </xf>
    <xf numFmtId="0" fontId="8" fillId="9" borderId="3" xfId="2" applyFont="1" applyFill="1" applyBorder="1" applyAlignment="1">
      <alignment vertical="center"/>
    </xf>
    <xf numFmtId="0" fontId="9" fillId="9" borderId="1" xfId="2" applyFont="1" applyFill="1" applyBorder="1" applyAlignment="1">
      <alignment vertical="center"/>
    </xf>
    <xf numFmtId="0" fontId="8" fillId="9" borderId="1" xfId="2" applyFont="1" applyFill="1" applyBorder="1" applyAlignment="1">
      <alignment vertical="center"/>
    </xf>
    <xf numFmtId="0" fontId="10" fillId="9" borderId="1" xfId="2" applyFont="1" applyFill="1" applyBorder="1" applyAlignment="1">
      <alignment vertical="center"/>
    </xf>
    <xf numFmtId="0" fontId="9" fillId="9" borderId="2" xfId="2" applyFont="1" applyFill="1" applyBorder="1" applyAlignment="1">
      <alignment vertical="center"/>
    </xf>
    <xf numFmtId="0" fontId="9" fillId="0" borderId="3" xfId="2" applyFont="1" applyBorder="1" applyAlignment="1">
      <alignment vertical="center"/>
    </xf>
    <xf numFmtId="0" fontId="26" fillId="4" borderId="1" xfId="2" applyFont="1" applyFill="1" applyBorder="1" applyAlignment="1">
      <alignment horizontal="center" vertical="center" wrapText="1"/>
    </xf>
    <xf numFmtId="0" fontId="26" fillId="4" borderId="2" xfId="2" applyFont="1" applyFill="1" applyBorder="1" applyAlignment="1">
      <alignment horizontal="center" vertical="center" wrapText="1"/>
    </xf>
    <xf numFmtId="0" fontId="9" fillId="0" borderId="41" xfId="2" applyFont="1" applyBorder="1" applyAlignment="1">
      <alignment vertical="center"/>
    </xf>
    <xf numFmtId="0" fontId="29" fillId="0" borderId="1" xfId="2" applyFont="1" applyBorder="1" applyAlignment="1">
      <alignment vertical="center"/>
    </xf>
    <xf numFmtId="0" fontId="8" fillId="4" borderId="36" xfId="2" applyFont="1" applyFill="1" applyBorder="1" applyAlignment="1">
      <alignment vertical="center"/>
    </xf>
    <xf numFmtId="0" fontId="8" fillId="0" borderId="3" xfId="2" applyFont="1" applyBorder="1" applyAlignment="1">
      <alignment vertical="center"/>
    </xf>
    <xf numFmtId="0" fontId="8" fillId="0" borderId="1" xfId="2" applyFont="1" applyBorder="1" applyAlignment="1">
      <alignment vertical="center"/>
    </xf>
    <xf numFmtId="0" fontId="8" fillId="4" borderId="3" xfId="2" applyFont="1" applyFill="1" applyBorder="1" applyAlignment="1">
      <alignment vertical="center"/>
    </xf>
    <xf numFmtId="0" fontId="8" fillId="4" borderId="1" xfId="2" applyFont="1" applyFill="1" applyBorder="1" applyAlignment="1">
      <alignment vertical="center"/>
    </xf>
    <xf numFmtId="0" fontId="10" fillId="4" borderId="1" xfId="2" applyFont="1" applyFill="1" applyBorder="1" applyAlignment="1">
      <alignment horizontal="center" vertical="center" wrapText="1"/>
    </xf>
    <xf numFmtId="0" fontId="9" fillId="0" borderId="36" xfId="2" applyFont="1" applyBorder="1" applyAlignment="1">
      <alignment vertical="center"/>
    </xf>
    <xf numFmtId="0" fontId="10" fillId="4" borderId="37" xfId="2" applyFont="1" applyFill="1" applyBorder="1" applyAlignment="1">
      <alignment horizontal="center" vertical="center"/>
    </xf>
    <xf numFmtId="0" fontId="10" fillId="4" borderId="18" xfId="2" applyFont="1" applyFill="1" applyBorder="1" applyAlignment="1">
      <alignment horizontal="left" vertical="center"/>
    </xf>
    <xf numFmtId="0" fontId="10" fillId="4" borderId="42" xfId="2" applyFont="1" applyFill="1" applyBorder="1" applyAlignment="1">
      <alignment horizontal="left" vertical="center"/>
    </xf>
    <xf numFmtId="0" fontId="10" fillId="4" borderId="1" xfId="2" quotePrefix="1" applyFont="1" applyFill="1" applyBorder="1" applyAlignment="1">
      <alignment vertical="center"/>
    </xf>
    <xf numFmtId="49" fontId="10" fillId="4" borderId="1" xfId="2" applyNumberFormat="1" applyFont="1" applyFill="1" applyBorder="1" applyAlignment="1">
      <alignment horizontal="left" vertical="center"/>
    </xf>
    <xf numFmtId="0" fontId="9" fillId="0" borderId="1" xfId="0" quotePrefix="1" applyFont="1" applyBorder="1" applyAlignment="1">
      <alignment horizontal="left"/>
    </xf>
    <xf numFmtId="49" fontId="9" fillId="4" borderId="1" xfId="2" applyNumberFormat="1" applyFont="1" applyFill="1" applyBorder="1" applyAlignment="1">
      <alignment horizontal="left" vertical="center"/>
    </xf>
    <xf numFmtId="0" fontId="9" fillId="4" borderId="2" xfId="2" quotePrefix="1" applyFont="1" applyFill="1" applyBorder="1" applyAlignment="1">
      <alignment vertical="center"/>
    </xf>
    <xf numFmtId="0" fontId="8" fillId="4" borderId="43" xfId="2" applyFont="1" applyFill="1" applyBorder="1" applyAlignment="1">
      <alignment vertical="center"/>
    </xf>
    <xf numFmtId="0" fontId="9" fillId="4" borderId="18" xfId="2" applyFont="1" applyFill="1" applyBorder="1" applyAlignment="1">
      <alignment vertical="center"/>
    </xf>
    <xf numFmtId="0" fontId="10" fillId="4" borderId="18" xfId="2" applyFont="1" applyFill="1" applyBorder="1" applyAlignment="1">
      <alignment vertical="center"/>
    </xf>
    <xf numFmtId="0" fontId="9" fillId="0" borderId="19" xfId="2" applyFont="1" applyBorder="1" applyAlignment="1">
      <alignment vertical="center"/>
    </xf>
    <xf numFmtId="0" fontId="8" fillId="4" borderId="37" xfId="2" applyFont="1" applyFill="1" applyBorder="1" applyAlignment="1">
      <alignment vertical="center"/>
    </xf>
    <xf numFmtId="0" fontId="8" fillId="4" borderId="38" xfId="2" applyFont="1" applyFill="1" applyBorder="1" applyAlignment="1">
      <alignment vertical="center"/>
    </xf>
    <xf numFmtId="0" fontId="10" fillId="4" borderId="38" xfId="2" applyFont="1" applyFill="1" applyBorder="1" applyAlignment="1">
      <alignment vertical="center"/>
    </xf>
    <xf numFmtId="0" fontId="10" fillId="0" borderId="38" xfId="2" applyFont="1" applyBorder="1" applyAlignment="1">
      <alignment vertical="center"/>
    </xf>
    <xf numFmtId="0" fontId="9" fillId="0" borderId="39" xfId="2" applyFont="1" applyBorder="1" applyAlignment="1">
      <alignment vertical="center"/>
    </xf>
    <xf numFmtId="0" fontId="9" fillId="11" borderId="1" xfId="2" quotePrefix="1" applyFont="1" applyFill="1" applyBorder="1" applyAlignment="1">
      <alignment vertical="center"/>
    </xf>
    <xf numFmtId="0" fontId="8" fillId="4" borderId="0" xfId="2" applyFont="1" applyFill="1" applyAlignment="1">
      <alignment vertical="center"/>
    </xf>
    <xf numFmtId="0" fontId="2" fillId="0" borderId="1" xfId="0" applyFont="1" applyBorder="1" applyAlignment="1">
      <alignment horizontal="left"/>
    </xf>
    <xf numFmtId="0" fontId="9" fillId="4" borderId="0" xfId="2" applyFont="1" applyFill="1" applyAlignment="1">
      <alignment horizontal="left" vertical="center"/>
    </xf>
    <xf numFmtId="0" fontId="8" fillId="4" borderId="0" xfId="2" applyFont="1" applyFill="1" applyAlignment="1">
      <alignment horizontal="left" vertical="center"/>
    </xf>
    <xf numFmtId="0" fontId="9" fillId="4" borderId="1" xfId="2" applyFont="1" applyFill="1" applyBorder="1" applyAlignment="1">
      <alignment horizontal="center" vertical="center" wrapText="1"/>
    </xf>
    <xf numFmtId="0" fontId="26" fillId="4" borderId="0" xfId="2" applyFont="1" applyFill="1" applyAlignment="1">
      <alignment horizontal="left" vertical="center" wrapText="1"/>
    </xf>
    <xf numFmtId="0" fontId="23" fillId="0" borderId="1" xfId="3" applyFont="1" applyBorder="1" applyAlignment="1">
      <alignment horizontal="center" vertical="center"/>
    </xf>
    <xf numFmtId="0" fontId="8" fillId="0" borderId="3" xfId="3" applyFont="1" applyBorder="1" applyAlignment="1">
      <alignment horizontal="center" vertical="center"/>
    </xf>
    <xf numFmtId="0" fontId="8" fillId="0" borderId="1" xfId="3" applyFont="1" applyBorder="1" applyAlignment="1">
      <alignment horizontal="center" vertical="center"/>
    </xf>
    <xf numFmtId="0" fontId="28" fillId="0" borderId="1" xfId="2" applyFont="1" applyBorder="1" applyAlignment="1">
      <alignment horizontal="center" vertical="center"/>
    </xf>
    <xf numFmtId="0" fontId="9" fillId="11" borderId="37" xfId="2" applyFont="1" applyFill="1" applyBorder="1" applyAlignment="1">
      <alignment vertical="center"/>
    </xf>
    <xf numFmtId="0" fontId="9" fillId="11" borderId="38" xfId="2" applyFont="1" applyFill="1" applyBorder="1" applyAlignment="1">
      <alignment vertical="center"/>
    </xf>
    <xf numFmtId="0" fontId="24" fillId="11" borderId="38" xfId="2" applyFont="1" applyFill="1" applyBorder="1" applyAlignment="1">
      <alignment vertical="center"/>
    </xf>
    <xf numFmtId="0" fontId="9" fillId="6" borderId="39" xfId="2" applyFont="1" applyFill="1" applyBorder="1" applyAlignment="1">
      <alignment vertical="center"/>
    </xf>
    <xf numFmtId="0" fontId="10" fillId="4" borderId="1" xfId="2" applyFont="1" applyFill="1" applyBorder="1" applyAlignment="1">
      <alignment horizontal="center" vertical="center"/>
    </xf>
    <xf numFmtId="0" fontId="9" fillId="4" borderId="1" xfId="3" applyFont="1" applyFill="1" applyBorder="1" applyAlignment="1">
      <alignment horizontal="center" vertical="center"/>
    </xf>
    <xf numFmtId="0" fontId="9" fillId="4" borderId="1" xfId="2" quotePrefix="1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/>
    </xf>
    <xf numFmtId="0" fontId="28" fillId="2" borderId="1" xfId="3" applyFont="1" applyFill="1" applyBorder="1" applyAlignment="1">
      <alignment horizontal="center" vertical="center" wrapText="1"/>
    </xf>
    <xf numFmtId="0" fontId="23" fillId="0" borderId="1" xfId="3" applyFont="1" applyBorder="1" applyAlignment="1">
      <alignment vertical="center" wrapText="1"/>
    </xf>
    <xf numFmtId="0" fontId="9" fillId="0" borderId="1" xfId="2" quotePrefix="1" applyFont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10" fillId="0" borderId="0" xfId="3" applyFont="1" applyAlignment="1">
      <alignment horizontal="center" vertical="center" wrapText="1"/>
    </xf>
    <xf numFmtId="0" fontId="8" fillId="4" borderId="0" xfId="2" applyFont="1" applyFill="1" applyAlignment="1">
      <alignment horizontal="center" vertical="center"/>
    </xf>
    <xf numFmtId="14" fontId="30" fillId="0" borderId="1" xfId="1" applyNumberFormat="1" applyFont="1" applyBorder="1" applyAlignment="1">
      <alignment horizontal="left" vertical="center"/>
    </xf>
    <xf numFmtId="0" fontId="30" fillId="0" borderId="1" xfId="1" applyFont="1" applyBorder="1" applyAlignment="1">
      <alignment vertical="center"/>
    </xf>
    <xf numFmtId="14" fontId="2" fillId="0" borderId="1" xfId="0" applyNumberFormat="1" applyFont="1" applyBorder="1" applyAlignment="1">
      <alignment horizontal="center"/>
    </xf>
    <xf numFmtId="0" fontId="9" fillId="0" borderId="1" xfId="2" applyFont="1" applyBorder="1" applyAlignment="1">
      <alignment vertical="center" wrapText="1"/>
    </xf>
    <xf numFmtId="0" fontId="9" fillId="0" borderId="34" xfId="2" applyFont="1" applyBorder="1" applyAlignment="1">
      <alignment horizontal="left" vertical="center"/>
    </xf>
    <xf numFmtId="0" fontId="9" fillId="0" borderId="1" xfId="2" applyFont="1" applyBorder="1" applyAlignment="1">
      <alignment horizontal="left" vertical="center"/>
    </xf>
    <xf numFmtId="0" fontId="30" fillId="0" borderId="1" xfId="1" applyFont="1" applyBorder="1" applyAlignment="1">
      <alignment horizontal="center" vertical="center"/>
    </xf>
    <xf numFmtId="0" fontId="25" fillId="0" borderId="1" xfId="2" applyFont="1" applyBorder="1" applyAlignment="1">
      <alignment vertical="center"/>
    </xf>
    <xf numFmtId="0" fontId="25" fillId="0" borderId="0" xfId="2" applyFont="1" applyAlignment="1">
      <alignment vertical="center"/>
    </xf>
    <xf numFmtId="49" fontId="9" fillId="0" borderId="1" xfId="2" applyNumberFormat="1" applyFont="1" applyBorder="1" applyAlignment="1">
      <alignment horizontal="center" vertical="center"/>
    </xf>
    <xf numFmtId="0" fontId="9" fillId="2" borderId="0" xfId="2" applyFont="1" applyFill="1" applyAlignment="1">
      <alignment horizontal="center" vertical="center"/>
    </xf>
    <xf numFmtId="0" fontId="9" fillId="0" borderId="37" xfId="2" applyFont="1" applyBorder="1" applyAlignment="1">
      <alignment vertical="center"/>
    </xf>
    <xf numFmtId="0" fontId="9" fillId="0" borderId="38" xfId="2" applyFont="1" applyBorder="1" applyAlignment="1">
      <alignment vertical="center"/>
    </xf>
    <xf numFmtId="0" fontId="9" fillId="0" borderId="38" xfId="2" applyFont="1" applyBorder="1" applyAlignment="1">
      <alignment horizontal="center" vertical="center"/>
    </xf>
    <xf numFmtId="0" fontId="9" fillId="0" borderId="40" xfId="2" applyFont="1" applyBorder="1" applyAlignment="1">
      <alignment vertical="center"/>
    </xf>
    <xf numFmtId="0" fontId="9" fillId="0" borderId="28" xfId="2" applyFont="1" applyBorder="1" applyAlignment="1">
      <alignment vertical="center"/>
    </xf>
    <xf numFmtId="0" fontId="9" fillId="0" borderId="0" xfId="0" applyFont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0" xfId="0" applyFont="1" applyAlignment="1">
      <alignment horizontal="center"/>
    </xf>
    <xf numFmtId="49" fontId="0" fillId="0" borderId="0" xfId="0" applyNumberFormat="1"/>
    <xf numFmtId="0" fontId="8" fillId="12" borderId="5" xfId="2" applyFont="1" applyFill="1" applyBorder="1" applyAlignment="1">
      <alignment horizontal="center" vertical="center" wrapText="1"/>
    </xf>
    <xf numFmtId="0" fontId="8" fillId="12" borderId="6" xfId="2" applyFont="1" applyFill="1" applyBorder="1" applyAlignment="1">
      <alignment horizontal="center" vertical="center" wrapText="1"/>
    </xf>
    <xf numFmtId="0" fontId="8" fillId="12" borderId="6" xfId="2" applyFont="1" applyFill="1" applyBorder="1" applyAlignment="1">
      <alignment horizontal="left" vertical="center" wrapText="1"/>
    </xf>
    <xf numFmtId="0" fontId="8" fillId="12" borderId="7" xfId="2" applyFont="1" applyFill="1" applyBorder="1" applyAlignment="1">
      <alignment horizontal="center" vertical="center" wrapText="1"/>
    </xf>
    <xf numFmtId="0" fontId="8" fillId="13" borderId="5" xfId="2" applyFont="1" applyFill="1" applyBorder="1" applyAlignment="1">
      <alignment horizontal="center" vertical="center" wrapText="1"/>
    </xf>
    <xf numFmtId="0" fontId="8" fillId="13" borderId="6" xfId="2" applyFont="1" applyFill="1" applyBorder="1" applyAlignment="1">
      <alignment horizontal="center" vertical="center" wrapText="1"/>
    </xf>
    <xf numFmtId="0" fontId="8" fillId="13" borderId="6" xfId="2" applyFont="1" applyFill="1" applyBorder="1" applyAlignment="1">
      <alignment horizontal="left" vertical="center" wrapText="1"/>
    </xf>
    <xf numFmtId="0" fontId="8" fillId="13" borderId="7" xfId="2" applyFont="1" applyFill="1" applyBorder="1" applyAlignment="1">
      <alignment horizontal="center" vertical="center" wrapText="1"/>
    </xf>
    <xf numFmtId="0" fontId="8" fillId="5" borderId="5" xfId="2" applyFont="1" applyFill="1" applyBorder="1" applyAlignment="1">
      <alignment horizontal="center" vertical="center"/>
    </xf>
    <xf numFmtId="0" fontId="8" fillId="5" borderId="6" xfId="2" applyFont="1" applyFill="1" applyBorder="1" applyAlignment="1">
      <alignment horizontal="center" vertical="center"/>
    </xf>
    <xf numFmtId="0" fontId="8" fillId="5" borderId="7" xfId="2" applyFont="1" applyFill="1" applyBorder="1" applyAlignment="1">
      <alignment horizontal="center" vertical="center"/>
    </xf>
    <xf numFmtId="15" fontId="9" fillId="5" borderId="2" xfId="2" applyNumberFormat="1" applyFont="1" applyFill="1" applyBorder="1" applyAlignment="1">
      <alignment horizontal="center" vertical="center"/>
    </xf>
    <xf numFmtId="15" fontId="9" fillId="5" borderId="3" xfId="2" applyNumberFormat="1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8" fillId="7" borderId="6" xfId="2" applyFont="1" applyFill="1" applyBorder="1" applyAlignment="1">
      <alignment horizontal="center" vertical="center"/>
    </xf>
    <xf numFmtId="0" fontId="8" fillId="7" borderId="7" xfId="2" applyFont="1" applyFill="1" applyBorder="1" applyAlignment="1">
      <alignment horizontal="center" vertical="center"/>
    </xf>
    <xf numFmtId="0" fontId="8" fillId="8" borderId="8" xfId="2" applyFont="1" applyFill="1" applyBorder="1" applyAlignment="1">
      <alignment horizontal="center" vertical="center" wrapText="1"/>
    </xf>
    <xf numFmtId="0" fontId="8" fillId="8" borderId="9" xfId="2" applyFont="1" applyFill="1" applyBorder="1" applyAlignment="1">
      <alignment horizontal="center" vertical="center" wrapText="1"/>
    </xf>
    <xf numFmtId="0" fontId="8" fillId="10" borderId="6" xfId="2" applyFont="1" applyFill="1" applyBorder="1" applyAlignment="1">
      <alignment horizontal="center" vertical="center"/>
    </xf>
    <xf numFmtId="0" fontId="8" fillId="10" borderId="7" xfId="2" applyFont="1" applyFill="1" applyBorder="1" applyAlignment="1">
      <alignment horizontal="center" vertical="center"/>
    </xf>
    <xf numFmtId="0" fontId="8" fillId="11" borderId="6" xfId="2" applyFont="1" applyFill="1" applyBorder="1" applyAlignment="1">
      <alignment horizontal="center" vertical="center"/>
    </xf>
    <xf numFmtId="0" fontId="8" fillId="11" borderId="7" xfId="2" applyFont="1" applyFill="1" applyBorder="1" applyAlignment="1">
      <alignment horizontal="center" vertical="center"/>
    </xf>
  </cellXfs>
  <cellStyles count="4">
    <cellStyle name="Normal" xfId="0" builtinId="0"/>
    <cellStyle name="Normal 2" xfId="2" xr:uid="{E5CBF2DF-6560-45F2-83B5-8FDB146AB366}"/>
    <cellStyle name="Normal 3" xfId="3" xr:uid="{7213BD2B-06F0-4D32-BBEC-E0FBC28FB72A}"/>
    <cellStyle name="Normal 5" xfId="1" xr:uid="{685F9135-C456-4544-ABEF-27887CB7AC6F}"/>
  </cellStyles>
  <dxfs count="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Ginkgo/G&#7917;i%20LBC_DCS_Vendor_Customer_Inventory%2031.5.xlsx" TargetMode="External"/><Relationship Id="rId2" Type="http://schemas.openxmlformats.org/officeDocument/2006/relationships/externalLinkPath" Target="file:///C:\Users\Ginkgo\Desktop\Ginkgo\G&#7917;i%20LBC_DCS_Vendor_Customer_Inventory%2031.5.xlsx" TargetMode="External"/><Relationship Id="rId1" Type="http://schemas.openxmlformats.org/officeDocument/2006/relationships/externalLinkPath" Target="/Users/Ginkgo/Desktop/Ginkgo/G&#7917;i%20LBC_DCS_Vendor_Customer_Inventory%2031.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KU"/>
      <sheetName val="Sheet1"/>
      <sheetName val="Vendor"/>
      <sheetName val="Customer"/>
      <sheetName val="Tồn kho hết 28.5"/>
    </sheetNames>
    <sheetDataSet>
      <sheetData sheetId="0">
        <row r="1">
          <cell r="A1" t="str">
            <v>upc</v>
          </cell>
          <cell r="Z1" t="str">
            <v>price</v>
          </cell>
        </row>
        <row r="2">
          <cell r="A2" t="str">
            <v>UPC</v>
          </cell>
          <cell r="Z2" t="str">
            <v>Price</v>
          </cell>
        </row>
        <row r="3">
          <cell r="A3" t="str">
            <v>Mã barcode  - Maxlength:20</v>
          </cell>
          <cell r="Z3" t="str">
            <v>Giá bán</v>
          </cell>
        </row>
        <row r="4">
          <cell r="A4" t="str">
            <v>1562456176832</v>
          </cell>
          <cell r="Z4">
            <v>810000</v>
          </cell>
        </row>
        <row r="5">
          <cell r="A5" t="str">
            <v>2585309298405</v>
          </cell>
          <cell r="Z5">
            <v>810000</v>
          </cell>
        </row>
        <row r="6">
          <cell r="A6" t="str">
            <v>2492272189978</v>
          </cell>
          <cell r="Z6">
            <v>810000</v>
          </cell>
        </row>
        <row r="7">
          <cell r="A7" t="str">
            <v>1067914257486</v>
          </cell>
          <cell r="Z7">
            <v>650000</v>
          </cell>
        </row>
        <row r="8">
          <cell r="A8" t="str">
            <v>5820694690319</v>
          </cell>
          <cell r="Z8">
            <v>650000</v>
          </cell>
        </row>
        <row r="9">
          <cell r="A9" t="str">
            <v>8385244990525</v>
          </cell>
          <cell r="Z9">
            <v>650000</v>
          </cell>
        </row>
        <row r="10">
          <cell r="A10" t="str">
            <v>6606594766267</v>
          </cell>
          <cell r="Z10">
            <v>650000</v>
          </cell>
        </row>
        <row r="11">
          <cell r="A11" t="str">
            <v>2687693558643</v>
          </cell>
          <cell r="Z11">
            <v>650000</v>
          </cell>
        </row>
        <row r="12">
          <cell r="A12" t="str">
            <v>9917091990749</v>
          </cell>
          <cell r="Z12">
            <v>650000</v>
          </cell>
        </row>
        <row r="13">
          <cell r="A13" t="str">
            <v>3171205187777</v>
          </cell>
          <cell r="Z13">
            <v>850000</v>
          </cell>
        </row>
        <row r="14">
          <cell r="A14" t="str">
            <v>1804176449330</v>
          </cell>
          <cell r="Z14">
            <v>850000</v>
          </cell>
        </row>
        <row r="15">
          <cell r="A15" t="str">
            <v>9323209339735</v>
          </cell>
          <cell r="Z15">
            <v>850000</v>
          </cell>
        </row>
        <row r="16">
          <cell r="A16" t="str">
            <v>5715267852303</v>
          </cell>
          <cell r="Z16">
            <v>850000</v>
          </cell>
        </row>
        <row r="17">
          <cell r="A17" t="str">
            <v>9725008978502</v>
          </cell>
          <cell r="Z17">
            <v>1290000</v>
          </cell>
        </row>
        <row r="18">
          <cell r="A18" t="str">
            <v>4567146148882</v>
          </cell>
          <cell r="Z18">
            <v>1090000</v>
          </cell>
        </row>
        <row r="19">
          <cell r="A19" t="str">
            <v>3143429704658</v>
          </cell>
          <cell r="Z19">
            <v>1090000</v>
          </cell>
        </row>
        <row r="20">
          <cell r="A20" t="str">
            <v>8035572671374</v>
          </cell>
          <cell r="Z20">
            <v>990000</v>
          </cell>
        </row>
        <row r="21">
          <cell r="A21" t="str">
            <v>8003354619234</v>
          </cell>
          <cell r="Z21">
            <v>1090000</v>
          </cell>
        </row>
        <row r="22">
          <cell r="A22" t="str">
            <v>8766616286673</v>
          </cell>
          <cell r="Z22">
            <v>1090000</v>
          </cell>
        </row>
        <row r="23">
          <cell r="A23" t="str">
            <v>5171471620099</v>
          </cell>
          <cell r="Z23">
            <v>1090000</v>
          </cell>
        </row>
        <row r="24">
          <cell r="A24" t="str">
            <v>3220287389088</v>
          </cell>
          <cell r="Z24">
            <v>810000</v>
          </cell>
        </row>
        <row r="25">
          <cell r="A25" t="str">
            <v>5438653501240</v>
          </cell>
          <cell r="Z25">
            <v>810000</v>
          </cell>
        </row>
        <row r="26">
          <cell r="A26" t="str">
            <v>2269838214432</v>
          </cell>
          <cell r="Z26">
            <v>810000</v>
          </cell>
        </row>
        <row r="27">
          <cell r="A27" t="str">
            <v>6873634620746</v>
          </cell>
          <cell r="Z27">
            <v>810000</v>
          </cell>
        </row>
        <row r="28">
          <cell r="A28" t="str">
            <v>1482326209173</v>
          </cell>
          <cell r="Z28">
            <v>710000</v>
          </cell>
        </row>
        <row r="29">
          <cell r="A29" t="str">
            <v>4279513881833</v>
          </cell>
          <cell r="Z29">
            <v>1090000</v>
          </cell>
        </row>
        <row r="30">
          <cell r="A30" t="str">
            <v>5707430833233</v>
          </cell>
          <cell r="Z30">
            <v>1090000</v>
          </cell>
        </row>
        <row r="31">
          <cell r="A31" t="str">
            <v>4340402094808</v>
          </cell>
          <cell r="Z31">
            <v>1090000</v>
          </cell>
        </row>
        <row r="32">
          <cell r="A32" t="str">
            <v>5768319046205</v>
          </cell>
          <cell r="Z32">
            <v>1090000</v>
          </cell>
        </row>
        <row r="33">
          <cell r="A33" t="str">
            <v>8251493507770</v>
          </cell>
          <cell r="Z33">
            <v>1090000</v>
          </cell>
        </row>
        <row r="34">
          <cell r="A34" t="str">
            <v>7824364454339</v>
          </cell>
          <cell r="Z34">
            <v>1090000</v>
          </cell>
        </row>
        <row r="35">
          <cell r="A35" t="str">
            <v>6457335715903</v>
          </cell>
          <cell r="Z35">
            <v>1090000</v>
          </cell>
        </row>
        <row r="36">
          <cell r="A36" t="str">
            <v>2507346673700</v>
          </cell>
          <cell r="Z36">
            <v>590000</v>
          </cell>
        </row>
        <row r="37">
          <cell r="A37" t="str">
            <v>4990521145273</v>
          </cell>
          <cell r="Z37">
            <v>590000</v>
          </cell>
        </row>
        <row r="38">
          <cell r="A38" t="str">
            <v>5986723011835</v>
          </cell>
          <cell r="Z38">
            <v>590000</v>
          </cell>
        </row>
        <row r="39">
          <cell r="A39" t="str">
            <v>3442660337305</v>
          </cell>
          <cell r="Z39">
            <v>590000</v>
          </cell>
        </row>
        <row r="40">
          <cell r="A40" t="str">
            <v>5925834808873</v>
          </cell>
          <cell r="Z40">
            <v>590000</v>
          </cell>
        </row>
        <row r="41">
          <cell r="A41" t="str">
            <v>9735375175275</v>
          </cell>
          <cell r="Z41">
            <v>590000</v>
          </cell>
        </row>
        <row r="42">
          <cell r="A42" t="str">
            <v>3611678415095</v>
          </cell>
          <cell r="Z42">
            <v>790000</v>
          </cell>
        </row>
        <row r="43">
          <cell r="A43" t="str">
            <v>1113524387249</v>
          </cell>
          <cell r="Z43">
            <v>790000</v>
          </cell>
        </row>
        <row r="44">
          <cell r="A44" t="str">
            <v>1256403278563</v>
          </cell>
          <cell r="Z44">
            <v>790000</v>
          </cell>
        </row>
        <row r="45">
          <cell r="A45" t="str">
            <v>1785923839584</v>
          </cell>
          <cell r="Z45">
            <v>790000</v>
          </cell>
        </row>
        <row r="46">
          <cell r="A46" t="str">
            <v>5090721436122</v>
          </cell>
          <cell r="Z46">
            <v>790000</v>
          </cell>
        </row>
        <row r="47">
          <cell r="A47" t="str">
            <v>4831238171738</v>
          </cell>
          <cell r="Z47">
            <v>710000</v>
          </cell>
        </row>
        <row r="48">
          <cell r="A48" t="str">
            <v>3776831582134</v>
          </cell>
          <cell r="Z48">
            <v>710000</v>
          </cell>
        </row>
        <row r="49">
          <cell r="A49" t="str">
            <v>4269434879972</v>
          </cell>
          <cell r="Z49">
            <v>710000</v>
          </cell>
        </row>
        <row r="50">
          <cell r="A50" t="str">
            <v>5883681531378</v>
          </cell>
          <cell r="Z50">
            <v>710000</v>
          </cell>
        </row>
        <row r="51">
          <cell r="A51" t="str">
            <v>1953855182935</v>
          </cell>
          <cell r="Z51">
            <v>710000</v>
          </cell>
        </row>
        <row r="52">
          <cell r="A52" t="str">
            <v>3381772134337</v>
          </cell>
          <cell r="Z52">
            <v>710000</v>
          </cell>
        </row>
        <row r="53">
          <cell r="A53" t="str">
            <v>2014743385902</v>
          </cell>
          <cell r="Z53">
            <v>710000</v>
          </cell>
        </row>
        <row r="54">
          <cell r="A54" t="str">
            <v>9546625657300</v>
          </cell>
          <cell r="Z54">
            <v>550000</v>
          </cell>
        </row>
        <row r="55">
          <cell r="A55" t="str">
            <v>8676781567777</v>
          </cell>
          <cell r="Z55">
            <v>550000</v>
          </cell>
        </row>
        <row r="56">
          <cell r="A56" t="str">
            <v>3096052934339</v>
          </cell>
          <cell r="Z56">
            <v>1190000</v>
          </cell>
        </row>
        <row r="57">
          <cell r="A57" t="str">
            <v>3965897013878</v>
          </cell>
          <cell r="Z57">
            <v>1190000</v>
          </cell>
        </row>
        <row r="58">
          <cell r="A58" t="str">
            <v>7817016503530</v>
          </cell>
          <cell r="Z58">
            <v>1190000</v>
          </cell>
        </row>
        <row r="59">
          <cell r="A59" t="str">
            <v>9477835484809</v>
          </cell>
          <cell r="Z59">
            <v>1190000</v>
          </cell>
        </row>
        <row r="60">
          <cell r="A60" t="str">
            <v>9858396875273</v>
          </cell>
          <cell r="Z60">
            <v>1190000</v>
          </cell>
        </row>
        <row r="61">
          <cell r="A61" t="str">
            <v>6311272354376</v>
          </cell>
          <cell r="Z61">
            <v>1190000</v>
          </cell>
        </row>
        <row r="62">
          <cell r="A62" t="str">
            <v>4012595044075</v>
          </cell>
          <cell r="Z62">
            <v>1190000</v>
          </cell>
        </row>
        <row r="63">
          <cell r="A63" t="str">
            <v>5069685113608</v>
          </cell>
          <cell r="Z63">
            <v>1190000</v>
          </cell>
        </row>
        <row r="64">
          <cell r="A64" t="str">
            <v>9478877464835</v>
          </cell>
          <cell r="Z64">
            <v>1190000</v>
          </cell>
        </row>
        <row r="65">
          <cell r="A65" t="str">
            <v>9477961195174</v>
          </cell>
          <cell r="Z65">
            <v>1190000</v>
          </cell>
        </row>
        <row r="66">
          <cell r="A66" t="str">
            <v>9575964184635</v>
          </cell>
          <cell r="Z66">
            <v>1190000</v>
          </cell>
        </row>
        <row r="67">
          <cell r="A67" t="str">
            <v>9076622197139</v>
          </cell>
          <cell r="Z67">
            <v>1650000</v>
          </cell>
        </row>
        <row r="68">
          <cell r="A68" t="str">
            <v>3040771892234</v>
          </cell>
          <cell r="Z68">
            <v>1650000</v>
          </cell>
        </row>
        <row r="69">
          <cell r="A69" t="str">
            <v>1934970924037</v>
          </cell>
          <cell r="Z69">
            <v>1650000</v>
          </cell>
        </row>
        <row r="70">
          <cell r="A70" t="str">
            <v>4177558043653</v>
          </cell>
          <cell r="Z70">
            <v>1650000</v>
          </cell>
        </row>
        <row r="71">
          <cell r="A71" t="str">
            <v>1003881136072</v>
          </cell>
          <cell r="Z71">
            <v>750000</v>
          </cell>
        </row>
        <row r="72">
          <cell r="A72" t="str">
            <v>4914972559038</v>
          </cell>
          <cell r="Z72">
            <v>750000</v>
          </cell>
        </row>
        <row r="73">
          <cell r="A73" t="str">
            <v>3487055607601</v>
          </cell>
          <cell r="Z73">
            <v>750000</v>
          </cell>
        </row>
        <row r="74">
          <cell r="A74" t="str">
            <v>5652921921435</v>
          </cell>
          <cell r="Z74">
            <v>750000</v>
          </cell>
        </row>
        <row r="75">
          <cell r="A75" t="str">
            <v>1145470298133</v>
          </cell>
          <cell r="Z75">
            <v>1650000</v>
          </cell>
        </row>
        <row r="76">
          <cell r="A76" t="str">
            <v>6438546407801</v>
          </cell>
          <cell r="Z76">
            <v>1650000</v>
          </cell>
        </row>
        <row r="77">
          <cell r="A77" t="str">
            <v>7495636477334</v>
          </cell>
          <cell r="Z77">
            <v>1650000</v>
          </cell>
        </row>
        <row r="78">
          <cell r="A78" t="str">
            <v>2961002628433</v>
          </cell>
          <cell r="Z78">
            <v>1650000</v>
          </cell>
        </row>
        <row r="79">
          <cell r="A79" t="str">
            <v>1903912558906</v>
          </cell>
          <cell r="Z79">
            <v>1650000</v>
          </cell>
        </row>
        <row r="80">
          <cell r="A80" t="str">
            <v>1745660023370</v>
          </cell>
          <cell r="Z80">
            <v>1590000</v>
          </cell>
        </row>
        <row r="81">
          <cell r="A81" t="str">
            <v>3202298142906</v>
          </cell>
          <cell r="Z81">
            <v>1590000</v>
          </cell>
        </row>
        <row r="82">
          <cell r="A82" t="str">
            <v>9351178652609</v>
          </cell>
          <cell r="Z82">
            <v>1590000</v>
          </cell>
        </row>
        <row r="83">
          <cell r="A83" t="str">
            <v>9043072532131</v>
          </cell>
          <cell r="Z83">
            <v>1590000</v>
          </cell>
        </row>
        <row r="84">
          <cell r="A84" t="str">
            <v>7957136151836</v>
          </cell>
          <cell r="Z84">
            <v>690000</v>
          </cell>
        </row>
        <row r="85">
          <cell r="A85" t="str">
            <v>2192086224802</v>
          </cell>
          <cell r="Z85">
            <v>690000</v>
          </cell>
        </row>
        <row r="86">
          <cell r="A86" t="str">
            <v>3620003176204</v>
          </cell>
          <cell r="Z86">
            <v>690000</v>
          </cell>
        </row>
        <row r="87">
          <cell r="A87" t="str">
            <v>6096514451746</v>
          </cell>
          <cell r="Z87">
            <v>1050000</v>
          </cell>
        </row>
        <row r="88">
          <cell r="A88" t="str">
            <v>4612351659408</v>
          </cell>
          <cell r="Z88">
            <v>550000</v>
          </cell>
        </row>
        <row r="89">
          <cell r="A89" t="str">
            <v>9363284857830</v>
          </cell>
          <cell r="Z89">
            <v>550000</v>
          </cell>
        </row>
        <row r="90">
          <cell r="A90" t="str">
            <v>5139505948137</v>
          </cell>
          <cell r="Z90">
            <v>550000</v>
          </cell>
        </row>
        <row r="91">
          <cell r="A91" t="str">
            <v>4472874638607</v>
          </cell>
          <cell r="Z91">
            <v>550000</v>
          </cell>
        </row>
        <row r="92">
          <cell r="A92" t="str">
            <v>4954092519109</v>
          </cell>
          <cell r="Z92">
            <v>550000</v>
          </cell>
        </row>
        <row r="93">
          <cell r="A93" t="str">
            <v>4484349614979</v>
          </cell>
          <cell r="Z93">
            <v>790000</v>
          </cell>
        </row>
        <row r="94">
          <cell r="A94" t="str">
            <v>2121119009970</v>
          </cell>
          <cell r="Z94">
            <v>790000</v>
          </cell>
        </row>
        <row r="95">
          <cell r="A95" t="str">
            <v>3735365661371</v>
          </cell>
          <cell r="Z95">
            <v>790000</v>
          </cell>
        </row>
        <row r="96">
          <cell r="A96" t="str">
            <v>5163282612776</v>
          </cell>
          <cell r="Z96">
            <v>790000</v>
          </cell>
        </row>
        <row r="97">
          <cell r="A97" t="str">
            <v>6803228411436</v>
          </cell>
          <cell r="Z97">
            <v>750000</v>
          </cell>
        </row>
        <row r="98">
          <cell r="A98" t="str">
            <v>3556072490975</v>
          </cell>
          <cell r="Z98">
            <v>750000</v>
          </cell>
        </row>
        <row r="99">
          <cell r="A99" t="str">
            <v>2941184439676</v>
          </cell>
          <cell r="Z99">
            <v>750000</v>
          </cell>
        </row>
        <row r="100">
          <cell r="A100" t="str">
            <v>6802312141778</v>
          </cell>
          <cell r="Z100">
            <v>750000</v>
          </cell>
        </row>
        <row r="101">
          <cell r="A101" t="str">
            <v>7717424309178</v>
          </cell>
          <cell r="Z101">
            <v>850000</v>
          </cell>
        </row>
        <row r="102">
          <cell r="A102" t="str">
            <v>3914534125603</v>
          </cell>
          <cell r="Z102">
            <v>850000</v>
          </cell>
        </row>
        <row r="103">
          <cell r="A103" t="str">
            <v>9639975222004</v>
          </cell>
          <cell r="Z103">
            <v>850000</v>
          </cell>
        </row>
        <row r="104">
          <cell r="A104" t="str">
            <v>6027629051538</v>
          </cell>
          <cell r="Z104">
            <v>750000</v>
          </cell>
        </row>
        <row r="105">
          <cell r="A105" t="str">
            <v>4660600303107</v>
          </cell>
          <cell r="Z105">
            <v>750000</v>
          </cell>
        </row>
        <row r="106">
          <cell r="A106" t="str">
            <v>6088517254509</v>
          </cell>
          <cell r="Z106">
            <v>750000</v>
          </cell>
        </row>
        <row r="107">
          <cell r="A107" t="str">
            <v>8602304767102</v>
          </cell>
          <cell r="Z107">
            <v>590000</v>
          </cell>
        </row>
        <row r="108">
          <cell r="A108" t="str">
            <v>8860141987477</v>
          </cell>
          <cell r="Z108">
            <v>790000</v>
          </cell>
        </row>
        <row r="109">
          <cell r="A109" t="str">
            <v>3064387528875</v>
          </cell>
          <cell r="Z109">
            <v>790000</v>
          </cell>
        </row>
        <row r="110">
          <cell r="A110" t="str">
            <v>5745812785275</v>
          </cell>
          <cell r="Z110">
            <v>710000</v>
          </cell>
        </row>
        <row r="111">
          <cell r="A111" t="str">
            <v>2765453664879</v>
          </cell>
          <cell r="Z111">
            <v>710000</v>
          </cell>
        </row>
        <row r="112">
          <cell r="A112" t="str">
            <v>7485500954436</v>
          </cell>
          <cell r="Z112">
            <v>710000</v>
          </cell>
        </row>
        <row r="113">
          <cell r="A113" t="str">
            <v>4875968705801</v>
          </cell>
          <cell r="Z113">
            <v>710000</v>
          </cell>
        </row>
        <row r="114">
          <cell r="A114" t="str">
            <v>9768323336275</v>
          </cell>
          <cell r="Z114">
            <v>710000</v>
          </cell>
        </row>
        <row r="115">
          <cell r="A115" t="str">
            <v>8855560616077</v>
          </cell>
          <cell r="Z115">
            <v>790000</v>
          </cell>
        </row>
        <row r="116">
          <cell r="A116" t="str">
            <v>5813397003234</v>
          </cell>
          <cell r="Z116">
            <v>790000</v>
          </cell>
        </row>
        <row r="117">
          <cell r="A117" t="str">
            <v>7427643664636</v>
          </cell>
          <cell r="Z117">
            <v>790000</v>
          </cell>
        </row>
        <row r="118">
          <cell r="A118" t="str">
            <v>4022090297470</v>
          </cell>
          <cell r="Z118">
            <v>790000</v>
          </cell>
        </row>
        <row r="119">
          <cell r="A119" t="str">
            <v>2766652029032</v>
          </cell>
          <cell r="Z119">
            <v>790000</v>
          </cell>
        </row>
        <row r="120">
          <cell r="A120" t="str">
            <v>9780795257773</v>
          </cell>
          <cell r="Z120">
            <v>990000</v>
          </cell>
        </row>
        <row r="121">
          <cell r="A121" t="str">
            <v>2263969729339</v>
          </cell>
          <cell r="Z121">
            <v>990000</v>
          </cell>
        </row>
        <row r="122">
          <cell r="A122" t="str">
            <v>3369188667731</v>
          </cell>
          <cell r="Z122">
            <v>990000</v>
          </cell>
        </row>
        <row r="123">
          <cell r="A123" t="str">
            <v>2324857932306</v>
          </cell>
          <cell r="Z123">
            <v>990000</v>
          </cell>
        </row>
        <row r="124">
          <cell r="A124" t="str">
            <v>7602978083707</v>
          </cell>
          <cell r="Z124">
            <v>990000</v>
          </cell>
        </row>
        <row r="125">
          <cell r="A125" t="str">
            <v>4438089868437</v>
          </cell>
          <cell r="Z125">
            <v>890000</v>
          </cell>
        </row>
        <row r="126">
          <cell r="A126" t="str">
            <v>5808815631830</v>
          </cell>
          <cell r="Z126">
            <v>890000</v>
          </cell>
        </row>
        <row r="127">
          <cell r="A127" t="str">
            <v>4441786893404</v>
          </cell>
          <cell r="Z127">
            <v>890000</v>
          </cell>
        </row>
        <row r="128">
          <cell r="A128" t="str">
            <v>9098322150979</v>
          </cell>
          <cell r="Z128">
            <v>910000</v>
          </cell>
        </row>
        <row r="129">
          <cell r="A129" t="str">
            <v>6972110709293</v>
          </cell>
          <cell r="Z129">
            <v>910000</v>
          </cell>
        </row>
        <row r="130">
          <cell r="A130" t="str">
            <v>9680056147280</v>
          </cell>
          <cell r="Z130">
            <v>910000</v>
          </cell>
        </row>
        <row r="131">
          <cell r="A131" t="str">
            <v>1082611030781</v>
          </cell>
          <cell r="Z131">
            <v>910000</v>
          </cell>
        </row>
        <row r="132">
          <cell r="A132" t="str">
            <v>1438769038405</v>
          </cell>
          <cell r="Z132">
            <v>890000</v>
          </cell>
        </row>
        <row r="133">
          <cell r="A133" t="str">
            <v>4234630999175</v>
          </cell>
          <cell r="Z133">
            <v>890000</v>
          </cell>
        </row>
        <row r="134">
          <cell r="A134" t="str">
            <v>6664425889974</v>
          </cell>
          <cell r="Z134">
            <v>890000</v>
          </cell>
        </row>
        <row r="135">
          <cell r="A135" t="str">
            <v>3100247258732</v>
          </cell>
          <cell r="Z135">
            <v>890000</v>
          </cell>
        </row>
        <row r="136">
          <cell r="A136" t="str">
            <v>3949128559175</v>
          </cell>
          <cell r="Z136">
            <v>1090000</v>
          </cell>
        </row>
        <row r="137">
          <cell r="A137" t="str">
            <v>1494166532731</v>
          </cell>
          <cell r="Z137">
            <v>1090000</v>
          </cell>
        </row>
        <row r="138">
          <cell r="A138" t="str">
            <v>5811509411205</v>
          </cell>
          <cell r="Z138">
            <v>1090000</v>
          </cell>
        </row>
        <row r="139">
          <cell r="A139" t="str">
            <v>8484755364266</v>
          </cell>
          <cell r="Z139">
            <v>550000</v>
          </cell>
        </row>
        <row r="140">
          <cell r="A140" t="str">
            <v>4354393743744</v>
          </cell>
          <cell r="Z140">
            <v>550000</v>
          </cell>
        </row>
        <row r="141">
          <cell r="A141" t="str">
            <v>7029733550241</v>
          </cell>
          <cell r="Z141">
            <v>550000</v>
          </cell>
        </row>
        <row r="142">
          <cell r="A142" t="str">
            <v>6509169231309</v>
          </cell>
          <cell r="Z142">
            <v>550000</v>
          </cell>
        </row>
        <row r="143">
          <cell r="A143" t="str">
            <v>5480024012879</v>
          </cell>
          <cell r="Z143">
            <v>550000</v>
          </cell>
        </row>
        <row r="144">
          <cell r="A144" t="str">
            <v>9479377140779</v>
          </cell>
          <cell r="Z144">
            <v>550000</v>
          </cell>
        </row>
        <row r="145">
          <cell r="A145" t="str">
            <v>2774787623872</v>
          </cell>
          <cell r="Z145">
            <v>750000</v>
          </cell>
        </row>
        <row r="146">
          <cell r="A146" t="str">
            <v>8551008713536</v>
          </cell>
          <cell r="Z146">
            <v>750000</v>
          </cell>
        </row>
        <row r="147">
          <cell r="A147" t="str">
            <v>1232111333077</v>
          </cell>
          <cell r="Z147">
            <v>750000</v>
          </cell>
        </row>
        <row r="148">
          <cell r="A148" t="str">
            <v>8054740324300</v>
          </cell>
          <cell r="Z148">
            <v>750000</v>
          </cell>
        </row>
        <row r="149">
          <cell r="A149" t="str">
            <v>9217224745100</v>
          </cell>
          <cell r="Z149">
            <v>550000</v>
          </cell>
        </row>
        <row r="150">
          <cell r="A150" t="str">
            <v>3501096708537</v>
          </cell>
          <cell r="Z150">
            <v>550000</v>
          </cell>
        </row>
        <row r="151">
          <cell r="A151" t="str">
            <v>3010618954333</v>
          </cell>
          <cell r="Z151">
            <v>790000</v>
          </cell>
        </row>
        <row r="152">
          <cell r="A152" t="str">
            <v>1643590205906</v>
          </cell>
          <cell r="Z152">
            <v>790000</v>
          </cell>
        </row>
        <row r="153">
          <cell r="A153" t="str">
            <v>5554676968874</v>
          </cell>
          <cell r="Z153">
            <v>790000</v>
          </cell>
        </row>
        <row r="154">
          <cell r="A154" t="str">
            <v>2379767958274</v>
          </cell>
          <cell r="Z154">
            <v>790000</v>
          </cell>
        </row>
        <row r="155">
          <cell r="A155" t="str">
            <v>9465768381838</v>
          </cell>
          <cell r="Z155">
            <v>790000</v>
          </cell>
        </row>
        <row r="156">
          <cell r="A156" t="str">
            <v>2507931994630</v>
          </cell>
          <cell r="Z156">
            <v>790000</v>
          </cell>
        </row>
        <row r="157">
          <cell r="A157" t="str">
            <v>8780012029801</v>
          </cell>
          <cell r="Z157">
            <v>710000</v>
          </cell>
        </row>
        <row r="158">
          <cell r="A158" t="str">
            <v>1237698231372</v>
          </cell>
          <cell r="Z158">
            <v>710000</v>
          </cell>
        </row>
        <row r="159">
          <cell r="A159" t="str">
            <v>2691103432775</v>
          </cell>
          <cell r="Z159">
            <v>710000</v>
          </cell>
        </row>
        <row r="160">
          <cell r="A160" t="str">
            <v>4305350094171</v>
          </cell>
          <cell r="Z160">
            <v>710000</v>
          </cell>
        </row>
        <row r="161">
          <cell r="A161" t="str">
            <v>2146272515601</v>
          </cell>
          <cell r="Z161">
            <v>710000</v>
          </cell>
        </row>
        <row r="162">
          <cell r="A162" t="str">
            <v>3574189467000</v>
          </cell>
          <cell r="Z162">
            <v>710000</v>
          </cell>
        </row>
        <row r="163">
          <cell r="A163" t="str">
            <v>6057363928575</v>
          </cell>
          <cell r="Z163">
            <v>710000</v>
          </cell>
        </row>
        <row r="164">
          <cell r="A164" t="str">
            <v>7485280879974</v>
          </cell>
          <cell r="Z164">
            <v>710000</v>
          </cell>
        </row>
        <row r="165">
          <cell r="A165" t="str">
            <v>4341763753885</v>
          </cell>
          <cell r="Z165">
            <v>750000</v>
          </cell>
        </row>
        <row r="166">
          <cell r="A166" t="str">
            <v>1992018545989</v>
          </cell>
          <cell r="Z166">
            <v>750000</v>
          </cell>
        </row>
        <row r="167">
          <cell r="A167" t="str">
            <v>4240325591319</v>
          </cell>
          <cell r="Z167">
            <v>750000</v>
          </cell>
        </row>
        <row r="168">
          <cell r="A168" t="str">
            <v>7056747346416</v>
          </cell>
          <cell r="Z168">
            <v>750000</v>
          </cell>
        </row>
        <row r="169">
          <cell r="A169" t="str">
            <v>9349863621733</v>
          </cell>
          <cell r="Z169">
            <v>790000</v>
          </cell>
        </row>
        <row r="170">
          <cell r="A170" t="str">
            <v>8421617261974</v>
          </cell>
          <cell r="Z170">
            <v>1290000</v>
          </cell>
        </row>
        <row r="171">
          <cell r="A171" t="str">
            <v>4570497771630</v>
          </cell>
          <cell r="Z171">
            <v>1290000</v>
          </cell>
        </row>
        <row r="172">
          <cell r="A172" t="str">
            <v>2459982732573</v>
          </cell>
          <cell r="Z172">
            <v>1290000</v>
          </cell>
        </row>
        <row r="173">
          <cell r="A173" t="str">
            <v>3321683654449</v>
          </cell>
          <cell r="Z173">
            <v>1090000</v>
          </cell>
        </row>
        <row r="174">
          <cell r="A174" t="str">
            <v>3158051045109</v>
          </cell>
          <cell r="Z174">
            <v>990000</v>
          </cell>
        </row>
        <row r="175">
          <cell r="A175" t="str">
            <v>9739562919970</v>
          </cell>
          <cell r="Z175">
            <v>990000</v>
          </cell>
        </row>
        <row r="176">
          <cell r="A176" t="str">
            <v>2283625584508</v>
          </cell>
          <cell r="Z176">
            <v>990000</v>
          </cell>
        </row>
        <row r="177">
          <cell r="A177" t="str">
            <v>1353809571370</v>
          </cell>
          <cell r="Z177">
            <v>990000</v>
          </cell>
        </row>
        <row r="178">
          <cell r="A178" t="str">
            <v>1507148756701</v>
          </cell>
          <cell r="Z178">
            <v>890000</v>
          </cell>
        </row>
        <row r="179">
          <cell r="A179" t="str">
            <v>9953790298236</v>
          </cell>
          <cell r="Z179">
            <v>890000</v>
          </cell>
        </row>
        <row r="180">
          <cell r="A180" t="str">
            <v>1568036959635</v>
          </cell>
          <cell r="Z180">
            <v>890000</v>
          </cell>
        </row>
        <row r="181">
          <cell r="A181" t="str">
            <v>3864881711205</v>
          </cell>
          <cell r="Z181">
            <v>890000</v>
          </cell>
        </row>
        <row r="182">
          <cell r="A182" t="str">
            <v>3553110492939</v>
          </cell>
          <cell r="Z182">
            <v>890000</v>
          </cell>
        </row>
        <row r="183">
          <cell r="A183" t="str">
            <v>5572332089732</v>
          </cell>
          <cell r="Z183">
            <v>1190000</v>
          </cell>
        </row>
        <row r="184">
          <cell r="A184" t="str">
            <v>1236357218495</v>
          </cell>
          <cell r="Z184">
            <v>1190000</v>
          </cell>
        </row>
        <row r="185">
          <cell r="A185" t="str">
            <v>2559334308170</v>
          </cell>
          <cell r="Z185">
            <v>1790000</v>
          </cell>
        </row>
        <row r="186">
          <cell r="A186" t="str">
            <v>7063476424148</v>
          </cell>
          <cell r="Z186">
            <v>1790000</v>
          </cell>
        </row>
        <row r="187">
          <cell r="A187" t="str">
            <v>6802521517951</v>
          </cell>
          <cell r="Z187">
            <v>1790000</v>
          </cell>
        </row>
        <row r="188">
          <cell r="A188" t="str">
            <v>9686486055348</v>
          </cell>
          <cell r="Z188">
            <v>1790000</v>
          </cell>
        </row>
        <row r="189">
          <cell r="A189" t="str">
            <v>9678627540028</v>
          </cell>
          <cell r="Z189">
            <v>1790000</v>
          </cell>
        </row>
        <row r="190">
          <cell r="A190" t="str">
            <v>7993188497843</v>
          </cell>
          <cell r="Z190">
            <v>1190000</v>
          </cell>
        </row>
        <row r="191">
          <cell r="A191" t="str">
            <v>9246959622134</v>
          </cell>
          <cell r="Z191">
            <v>1190000</v>
          </cell>
        </row>
        <row r="192">
          <cell r="A192" t="str">
            <v>7693601173704</v>
          </cell>
          <cell r="Z192">
            <v>1190000</v>
          </cell>
        </row>
        <row r="193">
          <cell r="A193" t="str">
            <v>4373465613877</v>
          </cell>
          <cell r="Z193">
            <v>1190000</v>
          </cell>
        </row>
        <row r="194">
          <cell r="A194" t="str">
            <v>4460451094434</v>
          </cell>
          <cell r="Z194">
            <v>1190000</v>
          </cell>
        </row>
        <row r="195">
          <cell r="A195" t="str">
            <v>6960113073183</v>
          </cell>
          <cell r="Z195">
            <v>990000</v>
          </cell>
        </row>
        <row r="196">
          <cell r="A196" t="str">
            <v>8414460065752</v>
          </cell>
          <cell r="Z196">
            <v>990000</v>
          </cell>
        </row>
        <row r="197">
          <cell r="A197" t="str">
            <v>9240247068741</v>
          </cell>
          <cell r="Z197">
            <v>990000</v>
          </cell>
        </row>
        <row r="198">
          <cell r="A198" t="str">
            <v>7794030517951</v>
          </cell>
          <cell r="Z198">
            <v>990000</v>
          </cell>
        </row>
        <row r="199">
          <cell r="A199" t="str">
            <v>7960389543617</v>
          </cell>
          <cell r="Z199">
            <v>990000</v>
          </cell>
        </row>
        <row r="200">
          <cell r="A200" t="str">
            <v>1668946471033</v>
          </cell>
          <cell r="Z200">
            <v>2690000</v>
          </cell>
        </row>
        <row r="201">
          <cell r="A201" t="str">
            <v>7626630108409</v>
          </cell>
          <cell r="Z201">
            <v>2690000</v>
          </cell>
        </row>
        <row r="202">
          <cell r="A202" t="str">
            <v>2352460841807</v>
          </cell>
          <cell r="Z202">
            <v>2690000</v>
          </cell>
        </row>
        <row r="203">
          <cell r="A203" t="str">
            <v>1359007809932</v>
          </cell>
          <cell r="Z203">
            <v>2690000</v>
          </cell>
        </row>
        <row r="204">
          <cell r="A204" t="str">
            <v>6449881978833</v>
          </cell>
          <cell r="Z204">
            <v>2690000</v>
          </cell>
        </row>
        <row r="205">
          <cell r="A205" t="str">
            <v>7692385488370</v>
          </cell>
          <cell r="Z205">
            <v>2690000</v>
          </cell>
        </row>
        <row r="206">
          <cell r="A206" t="str">
            <v>5084685787901</v>
          </cell>
          <cell r="Z206">
            <v>2690000</v>
          </cell>
        </row>
        <row r="207">
          <cell r="A207" t="str">
            <v>1170845549305</v>
          </cell>
          <cell r="Z207">
            <v>2690000</v>
          </cell>
        </row>
        <row r="208">
          <cell r="A208" t="str">
            <v>4213009156500</v>
          </cell>
          <cell r="Z208">
            <v>2290000</v>
          </cell>
        </row>
        <row r="209">
          <cell r="A209" t="str">
            <v>6510770185875</v>
          </cell>
          <cell r="Z209">
            <v>2290000</v>
          </cell>
        </row>
        <row r="210">
          <cell r="A210" t="str">
            <v>6014501794805</v>
          </cell>
          <cell r="Z210">
            <v>2290000</v>
          </cell>
        </row>
        <row r="211">
          <cell r="A211" t="str">
            <v>8807614934309</v>
          </cell>
          <cell r="Z211">
            <v>2290000</v>
          </cell>
        </row>
        <row r="212">
          <cell r="A212" t="str">
            <v>9899330943832</v>
          </cell>
          <cell r="Z212">
            <v>2290000</v>
          </cell>
        </row>
        <row r="213">
          <cell r="A213" t="str">
            <v>3336700095273</v>
          </cell>
          <cell r="Z213">
            <v>2290000</v>
          </cell>
        </row>
        <row r="214">
          <cell r="A214" t="str">
            <v>5121805673451</v>
          </cell>
          <cell r="Z214">
            <v>1090000</v>
          </cell>
        </row>
        <row r="215">
          <cell r="A215" t="str">
            <v>5692034697773</v>
          </cell>
          <cell r="Z215">
            <v>1090000</v>
          </cell>
        </row>
        <row r="216">
          <cell r="A216" t="str">
            <v>4325005959334</v>
          </cell>
          <cell r="Z216">
            <v>1090000</v>
          </cell>
        </row>
        <row r="217">
          <cell r="A217" t="str">
            <v>1960312611730</v>
          </cell>
          <cell r="Z217">
            <v>1090000</v>
          </cell>
        </row>
        <row r="218">
          <cell r="A218" t="str">
            <v>2173304235206</v>
          </cell>
          <cell r="Z218">
            <v>1090000</v>
          </cell>
        </row>
        <row r="219">
          <cell r="A219" t="str">
            <v>3415807744731</v>
          </cell>
          <cell r="Z219">
            <v>1090000</v>
          </cell>
        </row>
        <row r="220">
          <cell r="A220" t="str">
            <v>9874626925532</v>
          </cell>
          <cell r="Z220">
            <v>1090000</v>
          </cell>
        </row>
        <row r="221">
          <cell r="A221" t="str">
            <v>6707021816002</v>
          </cell>
          <cell r="Z221">
            <v>1090000</v>
          </cell>
        </row>
        <row r="222">
          <cell r="A222" t="str">
            <v>6194717007477</v>
          </cell>
          <cell r="Z222">
            <v>710000</v>
          </cell>
        </row>
        <row r="223">
          <cell r="A223" t="str">
            <v>4827688269033</v>
          </cell>
          <cell r="Z223">
            <v>710000</v>
          </cell>
        </row>
        <row r="224">
          <cell r="A224" t="str">
            <v>2634442483275</v>
          </cell>
          <cell r="Z224">
            <v>710000</v>
          </cell>
        </row>
        <row r="225">
          <cell r="A225" t="str">
            <v>1720055071839</v>
          </cell>
          <cell r="Z225">
            <v>710000</v>
          </cell>
        </row>
        <row r="226">
          <cell r="A226" t="str">
            <v>7829613333403</v>
          </cell>
          <cell r="Z226">
            <v>1050000</v>
          </cell>
        </row>
        <row r="227">
          <cell r="A227" t="str">
            <v>1780943284802</v>
          </cell>
          <cell r="Z227">
            <v>1050000</v>
          </cell>
        </row>
        <row r="228">
          <cell r="A228" t="str">
            <v>1103930901535</v>
          </cell>
          <cell r="Z228">
            <v>1190000</v>
          </cell>
        </row>
        <row r="229">
          <cell r="A229" t="str">
            <v>6568380772930</v>
          </cell>
          <cell r="Z229">
            <v>1190000</v>
          </cell>
        </row>
        <row r="230">
          <cell r="A230" t="str">
            <v>5015022314504</v>
          </cell>
          <cell r="Z230">
            <v>1190000</v>
          </cell>
        </row>
        <row r="231">
          <cell r="A231" t="str">
            <v>8098894488433</v>
          </cell>
          <cell r="Z231">
            <v>1390000</v>
          </cell>
        </row>
        <row r="232">
          <cell r="A232" t="str">
            <v>9746441379978</v>
          </cell>
          <cell r="Z232">
            <v>1390000</v>
          </cell>
        </row>
        <row r="233">
          <cell r="A233" t="str">
            <v>5522662469674</v>
          </cell>
          <cell r="Z233">
            <v>1390000</v>
          </cell>
        </row>
        <row r="234">
          <cell r="A234" t="str">
            <v>2291313021730</v>
          </cell>
          <cell r="Z234">
            <v>1390000</v>
          </cell>
        </row>
        <row r="235">
          <cell r="A235" t="str">
            <v>4155633721207</v>
          </cell>
          <cell r="Z235">
            <v>1390000</v>
          </cell>
        </row>
        <row r="236">
          <cell r="A236" t="str">
            <v>1546101472302</v>
          </cell>
          <cell r="Z236">
            <v>1390000</v>
          </cell>
        </row>
        <row r="237">
          <cell r="A237" t="str">
            <v>2603191541833</v>
          </cell>
          <cell r="Z237">
            <v>1390000</v>
          </cell>
        </row>
        <row r="238">
          <cell r="A238" t="str">
            <v>8379412631532</v>
          </cell>
          <cell r="Z238">
            <v>1390000</v>
          </cell>
        </row>
        <row r="239">
          <cell r="A239" t="str">
            <v>5769880382631</v>
          </cell>
          <cell r="Z239">
            <v>1390000</v>
          </cell>
        </row>
        <row r="240">
          <cell r="A240" t="str">
            <v>7012383893103</v>
          </cell>
          <cell r="Z240">
            <v>1390000</v>
          </cell>
        </row>
        <row r="241">
          <cell r="A241" t="str">
            <v>7834265935875</v>
          </cell>
          <cell r="Z241">
            <v>2590000</v>
          </cell>
        </row>
        <row r="242">
          <cell r="A242" t="str">
            <v>6945234082603</v>
          </cell>
          <cell r="Z242">
            <v>2590000</v>
          </cell>
        </row>
        <row r="243">
          <cell r="A243" t="str">
            <v>2347879473206</v>
          </cell>
          <cell r="Z243">
            <v>2590000</v>
          </cell>
        </row>
        <row r="244">
          <cell r="A244" t="str">
            <v>3651271189801</v>
          </cell>
          <cell r="Z244">
            <v>2590000</v>
          </cell>
        </row>
        <row r="245">
          <cell r="A245" t="str">
            <v>7153983987400</v>
          </cell>
          <cell r="Z245">
            <v>2590000</v>
          </cell>
        </row>
        <row r="246">
          <cell r="A246" t="str">
            <v>3648207991775</v>
          </cell>
          <cell r="Z246">
            <v>2790000</v>
          </cell>
        </row>
        <row r="247">
          <cell r="A247" t="str">
            <v>9609842522407</v>
          </cell>
          <cell r="Z247">
            <v>2790000</v>
          </cell>
        </row>
        <row r="248">
          <cell r="A248" t="str">
            <v>8057400343000</v>
          </cell>
          <cell r="Z248">
            <v>2790000</v>
          </cell>
        </row>
        <row r="249">
          <cell r="A249" t="str">
            <v>5200650171135</v>
          </cell>
          <cell r="Z249">
            <v>2790000</v>
          </cell>
        </row>
        <row r="250">
          <cell r="A250" t="str">
            <v>3091967685970</v>
          </cell>
          <cell r="Z250">
            <v>2790000</v>
          </cell>
        </row>
        <row r="251">
          <cell r="A251" t="str">
            <v>7745629125378</v>
          </cell>
          <cell r="Z251">
            <v>2790000</v>
          </cell>
        </row>
        <row r="252">
          <cell r="A252" t="str">
            <v>8428227224900</v>
          </cell>
          <cell r="Z252">
            <v>2790000</v>
          </cell>
        </row>
        <row r="253">
          <cell r="A253" t="str">
            <v>7059063446204</v>
          </cell>
          <cell r="Z253">
            <v>1190000</v>
          </cell>
        </row>
        <row r="254">
          <cell r="A254" t="str">
            <v>8559868237001</v>
          </cell>
          <cell r="Z254">
            <v>790000</v>
          </cell>
        </row>
        <row r="255">
          <cell r="A255" t="str">
            <v>6533327457706</v>
          </cell>
          <cell r="Z255">
            <v>1590000</v>
          </cell>
        </row>
        <row r="256">
          <cell r="A256" t="str">
            <v>6803235779536</v>
          </cell>
          <cell r="Z256">
            <v>1590000</v>
          </cell>
        </row>
        <row r="257">
          <cell r="A257" t="str">
            <v>8052793069209</v>
          </cell>
          <cell r="Z257">
            <v>1590000</v>
          </cell>
        </row>
        <row r="258">
          <cell r="A258" t="str">
            <v>5625500674633</v>
          </cell>
          <cell r="Z258">
            <v>1690000</v>
          </cell>
        </row>
        <row r="259">
          <cell r="A259" t="str">
            <v>8793105794173</v>
          </cell>
          <cell r="Z259">
            <v>1690000</v>
          </cell>
        </row>
        <row r="260">
          <cell r="A260" t="str">
            <v>7498196786076</v>
          </cell>
          <cell r="Z260">
            <v>590000</v>
          </cell>
        </row>
        <row r="261">
          <cell r="A261" t="str">
            <v>8926113737478</v>
          </cell>
          <cell r="Z261">
            <v>590000</v>
          </cell>
        </row>
        <row r="262">
          <cell r="A262" t="str">
            <v>7559084999036</v>
          </cell>
          <cell r="Z262">
            <v>590000</v>
          </cell>
        </row>
        <row r="263">
          <cell r="A263" t="str">
            <v>8917333165431</v>
          </cell>
          <cell r="Z263">
            <v>590000</v>
          </cell>
        </row>
        <row r="264">
          <cell r="A264" t="str">
            <v>1470176402004</v>
          </cell>
          <cell r="Z264">
            <v>590000</v>
          </cell>
        </row>
        <row r="265">
          <cell r="A265" t="str">
            <v>7201849363575</v>
          </cell>
          <cell r="Z265">
            <v>590000</v>
          </cell>
        </row>
        <row r="266">
          <cell r="A266" t="str">
            <v>2586322135104</v>
          </cell>
          <cell r="Z266">
            <v>1190000</v>
          </cell>
        </row>
        <row r="267">
          <cell r="A267" t="str">
            <v>4014239086533</v>
          </cell>
          <cell r="Z267">
            <v>1190000</v>
          </cell>
        </row>
        <row r="268">
          <cell r="A268" t="str">
            <v>2647210348102</v>
          </cell>
          <cell r="Z268">
            <v>1190000</v>
          </cell>
        </row>
        <row r="269">
          <cell r="A269" t="str">
            <v>8254416421375</v>
          </cell>
          <cell r="Z269">
            <v>1190000</v>
          </cell>
        </row>
        <row r="270">
          <cell r="A270" t="str">
            <v>1653056442677</v>
          </cell>
          <cell r="Z270">
            <v>890000</v>
          </cell>
        </row>
        <row r="271">
          <cell r="A271" t="str">
            <v>7267326091331</v>
          </cell>
          <cell r="Z271">
            <v>1650000</v>
          </cell>
        </row>
        <row r="272">
          <cell r="A272" t="str">
            <v>7987594206878</v>
          </cell>
          <cell r="Z272">
            <v>1650000</v>
          </cell>
        </row>
        <row r="273">
          <cell r="A273" t="str">
            <v>6316532359238</v>
          </cell>
          <cell r="Z273">
            <v>1650000</v>
          </cell>
        </row>
        <row r="274">
          <cell r="A274" t="str">
            <v>6397482001804</v>
          </cell>
          <cell r="Z274">
            <v>1650000</v>
          </cell>
        </row>
        <row r="275">
          <cell r="A275" t="str">
            <v>7452739522279</v>
          </cell>
          <cell r="Z275">
            <v>1650000</v>
          </cell>
        </row>
        <row r="276">
          <cell r="A276" t="str">
            <v>3577026351203</v>
          </cell>
          <cell r="Z276">
            <v>810000</v>
          </cell>
        </row>
        <row r="277">
          <cell r="A277" t="str">
            <v>6060200822776</v>
          </cell>
          <cell r="Z277">
            <v>810000</v>
          </cell>
        </row>
        <row r="278">
          <cell r="A278" t="str">
            <v>7674447484209</v>
          </cell>
          <cell r="Z278">
            <v>810000</v>
          </cell>
        </row>
        <row r="279">
          <cell r="A279" t="str">
            <v>6121089025730</v>
          </cell>
          <cell r="Z279">
            <v>810000</v>
          </cell>
        </row>
        <row r="280">
          <cell r="A280" t="str">
            <v>6121089025730</v>
          </cell>
          <cell r="Z280">
            <v>810000</v>
          </cell>
        </row>
        <row r="281">
          <cell r="A281" t="str">
            <v>4629506726021</v>
          </cell>
          <cell r="Z281">
            <v>790000</v>
          </cell>
        </row>
        <row r="282">
          <cell r="A282" t="str">
            <v>1485050713725</v>
          </cell>
          <cell r="Z282">
            <v>790000</v>
          </cell>
        </row>
        <row r="283">
          <cell r="A283" t="str">
            <v>3936525406881</v>
          </cell>
          <cell r="Z283">
            <v>790000</v>
          </cell>
        </row>
        <row r="284">
          <cell r="A284" t="str">
            <v>5545749205828</v>
          </cell>
          <cell r="Z284">
            <v>790000</v>
          </cell>
        </row>
        <row r="285">
          <cell r="A285" t="str">
            <v>2489271565865</v>
          </cell>
          <cell r="Z285">
            <v>790000</v>
          </cell>
        </row>
        <row r="286">
          <cell r="A286" t="str">
            <v>8888132387273</v>
          </cell>
          <cell r="Z286">
            <v>1090000</v>
          </cell>
        </row>
        <row r="287">
          <cell r="A287" t="str">
            <v>2279922380233</v>
          </cell>
          <cell r="Z287">
            <v>1090000</v>
          </cell>
        </row>
        <row r="288">
          <cell r="A288" t="str">
            <v>5820263708674</v>
          </cell>
          <cell r="Z288">
            <v>1090000</v>
          </cell>
        </row>
        <row r="289">
          <cell r="A289" t="str">
            <v>1831840541076</v>
          </cell>
          <cell r="Z289">
            <v>1790000</v>
          </cell>
        </row>
        <row r="290">
          <cell r="A290" t="str">
            <v>3259757482479</v>
          </cell>
          <cell r="Z290">
            <v>1790000</v>
          </cell>
        </row>
        <row r="291">
          <cell r="A291" t="str">
            <v>1892728744033</v>
          </cell>
          <cell r="Z291">
            <v>1790000</v>
          </cell>
        </row>
        <row r="292">
          <cell r="A292" t="str">
            <v>3506975405439</v>
          </cell>
          <cell r="Z292">
            <v>1790000</v>
          </cell>
        </row>
        <row r="293">
          <cell r="A293" t="str">
            <v>5803820166933</v>
          </cell>
          <cell r="Z293">
            <v>1790000</v>
          </cell>
        </row>
        <row r="294">
          <cell r="A294" t="str">
            <v>8023785948505</v>
          </cell>
          <cell r="Z294">
            <v>1190000</v>
          </cell>
        </row>
        <row r="295">
          <cell r="A295" t="str">
            <v>1934877361508</v>
          </cell>
          <cell r="Z295">
            <v>1190000</v>
          </cell>
        </row>
        <row r="296">
          <cell r="A296" t="str">
            <v>3549124022903</v>
          </cell>
          <cell r="Z296">
            <v>1190000</v>
          </cell>
        </row>
        <row r="297">
          <cell r="A297" t="str">
            <v>4413470461633</v>
          </cell>
          <cell r="Z297">
            <v>850000</v>
          </cell>
        </row>
        <row r="298">
          <cell r="A298" t="str">
            <v>5841387403030</v>
          </cell>
          <cell r="Z298">
            <v>850000</v>
          </cell>
        </row>
        <row r="299">
          <cell r="A299" t="str">
            <v>9627385810478</v>
          </cell>
          <cell r="Z299">
            <v>850000</v>
          </cell>
        </row>
        <row r="300">
          <cell r="A300" t="str">
            <v>8883551016001</v>
          </cell>
          <cell r="Z300">
            <v>1190000</v>
          </cell>
        </row>
        <row r="301">
          <cell r="A301" t="str">
            <v>1180395777400</v>
          </cell>
          <cell r="Z301">
            <v>1190000</v>
          </cell>
        </row>
        <row r="302">
          <cell r="A302" t="str">
            <v>8688802901378</v>
          </cell>
          <cell r="Z302">
            <v>990000</v>
          </cell>
        </row>
        <row r="303">
          <cell r="A303" t="str">
            <v>4584625542320</v>
          </cell>
          <cell r="Z303">
            <v>990000</v>
          </cell>
        </row>
        <row r="304">
          <cell r="A304" t="str">
            <v>2794642438830</v>
          </cell>
          <cell r="Z304">
            <v>990000</v>
          </cell>
        </row>
        <row r="305">
          <cell r="A305" t="str">
            <v>9142761368409</v>
          </cell>
          <cell r="Z305">
            <v>990000</v>
          </cell>
        </row>
        <row r="306">
          <cell r="A306" t="str">
            <v>4485643566841</v>
          </cell>
          <cell r="Z306">
            <v>990000</v>
          </cell>
        </row>
        <row r="307">
          <cell r="A307" t="str">
            <v>6705733841800</v>
          </cell>
          <cell r="Z307">
            <v>990000</v>
          </cell>
        </row>
        <row r="308">
          <cell r="A308" t="str">
            <v>4089505972131</v>
          </cell>
          <cell r="Z308">
            <v>950000</v>
          </cell>
        </row>
        <row r="309">
          <cell r="A309" t="str">
            <v>8128787721207</v>
          </cell>
          <cell r="Z309">
            <v>950000</v>
          </cell>
        </row>
        <row r="310">
          <cell r="A310" t="str">
            <v>3219661892603</v>
          </cell>
          <cell r="Z310">
            <v>950000</v>
          </cell>
        </row>
        <row r="311">
          <cell r="A311" t="str">
            <v>6387267003079</v>
          </cell>
          <cell r="Z311">
            <v>950000</v>
          </cell>
        </row>
        <row r="312">
          <cell r="A312" t="str">
            <v>3531829327421</v>
          </cell>
          <cell r="Z312">
            <v>790000</v>
          </cell>
        </row>
        <row r="313">
          <cell r="A313" t="str">
            <v>8177673860841</v>
          </cell>
          <cell r="Z313">
            <v>790000</v>
          </cell>
        </row>
        <row r="314">
          <cell r="A314" t="str">
            <v>8371987707674</v>
          </cell>
          <cell r="Z314">
            <v>790000</v>
          </cell>
        </row>
        <row r="315">
          <cell r="A315" t="str">
            <v>3035739072537</v>
          </cell>
          <cell r="Z315">
            <v>790000</v>
          </cell>
        </row>
        <row r="316">
          <cell r="A316" t="str">
            <v>1854747393937</v>
          </cell>
          <cell r="Z316">
            <v>790000</v>
          </cell>
        </row>
        <row r="317">
          <cell r="A317" t="str">
            <v>6766622054770</v>
          </cell>
          <cell r="Z317">
            <v>710000</v>
          </cell>
        </row>
        <row r="318">
          <cell r="A318" t="str">
            <v>2044742206175</v>
          </cell>
          <cell r="Z318">
            <v>710000</v>
          </cell>
        </row>
        <row r="319">
          <cell r="A319" t="str">
            <v>7626628537839</v>
          </cell>
          <cell r="Z319">
            <v>710000</v>
          </cell>
        </row>
        <row r="320">
          <cell r="A320" t="str">
            <v>2291960129230</v>
          </cell>
          <cell r="Z320">
            <v>710000</v>
          </cell>
        </row>
        <row r="321">
          <cell r="A321" t="str">
            <v>2867796694237</v>
          </cell>
          <cell r="Z321">
            <v>790000</v>
          </cell>
        </row>
        <row r="322">
          <cell r="A322" t="str">
            <v>4171365204054</v>
          </cell>
          <cell r="Z322">
            <v>790000</v>
          </cell>
        </row>
        <row r="323">
          <cell r="A323" t="str">
            <v>2842280395234</v>
          </cell>
          <cell r="Z323">
            <v>790000</v>
          </cell>
        </row>
        <row r="324">
          <cell r="A324" t="str">
            <v>4258784358633</v>
          </cell>
          <cell r="Z324">
            <v>790000</v>
          </cell>
        </row>
        <row r="325">
          <cell r="A325" t="str">
            <v>5825854820339</v>
          </cell>
          <cell r="Z325">
            <v>790000</v>
          </cell>
        </row>
        <row r="326">
          <cell r="A326" t="str">
            <v>6499322271436</v>
          </cell>
          <cell r="Z326">
            <v>790000</v>
          </cell>
        </row>
        <row r="327">
          <cell r="A327" t="str">
            <v>3326219517076</v>
          </cell>
          <cell r="Z327">
            <v>790000</v>
          </cell>
        </row>
        <row r="328">
          <cell r="A328" t="str">
            <v>7132867555331</v>
          </cell>
          <cell r="Z328">
            <v>710000</v>
          </cell>
        </row>
        <row r="329">
          <cell r="A329" t="str">
            <v>8747114216737</v>
          </cell>
          <cell r="Z329">
            <v>710000</v>
          </cell>
        </row>
        <row r="330">
          <cell r="A330" t="str">
            <v>3390329278172</v>
          </cell>
          <cell r="Z330">
            <v>710000</v>
          </cell>
        </row>
        <row r="331">
          <cell r="A331" t="str">
            <v>8039130364814</v>
          </cell>
          <cell r="Z331">
            <v>710000</v>
          </cell>
        </row>
        <row r="332">
          <cell r="A332" t="str">
            <v>9071211109708</v>
          </cell>
          <cell r="Z332">
            <v>710000</v>
          </cell>
        </row>
        <row r="333">
          <cell r="A333" t="str">
            <v>7689151946233</v>
          </cell>
          <cell r="Z333">
            <v>710000</v>
          </cell>
        </row>
        <row r="334">
          <cell r="A334" t="str">
            <v>8229847701433</v>
          </cell>
          <cell r="Z334">
            <v>710000</v>
          </cell>
        </row>
        <row r="335">
          <cell r="A335" t="str">
            <v>1957358222839</v>
          </cell>
          <cell r="Z335">
            <v>710000</v>
          </cell>
        </row>
        <row r="336">
          <cell r="A336" t="str">
            <v>4140673044232</v>
          </cell>
          <cell r="Z336">
            <v>750000</v>
          </cell>
        </row>
        <row r="337">
          <cell r="A337" t="str">
            <v>4886908165807</v>
          </cell>
          <cell r="Z337">
            <v>750000</v>
          </cell>
        </row>
        <row r="338">
          <cell r="A338" t="str">
            <v>4201561247200</v>
          </cell>
          <cell r="Z338">
            <v>750000</v>
          </cell>
        </row>
        <row r="339">
          <cell r="A339" t="str">
            <v>7929071778638</v>
          </cell>
          <cell r="Z339">
            <v>750000</v>
          </cell>
        </row>
        <row r="340">
          <cell r="A340" t="str">
            <v>1782940083730</v>
          </cell>
          <cell r="Z340">
            <v>790000</v>
          </cell>
        </row>
        <row r="341">
          <cell r="A341" t="str">
            <v>3507684375136</v>
          </cell>
          <cell r="Z341">
            <v>790000</v>
          </cell>
        </row>
        <row r="342">
          <cell r="A342" t="str">
            <v>4023478006578</v>
          </cell>
          <cell r="Z342">
            <v>790000</v>
          </cell>
        </row>
        <row r="343">
          <cell r="A343" t="str">
            <v>9908044118105</v>
          </cell>
          <cell r="Z343">
            <v>790000</v>
          </cell>
        </row>
        <row r="344">
          <cell r="A344" t="str">
            <v>5096558839501</v>
          </cell>
          <cell r="Z344">
            <v>790000</v>
          </cell>
        </row>
        <row r="345">
          <cell r="A345" t="str">
            <v>9047954836300</v>
          </cell>
          <cell r="Z345">
            <v>710000</v>
          </cell>
        </row>
        <row r="346">
          <cell r="A346" t="str">
            <v>1036704952177</v>
          </cell>
          <cell r="Z346">
            <v>710000</v>
          </cell>
        </row>
        <row r="347">
          <cell r="A347" t="str">
            <v>4459030335808</v>
          </cell>
          <cell r="Z347">
            <v>790000</v>
          </cell>
        </row>
        <row r="348">
          <cell r="A348" t="str">
            <v>8682809245503</v>
          </cell>
          <cell r="Z348">
            <v>790000</v>
          </cell>
        </row>
        <row r="349">
          <cell r="A349" t="str">
            <v>3775515965034</v>
          </cell>
          <cell r="Z349">
            <v>790000</v>
          </cell>
        </row>
        <row r="350">
          <cell r="A350" t="str">
            <v>8870971506137</v>
          </cell>
          <cell r="Z350">
            <v>790000</v>
          </cell>
        </row>
        <row r="351">
          <cell r="A351" t="str">
            <v>3942437544870</v>
          </cell>
          <cell r="Z351">
            <v>890000</v>
          </cell>
        </row>
        <row r="352">
          <cell r="A352" t="str">
            <v>4129683535176</v>
          </cell>
          <cell r="Z352">
            <v>890000</v>
          </cell>
        </row>
        <row r="353">
          <cell r="A353" t="str">
            <v>5558516755631</v>
          </cell>
          <cell r="Z353">
            <v>890000</v>
          </cell>
        </row>
        <row r="354">
          <cell r="A354" t="str">
            <v>1311825206706</v>
          </cell>
          <cell r="Z354">
            <v>1090000</v>
          </cell>
        </row>
        <row r="355">
          <cell r="A355" t="str">
            <v>3450589468079</v>
          </cell>
          <cell r="Z355">
            <v>1090000</v>
          </cell>
        </row>
        <row r="356">
          <cell r="A356" t="str">
            <v>4167659099475</v>
          </cell>
          <cell r="Z356">
            <v>1090000</v>
          </cell>
        </row>
        <row r="357">
          <cell r="A357" t="str">
            <v>9699411091038</v>
          </cell>
          <cell r="Z357">
            <v>1090000</v>
          </cell>
        </row>
        <row r="358">
          <cell r="A358" t="str">
            <v>8827734462438</v>
          </cell>
          <cell r="Z358">
            <v>1090000</v>
          </cell>
        </row>
        <row r="359">
          <cell r="A359" t="str">
            <v>2741574703871</v>
          </cell>
          <cell r="Z359">
            <v>1090000</v>
          </cell>
        </row>
        <row r="360">
          <cell r="A360" t="str">
            <v>1068272385279</v>
          </cell>
          <cell r="Z360">
            <v>1090000</v>
          </cell>
        </row>
        <row r="361">
          <cell r="A361" t="str">
            <v>4982112626674</v>
          </cell>
          <cell r="Z361">
            <v>1090000</v>
          </cell>
        </row>
        <row r="362">
          <cell r="A362" t="str">
            <v>4110435998073</v>
          </cell>
          <cell r="Z362">
            <v>1090000</v>
          </cell>
        </row>
        <row r="363">
          <cell r="A363" t="str">
            <v>7837946519470</v>
          </cell>
          <cell r="Z363">
            <v>1090000</v>
          </cell>
        </row>
        <row r="364">
          <cell r="A364" t="str">
            <v>6029123671106</v>
          </cell>
          <cell r="Z364">
            <v>1290000</v>
          </cell>
        </row>
        <row r="365">
          <cell r="A365" t="str">
            <v>9071287283906</v>
          </cell>
          <cell r="Z365">
            <v>1290000</v>
          </cell>
        </row>
        <row r="366">
          <cell r="A366" t="str">
            <v>3369698511036</v>
          </cell>
          <cell r="Z366">
            <v>590000</v>
          </cell>
        </row>
        <row r="367">
          <cell r="A367" t="str">
            <v>9703076192600</v>
          </cell>
          <cell r="Z367">
            <v>590000</v>
          </cell>
        </row>
        <row r="368">
          <cell r="A368" t="str">
            <v>3430586714003</v>
          </cell>
          <cell r="Z368">
            <v>590000</v>
          </cell>
        </row>
        <row r="369">
          <cell r="A369" t="str">
            <v>8713288249635</v>
          </cell>
          <cell r="Z369">
            <v>590000</v>
          </cell>
        </row>
        <row r="370">
          <cell r="A370" t="str">
            <v>4058710521205</v>
          </cell>
          <cell r="Z370">
            <v>590000</v>
          </cell>
        </row>
        <row r="371">
          <cell r="A371" t="str">
            <v>3373363602608</v>
          </cell>
          <cell r="Z371">
            <v>590000</v>
          </cell>
        </row>
        <row r="372">
          <cell r="A372" t="str">
            <v>4703341009645</v>
          </cell>
          <cell r="Z372">
            <v>650000</v>
          </cell>
        </row>
        <row r="373">
          <cell r="A373" t="str">
            <v>4129341975047</v>
          </cell>
          <cell r="Z373">
            <v>590000</v>
          </cell>
        </row>
        <row r="374">
          <cell r="A374" t="str">
            <v>1866701161568</v>
          </cell>
          <cell r="Z374">
            <v>590000</v>
          </cell>
        </row>
        <row r="375">
          <cell r="A375" t="str">
            <v>4305928444179</v>
          </cell>
          <cell r="Z375">
            <v>590000</v>
          </cell>
        </row>
        <row r="376">
          <cell r="A376" t="str">
            <v>9651350725733</v>
          </cell>
          <cell r="Z376">
            <v>590000</v>
          </cell>
        </row>
        <row r="377">
          <cell r="A377" t="str">
            <v>3565190967139</v>
          </cell>
          <cell r="Z377">
            <v>590000</v>
          </cell>
        </row>
        <row r="378">
          <cell r="A378" t="str">
            <v>2693514338530</v>
          </cell>
          <cell r="Z378">
            <v>590000</v>
          </cell>
        </row>
        <row r="379">
          <cell r="A379" t="str">
            <v>6431140607424</v>
          </cell>
          <cell r="Z379">
            <v>790000</v>
          </cell>
        </row>
        <row r="380">
          <cell r="A380" t="str">
            <v>6738175042528</v>
          </cell>
          <cell r="Z380">
            <v>790000</v>
          </cell>
        </row>
        <row r="381">
          <cell r="A381" t="str">
            <v>6421024869932</v>
          </cell>
          <cell r="Z381">
            <v>790000</v>
          </cell>
        </row>
        <row r="382">
          <cell r="A382" t="str">
            <v>8586003880365</v>
          </cell>
          <cell r="Z382">
            <v>790000</v>
          </cell>
        </row>
        <row r="383">
          <cell r="A383" t="str">
            <v>6314392668019</v>
          </cell>
          <cell r="Z383">
            <v>790000</v>
          </cell>
        </row>
        <row r="384">
          <cell r="A384" t="str">
            <v>5447676958702</v>
          </cell>
          <cell r="Z384">
            <v>590000</v>
          </cell>
        </row>
        <row r="385">
          <cell r="A385" t="str">
            <v>2638024179273</v>
          </cell>
          <cell r="Z385">
            <v>590000</v>
          </cell>
        </row>
        <row r="386">
          <cell r="A386" t="str">
            <v>8283477742662</v>
          </cell>
          <cell r="Z386">
            <v>550000</v>
          </cell>
        </row>
        <row r="387">
          <cell r="A387" t="str">
            <v>8606975392687</v>
          </cell>
          <cell r="Z387">
            <v>550000</v>
          </cell>
        </row>
        <row r="388">
          <cell r="A388" t="str">
            <v>3015914796113</v>
          </cell>
          <cell r="Z388">
            <v>550000</v>
          </cell>
        </row>
        <row r="389">
          <cell r="A389" t="str">
            <v>4477309712259</v>
          </cell>
          <cell r="Z389">
            <v>550000</v>
          </cell>
        </row>
        <row r="390">
          <cell r="A390" t="str">
            <v>4461377197179</v>
          </cell>
          <cell r="Z390">
            <v>550000</v>
          </cell>
        </row>
        <row r="391">
          <cell r="A391" t="str">
            <v>8747646349439</v>
          </cell>
          <cell r="Z391">
            <v>790000</v>
          </cell>
        </row>
        <row r="392">
          <cell r="A392" t="str">
            <v>1040317153234</v>
          </cell>
          <cell r="Z392">
            <v>790000</v>
          </cell>
        </row>
        <row r="393">
          <cell r="A393" t="str">
            <v>1972881994800</v>
          </cell>
          <cell r="Z393">
            <v>790000</v>
          </cell>
        </row>
        <row r="394">
          <cell r="A394" t="str">
            <v>7877802259904</v>
          </cell>
          <cell r="Z394">
            <v>790000</v>
          </cell>
        </row>
        <row r="395">
          <cell r="A395" t="str">
            <v>2247515686505</v>
          </cell>
          <cell r="Z395">
            <v>790000</v>
          </cell>
        </row>
        <row r="396">
          <cell r="A396" t="str">
            <v>7504633996332</v>
          </cell>
          <cell r="Z396">
            <v>790000</v>
          </cell>
        </row>
        <row r="397">
          <cell r="A397" t="str">
            <v>4017927461506</v>
          </cell>
          <cell r="Z397">
            <v>710000</v>
          </cell>
        </row>
        <row r="398">
          <cell r="A398" t="str">
            <v>3332580542906</v>
          </cell>
          <cell r="Z398">
            <v>710000</v>
          </cell>
        </row>
        <row r="399">
          <cell r="A399" t="str">
            <v>7060091064308</v>
          </cell>
          <cell r="Z399">
            <v>710000</v>
          </cell>
        </row>
        <row r="400">
          <cell r="A400" t="str">
            <v>6950086552198</v>
          </cell>
          <cell r="Z400">
            <v>750000</v>
          </cell>
        </row>
        <row r="401">
          <cell r="A401" t="str">
            <v>7336357676142</v>
          </cell>
          <cell r="Z401">
            <v>750000</v>
          </cell>
        </row>
        <row r="402">
          <cell r="A402" t="str">
            <v>5697266319899</v>
          </cell>
          <cell r="Z402">
            <v>750000</v>
          </cell>
        </row>
        <row r="403">
          <cell r="A403" t="str">
            <v>7667314482620</v>
          </cell>
          <cell r="Z403">
            <v>750000</v>
          </cell>
        </row>
        <row r="404">
          <cell r="A404" t="str">
            <v>7382526129506</v>
          </cell>
          <cell r="Z404">
            <v>750000</v>
          </cell>
        </row>
        <row r="405">
          <cell r="A405" t="str">
            <v>2662478839032</v>
          </cell>
          <cell r="Z405">
            <v>750000</v>
          </cell>
        </row>
        <row r="406">
          <cell r="A406" t="str">
            <v>3343244388570</v>
          </cell>
          <cell r="Z406">
            <v>750000</v>
          </cell>
        </row>
        <row r="407">
          <cell r="A407" t="str">
            <v>2102573429979</v>
          </cell>
          <cell r="Z407">
            <v>750000</v>
          </cell>
        </row>
        <row r="408">
          <cell r="A408" t="str">
            <v>9866948325107</v>
          </cell>
          <cell r="Z408">
            <v>790000</v>
          </cell>
        </row>
        <row r="409">
          <cell r="A409" t="str">
            <v>8193646006504</v>
          </cell>
          <cell r="Z409">
            <v>790000</v>
          </cell>
        </row>
        <row r="410">
          <cell r="A410" t="str">
            <v>2107486247900</v>
          </cell>
          <cell r="Z410">
            <v>790000</v>
          </cell>
        </row>
        <row r="411">
          <cell r="A411" t="str">
            <v>4235751366242</v>
          </cell>
          <cell r="Z411">
            <v>710000</v>
          </cell>
        </row>
        <row r="412">
          <cell r="A412" t="str">
            <v>1232144517772</v>
          </cell>
          <cell r="Z412">
            <v>710000</v>
          </cell>
        </row>
        <row r="413">
          <cell r="A413" t="str">
            <v>9267457489173</v>
          </cell>
          <cell r="Z413">
            <v>710000</v>
          </cell>
        </row>
        <row r="414">
          <cell r="A414" t="str">
            <v>3309727419902</v>
          </cell>
          <cell r="Z414">
            <v>710000</v>
          </cell>
        </row>
        <row r="415">
          <cell r="A415" t="str">
            <v>9806060112131</v>
          </cell>
          <cell r="Z415">
            <v>710000</v>
          </cell>
        </row>
        <row r="416">
          <cell r="A416" t="str">
            <v>5757429725278</v>
          </cell>
          <cell r="Z416">
            <v>990000</v>
          </cell>
        </row>
        <row r="417">
          <cell r="A417" t="str">
            <v>6087712336805</v>
          </cell>
          <cell r="Z417">
            <v>990000</v>
          </cell>
        </row>
        <row r="418">
          <cell r="A418" t="str">
            <v>7020277178403</v>
          </cell>
          <cell r="Z418">
            <v>990000</v>
          </cell>
        </row>
        <row r="419">
          <cell r="A419" t="str">
            <v>6148600549803</v>
          </cell>
          <cell r="Z419">
            <v>990000</v>
          </cell>
        </row>
        <row r="420">
          <cell r="A420" t="str">
            <v>8093358001333</v>
          </cell>
          <cell r="Z420">
            <v>990000</v>
          </cell>
        </row>
        <row r="421">
          <cell r="A421" t="str">
            <v>8254534219472</v>
          </cell>
          <cell r="Z421">
            <v>890000</v>
          </cell>
        </row>
        <row r="422">
          <cell r="A422" t="str">
            <v>4216837445907</v>
          </cell>
          <cell r="Z422">
            <v>890000</v>
          </cell>
        </row>
        <row r="423">
          <cell r="A423" t="str">
            <v>7513796732435</v>
          </cell>
          <cell r="Z423">
            <v>890000</v>
          </cell>
        </row>
        <row r="424">
          <cell r="A424" t="str">
            <v>8359558161339</v>
          </cell>
          <cell r="Z424">
            <v>1590000</v>
          </cell>
        </row>
        <row r="425">
          <cell r="A425" t="str">
            <v>4795369602571</v>
          </cell>
          <cell r="Z425">
            <v>1590000</v>
          </cell>
        </row>
        <row r="426">
          <cell r="A426" t="str">
            <v>1276875050108</v>
          </cell>
          <cell r="Z426">
            <v>1590000</v>
          </cell>
        </row>
        <row r="427">
          <cell r="A427" t="str">
            <v>4247693093964</v>
          </cell>
          <cell r="Z427">
            <v>690000</v>
          </cell>
        </row>
        <row r="428">
          <cell r="A428" t="str">
            <v>5880473546237</v>
          </cell>
          <cell r="Z428">
            <v>1390000</v>
          </cell>
        </row>
        <row r="429">
          <cell r="A429" t="str">
            <v>6869345215937</v>
          </cell>
          <cell r="Z429">
            <v>1390000</v>
          </cell>
        </row>
        <row r="430">
          <cell r="A430" t="str">
            <v>5626841705475</v>
          </cell>
          <cell r="Z430">
            <v>1390000</v>
          </cell>
        </row>
        <row r="431">
          <cell r="A431" t="str">
            <v>2029354056578</v>
          </cell>
          <cell r="Z431">
            <v>1390000</v>
          </cell>
        </row>
        <row r="432">
          <cell r="A432" t="str">
            <v>1346755967038</v>
          </cell>
          <cell r="Z432">
            <v>1390000</v>
          </cell>
        </row>
        <row r="433">
          <cell r="A433" t="str">
            <v>6373635888409</v>
          </cell>
          <cell r="Z433">
            <v>1390000</v>
          </cell>
        </row>
        <row r="434">
          <cell r="A434" t="str">
            <v>7300301614504</v>
          </cell>
          <cell r="Z434">
            <v>1190000</v>
          </cell>
        </row>
        <row r="435">
          <cell r="A435" t="str">
            <v>6057798104032</v>
          </cell>
          <cell r="Z435">
            <v>1190000</v>
          </cell>
        </row>
        <row r="436">
          <cell r="A436" t="str">
            <v>4815294593574</v>
          </cell>
          <cell r="Z436">
            <v>1190000</v>
          </cell>
        </row>
        <row r="437">
          <cell r="A437" t="str">
            <v>6175020296703</v>
          </cell>
          <cell r="Z437">
            <v>1190000</v>
          </cell>
        </row>
        <row r="438">
          <cell r="A438" t="str">
            <v>4479630546237</v>
          </cell>
          <cell r="Z438">
            <v>1190000</v>
          </cell>
        </row>
        <row r="439">
          <cell r="A439" t="str">
            <v>1764911675779</v>
          </cell>
          <cell r="Z439">
            <v>1190000</v>
          </cell>
        </row>
        <row r="440">
          <cell r="A440" t="str">
            <v>9998563068500</v>
          </cell>
          <cell r="Z440">
            <v>990000</v>
          </cell>
        </row>
        <row r="441">
          <cell r="A441" t="str">
            <v>2283391711139</v>
          </cell>
          <cell r="Z441">
            <v>990000</v>
          </cell>
        </row>
        <row r="442">
          <cell r="A442" t="str">
            <v>9354758041305</v>
          </cell>
          <cell r="Z442">
            <v>990000</v>
          </cell>
        </row>
        <row r="443">
          <cell r="A443" t="str">
            <v>3578536951600</v>
          </cell>
          <cell r="Z443">
            <v>990000</v>
          </cell>
        </row>
        <row r="444">
          <cell r="A444" t="str">
            <v>8232034690373</v>
          </cell>
          <cell r="Z444">
            <v>1390000</v>
          </cell>
        </row>
        <row r="445">
          <cell r="A445" t="str">
            <v>5315816629778</v>
          </cell>
          <cell r="Z445">
            <v>1390000</v>
          </cell>
        </row>
        <row r="446">
          <cell r="A446" t="str">
            <v>7331485307630</v>
          </cell>
          <cell r="Z446">
            <v>1290000</v>
          </cell>
        </row>
        <row r="447">
          <cell r="A447" t="str">
            <v>4164796466832</v>
          </cell>
          <cell r="Z447">
            <v>1290000</v>
          </cell>
        </row>
        <row r="448">
          <cell r="A448" t="str">
            <v>9295259159727</v>
          </cell>
          <cell r="Z448">
            <v>1290000</v>
          </cell>
        </row>
        <row r="449">
          <cell r="A449" t="str">
            <v>1113470118409</v>
          </cell>
          <cell r="Z449">
            <v>950000</v>
          </cell>
        </row>
        <row r="450">
          <cell r="A450" t="str">
            <v>8573988818100</v>
          </cell>
          <cell r="Z450">
            <v>950000</v>
          </cell>
        </row>
        <row r="451">
          <cell r="A451" t="str">
            <v>3006148931807</v>
          </cell>
          <cell r="Z451">
            <v>1190000</v>
          </cell>
        </row>
        <row r="452">
          <cell r="A452" t="str">
            <v>6733659463400</v>
          </cell>
          <cell r="Z452">
            <v>1190000</v>
          </cell>
        </row>
        <row r="453">
          <cell r="A453" t="str">
            <v>3067037134808</v>
          </cell>
          <cell r="Z453">
            <v>1190000</v>
          </cell>
        </row>
        <row r="454">
          <cell r="A454" t="str">
            <v>3999601976333</v>
          </cell>
          <cell r="Z454">
            <v>1190000</v>
          </cell>
        </row>
        <row r="455">
          <cell r="A455" t="str">
            <v>2326299667778</v>
          </cell>
          <cell r="Z455">
            <v>1190000</v>
          </cell>
        </row>
        <row r="456">
          <cell r="A456" t="str">
            <v>2740605533630</v>
          </cell>
          <cell r="Z456">
            <v>590000</v>
          </cell>
        </row>
        <row r="457">
          <cell r="A457" t="str">
            <v>9575749248637</v>
          </cell>
          <cell r="Z457">
            <v>550000</v>
          </cell>
        </row>
        <row r="458">
          <cell r="A458" t="str">
            <v>6234895894770</v>
          </cell>
          <cell r="Z458">
            <v>550000</v>
          </cell>
        </row>
        <row r="459">
          <cell r="A459" t="str">
            <v>8210553046000</v>
          </cell>
          <cell r="Z459">
            <v>550000</v>
          </cell>
        </row>
        <row r="460">
          <cell r="A460" t="str">
            <v>8577360639406</v>
          </cell>
          <cell r="Z460">
            <v>790000</v>
          </cell>
        </row>
        <row r="461">
          <cell r="A461" t="str">
            <v>9501116921803</v>
          </cell>
          <cell r="Z461">
            <v>790000</v>
          </cell>
        </row>
        <row r="462">
          <cell r="A462" t="str">
            <v>5032868913333</v>
          </cell>
          <cell r="Z462">
            <v>790000</v>
          </cell>
        </row>
        <row r="463">
          <cell r="A463" t="str">
            <v>8760379444738</v>
          </cell>
          <cell r="Z463">
            <v>790000</v>
          </cell>
        </row>
        <row r="464">
          <cell r="A464" t="str">
            <v>7888702806136</v>
          </cell>
          <cell r="Z464">
            <v>790000</v>
          </cell>
        </row>
        <row r="465">
          <cell r="A465" t="str">
            <v>2940242406049</v>
          </cell>
          <cell r="Z465">
            <v>790000</v>
          </cell>
        </row>
        <row r="466">
          <cell r="A466" t="str">
            <v>3420454807708</v>
          </cell>
          <cell r="Z466">
            <v>790000</v>
          </cell>
        </row>
        <row r="467">
          <cell r="A467" t="str">
            <v>7334295049103</v>
          </cell>
          <cell r="Z467">
            <v>790000</v>
          </cell>
        </row>
        <row r="468">
          <cell r="A468" t="str">
            <v>9348134300704</v>
          </cell>
          <cell r="Z468">
            <v>790000</v>
          </cell>
        </row>
        <row r="469">
          <cell r="A469" t="str">
            <v>4413907842233</v>
          </cell>
          <cell r="Z469">
            <v>790000</v>
          </cell>
        </row>
        <row r="470">
          <cell r="A470" t="str">
            <v>7199690796034</v>
          </cell>
          <cell r="Z470">
            <v>1050000</v>
          </cell>
        </row>
        <row r="471">
          <cell r="A471" t="str">
            <v>5526388477432</v>
          </cell>
          <cell r="Z471">
            <v>1050000</v>
          </cell>
        </row>
        <row r="472">
          <cell r="A472" t="str">
            <v>2390831122179</v>
          </cell>
          <cell r="Z472">
            <v>1050000</v>
          </cell>
        </row>
        <row r="473">
          <cell r="A473" t="str">
            <v>1893668306671</v>
          </cell>
          <cell r="Z473">
            <v>710000</v>
          </cell>
        </row>
        <row r="474">
          <cell r="A474" t="str">
            <v>7689295228073</v>
          </cell>
          <cell r="Z474">
            <v>710000</v>
          </cell>
        </row>
        <row r="475">
          <cell r="A475" t="str">
            <v>7299978791208</v>
          </cell>
          <cell r="Z475">
            <v>710000</v>
          </cell>
        </row>
        <row r="476">
          <cell r="A476" t="str">
            <v>5813006182602</v>
          </cell>
          <cell r="Z476">
            <v>710000</v>
          </cell>
        </row>
        <row r="477">
          <cell r="A477" t="str">
            <v>9540516714004</v>
          </cell>
          <cell r="Z477">
            <v>710000</v>
          </cell>
        </row>
        <row r="478">
          <cell r="A478" t="str">
            <v>5873894395577</v>
          </cell>
          <cell r="Z478">
            <v>710000</v>
          </cell>
        </row>
        <row r="479">
          <cell r="A479" t="str">
            <v>1405646387130</v>
          </cell>
          <cell r="Z479">
            <v>710000</v>
          </cell>
        </row>
        <row r="480">
          <cell r="A480" t="str">
            <v>5146653459101</v>
          </cell>
          <cell r="Z480">
            <v>1050000</v>
          </cell>
        </row>
        <row r="481">
          <cell r="A481" t="str">
            <v>5194045121501</v>
          </cell>
          <cell r="Z481">
            <v>1050000</v>
          </cell>
        </row>
        <row r="482">
          <cell r="A482" t="str">
            <v>7138802583070</v>
          </cell>
          <cell r="Z482">
            <v>1050000</v>
          </cell>
        </row>
        <row r="483">
          <cell r="A483" t="str">
            <v>5219608154472</v>
          </cell>
          <cell r="Z483">
            <v>1050000</v>
          </cell>
        </row>
        <row r="484">
          <cell r="A484" t="str">
            <v>8837579232530</v>
          </cell>
          <cell r="Z484">
            <v>1550000</v>
          </cell>
        </row>
        <row r="485">
          <cell r="A485" t="str">
            <v>1523642648205</v>
          </cell>
          <cell r="Z485">
            <v>1550000</v>
          </cell>
        </row>
        <row r="486">
          <cell r="A486" t="str">
            <v>6915226457078</v>
          </cell>
          <cell r="Z486">
            <v>1550000</v>
          </cell>
        </row>
        <row r="487">
          <cell r="A487" t="str">
            <v>5115931772744</v>
          </cell>
          <cell r="Z487">
            <v>1550000</v>
          </cell>
        </row>
        <row r="488">
          <cell r="A488" t="str">
            <v>2100054093633</v>
          </cell>
          <cell r="Z488">
            <v>590000</v>
          </cell>
        </row>
        <row r="489">
          <cell r="A489" t="str">
            <v>4078313495079</v>
          </cell>
          <cell r="Z489">
            <v>590000</v>
          </cell>
        </row>
        <row r="490">
          <cell r="A490" t="str">
            <v>1938063577407</v>
          </cell>
          <cell r="Z490">
            <v>550000</v>
          </cell>
        </row>
        <row r="491">
          <cell r="A491" t="str">
            <v>6540260098804</v>
          </cell>
          <cell r="Z491">
            <v>550000</v>
          </cell>
        </row>
        <row r="492">
          <cell r="A492" t="str">
            <v>3417860149201</v>
          </cell>
          <cell r="Z492">
            <v>550000</v>
          </cell>
        </row>
        <row r="493">
          <cell r="A493" t="str">
            <v>7530703771936</v>
          </cell>
          <cell r="Z493">
            <v>550000</v>
          </cell>
        </row>
        <row r="494">
          <cell r="A494" t="str">
            <v>3072769844857</v>
          </cell>
          <cell r="Z494">
            <v>550000</v>
          </cell>
        </row>
        <row r="495">
          <cell r="A495" t="str">
            <v>1344315990465</v>
          </cell>
          <cell r="Z495">
            <v>550000</v>
          </cell>
        </row>
        <row r="496">
          <cell r="A496" t="str">
            <v>3225372329710</v>
          </cell>
          <cell r="Z496">
            <v>550000</v>
          </cell>
        </row>
        <row r="497">
          <cell r="A497" t="str">
            <v>4555388120346</v>
          </cell>
          <cell r="Z497">
            <v>550000</v>
          </cell>
        </row>
        <row r="498">
          <cell r="A498" t="str">
            <v>3188612276727</v>
          </cell>
          <cell r="Z498">
            <v>550000</v>
          </cell>
        </row>
        <row r="499">
          <cell r="A499" t="str">
            <v>9475461243500</v>
          </cell>
          <cell r="Z499">
            <v>710000</v>
          </cell>
        </row>
        <row r="500">
          <cell r="A500" t="str">
            <v>3202971764906</v>
          </cell>
          <cell r="Z500">
            <v>710000</v>
          </cell>
        </row>
        <row r="501">
          <cell r="A501" t="str">
            <v>9536349446472</v>
          </cell>
          <cell r="Z501">
            <v>710000</v>
          </cell>
        </row>
        <row r="502">
          <cell r="A502" t="str">
            <v>3450189687870</v>
          </cell>
          <cell r="Z502">
            <v>710000</v>
          </cell>
        </row>
        <row r="503">
          <cell r="A503" t="str">
            <v>1776887369279</v>
          </cell>
          <cell r="Z503">
            <v>710000</v>
          </cell>
        </row>
        <row r="504">
          <cell r="A504" t="str">
            <v>8991104425535</v>
          </cell>
          <cell r="Z504">
            <v>990000</v>
          </cell>
        </row>
        <row r="505">
          <cell r="A505" t="str">
            <v>8119427786939</v>
          </cell>
          <cell r="Z505">
            <v>990000</v>
          </cell>
        </row>
        <row r="506">
          <cell r="A506" t="str">
            <v>9051992628506</v>
          </cell>
          <cell r="Z506">
            <v>990000</v>
          </cell>
        </row>
        <row r="507">
          <cell r="A507" t="str">
            <v>4045837446276</v>
          </cell>
          <cell r="Z507">
            <v>990000</v>
          </cell>
        </row>
        <row r="508">
          <cell r="A508" t="str">
            <v>3712067991470</v>
          </cell>
          <cell r="Z508">
            <v>990000</v>
          </cell>
        </row>
        <row r="509">
          <cell r="A509" t="str">
            <v>9731841902574</v>
          </cell>
          <cell r="Z509">
            <v>890000</v>
          </cell>
        </row>
        <row r="510">
          <cell r="A510" t="str">
            <v>5263593894103</v>
          </cell>
          <cell r="Z510">
            <v>890000</v>
          </cell>
        </row>
        <row r="511">
          <cell r="A511" t="str">
            <v>7625908222878</v>
          </cell>
          <cell r="Z511">
            <v>1390000</v>
          </cell>
        </row>
        <row r="512">
          <cell r="A512" t="str">
            <v>2971330514438</v>
          </cell>
          <cell r="Z512">
            <v>1390000</v>
          </cell>
        </row>
        <row r="513">
          <cell r="A513" t="str">
            <v>3903895346000</v>
          </cell>
          <cell r="Z513">
            <v>1390000</v>
          </cell>
        </row>
        <row r="514">
          <cell r="A514" t="str">
            <v>4937416107572</v>
          </cell>
          <cell r="Z514">
            <v>1390000</v>
          </cell>
        </row>
        <row r="515">
          <cell r="A515" t="str">
            <v>6997782340308</v>
          </cell>
          <cell r="Z515">
            <v>1190000</v>
          </cell>
        </row>
        <row r="516">
          <cell r="A516" t="str">
            <v>4706402876538</v>
          </cell>
          <cell r="Z516">
            <v>1190000</v>
          </cell>
        </row>
        <row r="517">
          <cell r="A517" t="str">
            <v>4798595975969</v>
          </cell>
          <cell r="Z517">
            <v>1190000</v>
          </cell>
        </row>
        <row r="518">
          <cell r="A518" t="str">
            <v>8563970718976</v>
          </cell>
          <cell r="Z518">
            <v>1390000</v>
          </cell>
        </row>
        <row r="519">
          <cell r="A519" t="str">
            <v>8118931114320</v>
          </cell>
          <cell r="Z519">
            <v>1390000</v>
          </cell>
        </row>
        <row r="520">
          <cell r="A520" t="str">
            <v>1499362406534</v>
          </cell>
          <cell r="Z520">
            <v>1390000</v>
          </cell>
        </row>
        <row r="521">
          <cell r="A521" t="str">
            <v>8624858911930</v>
          </cell>
          <cell r="Z521">
            <v>1390000</v>
          </cell>
        </row>
        <row r="522">
          <cell r="A522" t="str">
            <v>9741594025642</v>
          </cell>
          <cell r="Z522">
            <v>1190000</v>
          </cell>
        </row>
        <row r="523">
          <cell r="A523" t="str">
            <v>7895929042667</v>
          </cell>
          <cell r="Z523">
            <v>1190000</v>
          </cell>
        </row>
        <row r="524">
          <cell r="A524" t="str">
            <v>3763098534303</v>
          </cell>
          <cell r="Z524">
            <v>1190000</v>
          </cell>
        </row>
        <row r="525">
          <cell r="A525" t="str">
            <v>1529799738974</v>
          </cell>
          <cell r="Z525">
            <v>550000</v>
          </cell>
        </row>
        <row r="526">
          <cell r="A526" t="str">
            <v>7640196723500</v>
          </cell>
          <cell r="Z526">
            <v>790000</v>
          </cell>
        </row>
        <row r="527">
          <cell r="A527" t="str">
            <v>2542908635208</v>
          </cell>
          <cell r="Z527">
            <v>790000</v>
          </cell>
        </row>
        <row r="528">
          <cell r="A528" t="str">
            <v>7325676686772</v>
          </cell>
          <cell r="Z528">
            <v>790000</v>
          </cell>
        </row>
        <row r="529">
          <cell r="A529" t="str">
            <v>1053187208201</v>
          </cell>
          <cell r="Z529">
            <v>790000</v>
          </cell>
        </row>
        <row r="530">
          <cell r="A530" t="str">
            <v>1985752049738</v>
          </cell>
          <cell r="Z530">
            <v>790000</v>
          </cell>
        </row>
        <row r="531">
          <cell r="A531" t="str">
            <v>9869739351309</v>
          </cell>
          <cell r="Z531">
            <v>790000</v>
          </cell>
        </row>
        <row r="532">
          <cell r="A532" t="str">
            <v>4149134592879</v>
          </cell>
          <cell r="Z532">
            <v>790000</v>
          </cell>
        </row>
        <row r="533">
          <cell r="A533" t="str">
            <v>4529814724279</v>
          </cell>
          <cell r="Z533">
            <v>790000</v>
          </cell>
        </row>
        <row r="534">
          <cell r="A534" t="str">
            <v>4298012136534</v>
          </cell>
          <cell r="Z534">
            <v>790000</v>
          </cell>
        </row>
        <row r="535">
          <cell r="A535" t="str">
            <v>4447438107400</v>
          </cell>
          <cell r="Z535">
            <v>790000</v>
          </cell>
        </row>
        <row r="536">
          <cell r="A536" t="str">
            <v>2929644238205</v>
          </cell>
          <cell r="Z536">
            <v>710000</v>
          </cell>
        </row>
        <row r="537">
          <cell r="A537" t="str">
            <v>1442671629606</v>
          </cell>
          <cell r="Z537">
            <v>710000</v>
          </cell>
        </row>
        <row r="538">
          <cell r="A538" t="str">
            <v>5170182151007</v>
          </cell>
          <cell r="Z538">
            <v>710000</v>
          </cell>
        </row>
        <row r="539">
          <cell r="A539" t="str">
            <v>1503559832577</v>
          </cell>
          <cell r="Z539">
            <v>710000</v>
          </cell>
        </row>
        <row r="540">
          <cell r="A540" t="str">
            <v>5540676974106</v>
          </cell>
          <cell r="Z540">
            <v>710000</v>
          </cell>
        </row>
        <row r="541">
          <cell r="A541" t="str">
            <v>3238334575704</v>
          </cell>
          <cell r="Z541">
            <v>710000</v>
          </cell>
        </row>
        <row r="542">
          <cell r="A542" t="str">
            <v>4170899407238</v>
          </cell>
          <cell r="Z542">
            <v>710000</v>
          </cell>
        </row>
        <row r="543">
          <cell r="A543" t="str">
            <v>7898409938634</v>
          </cell>
          <cell r="Z543">
            <v>710000</v>
          </cell>
        </row>
        <row r="544">
          <cell r="A544" t="str">
            <v>5348280366207</v>
          </cell>
          <cell r="Z544">
            <v>710000</v>
          </cell>
        </row>
        <row r="545">
          <cell r="A545" t="str">
            <v>4415368501773</v>
          </cell>
          <cell r="Z545">
            <v>710000</v>
          </cell>
        </row>
        <row r="546">
          <cell r="A546" t="str">
            <v>1728754545736</v>
          </cell>
          <cell r="Z546">
            <v>750000</v>
          </cell>
        </row>
        <row r="547">
          <cell r="A547" t="str">
            <v>7987061265278</v>
          </cell>
          <cell r="Z547">
            <v>750000</v>
          </cell>
        </row>
        <row r="548">
          <cell r="A548" t="str">
            <v>6315968434939</v>
          </cell>
          <cell r="Z548">
            <v>750000</v>
          </cell>
        </row>
        <row r="549">
          <cell r="A549" t="str">
            <v>4345714906375</v>
          </cell>
          <cell r="Z549">
            <v>750000</v>
          </cell>
        </row>
        <row r="550">
          <cell r="A550" t="str">
            <v>8437540476675</v>
          </cell>
          <cell r="Z550">
            <v>750000</v>
          </cell>
        </row>
        <row r="551">
          <cell r="A551" t="str">
            <v>3664791228400</v>
          </cell>
          <cell r="Z551">
            <v>1790000</v>
          </cell>
        </row>
        <row r="552">
          <cell r="A552" t="str">
            <v>2112349047801</v>
          </cell>
          <cell r="Z552">
            <v>1790000</v>
          </cell>
        </row>
        <row r="553">
          <cell r="A553" t="str">
            <v>6459736918877</v>
          </cell>
          <cell r="Z553">
            <v>1790000</v>
          </cell>
        </row>
        <row r="554">
          <cell r="A554" t="str">
            <v>2797695969504</v>
          </cell>
          <cell r="Z554">
            <v>1790000</v>
          </cell>
        </row>
        <row r="555">
          <cell r="A555" t="str">
            <v>9972776181775</v>
          </cell>
          <cell r="Z555">
            <v>590000</v>
          </cell>
        </row>
        <row r="556">
          <cell r="A556" t="str">
            <v>5501779354905</v>
          </cell>
          <cell r="Z556">
            <v>790000</v>
          </cell>
        </row>
        <row r="557">
          <cell r="A557" t="str">
            <v>3019304646309</v>
          </cell>
          <cell r="Z557">
            <v>790000</v>
          </cell>
        </row>
        <row r="558">
          <cell r="A558" t="str">
            <v>8472593414649</v>
          </cell>
          <cell r="Z558">
            <v>790000</v>
          </cell>
        </row>
        <row r="559">
          <cell r="A559" t="str">
            <v>1245855030119</v>
          </cell>
          <cell r="Z559">
            <v>790000</v>
          </cell>
        </row>
        <row r="560">
          <cell r="A560" t="str">
            <v>3479834751476</v>
          </cell>
          <cell r="Z560">
            <v>790000</v>
          </cell>
        </row>
        <row r="561">
          <cell r="A561" t="str">
            <v>8351235417432</v>
          </cell>
          <cell r="Z561">
            <v>790000</v>
          </cell>
        </row>
        <row r="562">
          <cell r="A562" t="str">
            <v>1078842893035</v>
          </cell>
          <cell r="Z562">
            <v>790000</v>
          </cell>
        </row>
        <row r="563">
          <cell r="A563" t="str">
            <v>5671616125835</v>
          </cell>
          <cell r="Z563">
            <v>790000</v>
          </cell>
        </row>
        <row r="564">
          <cell r="A564" t="str">
            <v>9399126657238</v>
          </cell>
          <cell r="Z564">
            <v>790000</v>
          </cell>
        </row>
        <row r="565">
          <cell r="A565" t="str">
            <v>8045842029439</v>
          </cell>
          <cell r="Z565">
            <v>710000</v>
          </cell>
        </row>
        <row r="566">
          <cell r="A566" t="str">
            <v>9780032541009</v>
          </cell>
          <cell r="Z566">
            <v>710000</v>
          </cell>
        </row>
        <row r="567">
          <cell r="A567" t="str">
            <v>4562800592575</v>
          </cell>
          <cell r="Z567">
            <v>710000</v>
          </cell>
        </row>
        <row r="568">
          <cell r="A568" t="str">
            <v>8290311123976</v>
          </cell>
          <cell r="Z568">
            <v>710000</v>
          </cell>
        </row>
        <row r="569">
          <cell r="A569" t="str">
            <v>7853098398633</v>
          </cell>
          <cell r="Z569">
            <v>710000</v>
          </cell>
        </row>
        <row r="570">
          <cell r="A570" t="str">
            <v>4156171418475</v>
          </cell>
          <cell r="Z570">
            <v>710000</v>
          </cell>
        </row>
        <row r="571">
          <cell r="A571" t="str">
            <v>2624871151609</v>
          </cell>
          <cell r="Z571">
            <v>750000</v>
          </cell>
        </row>
        <row r="572">
          <cell r="A572" t="str">
            <v>3371106273207</v>
          </cell>
          <cell r="Z572">
            <v>750000</v>
          </cell>
        </row>
        <row r="573">
          <cell r="A573" t="str">
            <v>7284946514606</v>
          </cell>
          <cell r="Z573">
            <v>750000</v>
          </cell>
        </row>
        <row r="574">
          <cell r="A574" t="str">
            <v>6798353292978</v>
          </cell>
          <cell r="Z574">
            <v>1590000</v>
          </cell>
        </row>
        <row r="575">
          <cell r="A575" t="str">
            <v>9239671463338</v>
          </cell>
          <cell r="Z575">
            <v>1590000</v>
          </cell>
        </row>
        <row r="576">
          <cell r="A576" t="str">
            <v>1353868565105</v>
          </cell>
          <cell r="Z576">
            <v>1590000</v>
          </cell>
        </row>
        <row r="577">
          <cell r="A577" t="str">
            <v>7898372818285</v>
          </cell>
          <cell r="Z577">
            <v>1590000</v>
          </cell>
        </row>
        <row r="578">
          <cell r="A578" t="str">
            <v>8987612116218</v>
          </cell>
          <cell r="Z578">
            <v>1590000</v>
          </cell>
        </row>
        <row r="579">
          <cell r="A579" t="str">
            <v>2328174427705</v>
          </cell>
          <cell r="Z579">
            <v>590000</v>
          </cell>
        </row>
        <row r="580">
          <cell r="A580" t="str">
            <v>6242014659100</v>
          </cell>
          <cell r="Z580">
            <v>590000</v>
          </cell>
        </row>
        <row r="581">
          <cell r="A581" t="str">
            <v>2083845299707</v>
          </cell>
          <cell r="Z581">
            <v>590000</v>
          </cell>
        </row>
        <row r="582">
          <cell r="A582" t="str">
            <v>5553918912101</v>
          </cell>
          <cell r="Z582">
            <v>590000</v>
          </cell>
        </row>
        <row r="583">
          <cell r="A583" t="str">
            <v>9427224785697</v>
          </cell>
          <cell r="Z583">
            <v>590000</v>
          </cell>
        </row>
        <row r="584">
          <cell r="A584" t="str">
            <v>9281429443505</v>
          </cell>
          <cell r="Z584">
            <v>590000</v>
          </cell>
        </row>
        <row r="585">
          <cell r="A585" t="str">
            <v>8471428343994</v>
          </cell>
          <cell r="Z585">
            <v>790000</v>
          </cell>
        </row>
        <row r="586">
          <cell r="A586" t="str">
            <v>6215735836594</v>
          </cell>
          <cell r="Z586">
            <v>790000</v>
          </cell>
        </row>
        <row r="587">
          <cell r="A587" t="str">
            <v>1192948041722</v>
          </cell>
          <cell r="Z587">
            <v>790000</v>
          </cell>
        </row>
        <row r="588">
          <cell r="A588" t="str">
            <v>7369210188964</v>
          </cell>
          <cell r="Z588">
            <v>790000</v>
          </cell>
        </row>
        <row r="589">
          <cell r="A589" t="str">
            <v>8804906821279</v>
          </cell>
          <cell r="Z589">
            <v>1690000</v>
          </cell>
        </row>
        <row r="590">
          <cell r="A590" t="str">
            <v>7610670562390</v>
          </cell>
          <cell r="Z590">
            <v>1690000</v>
          </cell>
        </row>
        <row r="591">
          <cell r="A591" t="str">
            <v>1822891332287</v>
          </cell>
          <cell r="Z591">
            <v>1690000</v>
          </cell>
        </row>
        <row r="592">
          <cell r="A592" t="str">
            <v>5172096745709</v>
          </cell>
          <cell r="Z592">
            <v>790000</v>
          </cell>
        </row>
        <row r="593">
          <cell r="A593" t="str">
            <v>3615073198508</v>
          </cell>
          <cell r="Z593">
            <v>790000</v>
          </cell>
        </row>
        <row r="594">
          <cell r="A594" t="str">
            <v>9183978412479</v>
          </cell>
          <cell r="Z594">
            <v>790000</v>
          </cell>
        </row>
        <row r="595">
          <cell r="A595" t="str">
            <v>2125351771473</v>
          </cell>
          <cell r="Z595">
            <v>790000</v>
          </cell>
        </row>
        <row r="596">
          <cell r="A596" t="str">
            <v>3859542293039</v>
          </cell>
          <cell r="Z596">
            <v>790000</v>
          </cell>
        </row>
        <row r="597">
          <cell r="A597" t="str">
            <v>9403205859434</v>
          </cell>
          <cell r="Z597">
            <v>710000</v>
          </cell>
        </row>
        <row r="598">
          <cell r="A598" t="str">
            <v>6790047921003</v>
          </cell>
          <cell r="Z598">
            <v>710000</v>
          </cell>
        </row>
        <row r="599">
          <cell r="A599" t="str">
            <v>2069961212578</v>
          </cell>
          <cell r="Z599">
            <v>710000</v>
          </cell>
        </row>
        <row r="600">
          <cell r="A600" t="str">
            <v>1947268523973</v>
          </cell>
          <cell r="Z600">
            <v>710000</v>
          </cell>
        </row>
        <row r="601">
          <cell r="A601" t="str">
            <v>5861108765377</v>
          </cell>
          <cell r="Z601">
            <v>710000</v>
          </cell>
        </row>
        <row r="602">
          <cell r="A602" t="str">
            <v>4117755508203</v>
          </cell>
          <cell r="Z602">
            <v>710000</v>
          </cell>
        </row>
        <row r="603">
          <cell r="A603" t="str">
            <v>6647465456771</v>
          </cell>
          <cell r="Z603">
            <v>710000</v>
          </cell>
        </row>
        <row r="604">
          <cell r="A604" t="str">
            <v>2628034071131</v>
          </cell>
          <cell r="Z604">
            <v>710000</v>
          </cell>
        </row>
        <row r="605">
          <cell r="A605" t="str">
            <v>4362224592706</v>
          </cell>
          <cell r="Z605">
            <v>710000</v>
          </cell>
        </row>
        <row r="606">
          <cell r="A606" t="str">
            <v>6384865372101</v>
          </cell>
          <cell r="Z606">
            <v>280000</v>
          </cell>
        </row>
        <row r="607">
          <cell r="A607" t="str">
            <v>3953454267703</v>
          </cell>
          <cell r="Z607">
            <v>610000</v>
          </cell>
        </row>
        <row r="608">
          <cell r="A608" t="str">
            <v>1522292250615</v>
          </cell>
          <cell r="Z608">
            <v>3650000</v>
          </cell>
        </row>
        <row r="609">
          <cell r="A609" t="str">
            <v>1321701205020</v>
          </cell>
          <cell r="Z609">
            <v>3650000</v>
          </cell>
        </row>
        <row r="610">
          <cell r="A610" t="str">
            <v>4546481507363</v>
          </cell>
          <cell r="Z610">
            <v>3650000</v>
          </cell>
        </row>
        <row r="611">
          <cell r="A611" t="str">
            <v>7440980653446</v>
          </cell>
          <cell r="Z611">
            <v>3650000</v>
          </cell>
        </row>
        <row r="612">
          <cell r="A612" t="str">
            <v>6878189140961</v>
          </cell>
          <cell r="Z612">
            <v>3650000</v>
          </cell>
        </row>
        <row r="613">
          <cell r="A613" t="str">
            <v>2208651897873</v>
          </cell>
          <cell r="Z613">
            <v>690000</v>
          </cell>
        </row>
        <row r="614">
          <cell r="A614" t="str">
            <v>1165815805543</v>
          </cell>
          <cell r="Z614">
            <v>370000</v>
          </cell>
        </row>
        <row r="615">
          <cell r="A615" t="str">
            <v>7475942212010</v>
          </cell>
          <cell r="Z615">
            <v>690000</v>
          </cell>
        </row>
        <row r="616">
          <cell r="A616" t="str">
            <v>7917543081911</v>
          </cell>
          <cell r="Z616">
            <v>350000</v>
          </cell>
        </row>
        <row r="617">
          <cell r="A617" t="str">
            <v>3936815156298</v>
          </cell>
          <cell r="Z617">
            <v>390000</v>
          </cell>
        </row>
        <row r="618">
          <cell r="A618" t="str">
            <v>8859793377576</v>
          </cell>
          <cell r="Z618">
            <v>380000</v>
          </cell>
        </row>
        <row r="619">
          <cell r="A619" t="str">
            <v>6743780689105</v>
          </cell>
          <cell r="Z619">
            <v>380000</v>
          </cell>
        </row>
        <row r="620">
          <cell r="A620" t="str">
            <v>6518970974503</v>
          </cell>
          <cell r="Z620">
            <v>790000</v>
          </cell>
        </row>
        <row r="621">
          <cell r="A621" t="str">
            <v>5836372874032</v>
          </cell>
          <cell r="Z621">
            <v>790000</v>
          </cell>
        </row>
        <row r="622">
          <cell r="A622" t="str">
            <v>1985253393736</v>
          </cell>
          <cell r="Z622">
            <v>790000</v>
          </cell>
        </row>
        <row r="623">
          <cell r="A623" t="str">
            <v>2299773437009</v>
          </cell>
          <cell r="Z623">
            <v>395000</v>
          </cell>
        </row>
        <row r="624">
          <cell r="A624" t="str">
            <v>8897497974806</v>
          </cell>
          <cell r="Z624">
            <v>395000</v>
          </cell>
        </row>
        <row r="625">
          <cell r="A625" t="str">
            <v>9810185045779</v>
          </cell>
          <cell r="Z625">
            <v>395000</v>
          </cell>
        </row>
        <row r="626">
          <cell r="A626" t="str">
            <v>2108862355431</v>
          </cell>
          <cell r="Z626">
            <v>395000</v>
          </cell>
        </row>
        <row r="627">
          <cell r="A627" t="str">
            <v>8071413155139</v>
          </cell>
          <cell r="Z627">
            <v>395000</v>
          </cell>
        </row>
        <row r="628">
          <cell r="A628" t="str">
            <v>3661304536076</v>
          </cell>
          <cell r="Z628">
            <v>395000</v>
          </cell>
        </row>
        <row r="629">
          <cell r="A629" t="str">
            <v>7766055856230</v>
          </cell>
          <cell r="Z629">
            <v>395000</v>
          </cell>
        </row>
        <row r="630">
          <cell r="A630" t="str">
            <v>4598450746709</v>
          </cell>
          <cell r="Z630">
            <v>395000</v>
          </cell>
        </row>
        <row r="631">
          <cell r="A631" t="str">
            <v>5827708786600</v>
          </cell>
          <cell r="Z631">
            <v>165000</v>
          </cell>
        </row>
        <row r="632">
          <cell r="A632" t="str">
            <v>1044940745071</v>
          </cell>
          <cell r="Z632">
            <v>105000</v>
          </cell>
        </row>
        <row r="633">
          <cell r="A633" t="str">
            <v>5598580919041</v>
          </cell>
          <cell r="Z633">
            <v>125000</v>
          </cell>
        </row>
        <row r="634">
          <cell r="A634" t="str">
            <v>6003138638125</v>
          </cell>
          <cell r="Z634">
            <v>295000</v>
          </cell>
        </row>
        <row r="635">
          <cell r="A635" t="str">
            <v>5416766385742</v>
          </cell>
          <cell r="Z635">
            <v>295000</v>
          </cell>
        </row>
        <row r="636">
          <cell r="A636" t="str">
            <v>6095488457464</v>
          </cell>
          <cell r="Z636">
            <v>295000</v>
          </cell>
        </row>
        <row r="637">
          <cell r="A637" t="str">
            <v>4021735902403</v>
          </cell>
          <cell r="Z637">
            <v>155000</v>
          </cell>
        </row>
        <row r="638">
          <cell r="A638" t="str">
            <v>5755926423970</v>
          </cell>
          <cell r="Z638">
            <v>155000</v>
          </cell>
        </row>
        <row r="639">
          <cell r="A639" t="str">
            <v>9669766665376</v>
          </cell>
          <cell r="Z639">
            <v>155000</v>
          </cell>
        </row>
        <row r="640">
          <cell r="A640" t="str">
            <v>7314730605842</v>
          </cell>
          <cell r="Z640">
            <v>395000</v>
          </cell>
        </row>
        <row r="641">
          <cell r="A641" t="str">
            <v>4850003091521</v>
          </cell>
          <cell r="Z641">
            <v>255000</v>
          </cell>
        </row>
        <row r="642">
          <cell r="A642" t="str">
            <v>7516331437994</v>
          </cell>
          <cell r="Z642">
            <v>210000</v>
          </cell>
        </row>
        <row r="643">
          <cell r="A643" t="str">
            <v>1182703260376</v>
          </cell>
          <cell r="Z643">
            <v>210000</v>
          </cell>
        </row>
        <row r="644">
          <cell r="A644" t="str">
            <v>8762308596143</v>
          </cell>
          <cell r="Z644">
            <v>210000</v>
          </cell>
        </row>
        <row r="645">
          <cell r="A645" t="str">
            <v>7664099735897</v>
          </cell>
          <cell r="Z645">
            <v>210000</v>
          </cell>
        </row>
        <row r="646">
          <cell r="A646" t="str">
            <v>2399116136351</v>
          </cell>
          <cell r="Z646">
            <v>210000</v>
          </cell>
        </row>
        <row r="647">
          <cell r="A647" t="str">
            <v>2187067092105</v>
          </cell>
          <cell r="Z647">
            <v>255000</v>
          </cell>
        </row>
        <row r="648">
          <cell r="A648" t="str">
            <v>7340662025205</v>
          </cell>
          <cell r="Z648">
            <v>210000</v>
          </cell>
        </row>
        <row r="649">
          <cell r="A649" t="str">
            <v>3615900322878</v>
          </cell>
          <cell r="Z649">
            <v>255000</v>
          </cell>
        </row>
        <row r="650">
          <cell r="A650" t="str">
            <v>5601890135831</v>
          </cell>
          <cell r="Z650">
            <v>210000</v>
          </cell>
        </row>
        <row r="651">
          <cell r="A651" t="str">
            <v>7375569598200</v>
          </cell>
          <cell r="Z651">
            <v>65000</v>
          </cell>
        </row>
        <row r="652">
          <cell r="A652" t="str">
            <v>8185441741131</v>
          </cell>
          <cell r="Z652">
            <v>65000</v>
          </cell>
        </row>
        <row r="653">
          <cell r="A653" t="str">
            <v>9919632272703</v>
          </cell>
          <cell r="Z653">
            <v>65000</v>
          </cell>
        </row>
        <row r="654">
          <cell r="A654" t="str">
            <v>1289409839605</v>
          </cell>
          <cell r="Z654">
            <v>65000</v>
          </cell>
        </row>
        <row r="655">
          <cell r="A655" t="str">
            <v>3833472504106</v>
          </cell>
          <cell r="Z655">
            <v>65000</v>
          </cell>
        </row>
        <row r="656">
          <cell r="A656" t="str">
            <v>2343751087103</v>
          </cell>
          <cell r="Z656">
            <v>65000</v>
          </cell>
        </row>
        <row r="657">
          <cell r="A657" t="str">
            <v>6872887298504</v>
          </cell>
          <cell r="Z657">
            <v>65000</v>
          </cell>
        </row>
        <row r="658">
          <cell r="A658" t="str">
            <v>5097397351209</v>
          </cell>
          <cell r="Z658">
            <v>65000</v>
          </cell>
        </row>
        <row r="659">
          <cell r="A659" t="str">
            <v>4887813751604</v>
          </cell>
          <cell r="Z659">
            <v>65000</v>
          </cell>
        </row>
        <row r="660">
          <cell r="A660" t="str">
            <v>3333520653201</v>
          </cell>
          <cell r="Z660">
            <v>65000</v>
          </cell>
        </row>
        <row r="661">
          <cell r="A661" t="str">
            <v>4199718014600</v>
          </cell>
          <cell r="Z661">
            <v>65000</v>
          </cell>
        </row>
        <row r="662">
          <cell r="A662" t="str">
            <v>9941939222020</v>
          </cell>
          <cell r="Z662">
            <v>690000</v>
          </cell>
        </row>
        <row r="663">
          <cell r="A663" t="str">
            <v>4004116377380</v>
          </cell>
          <cell r="Z663">
            <v>690000</v>
          </cell>
        </row>
        <row r="664">
          <cell r="A664" t="str">
            <v>1792092139278</v>
          </cell>
          <cell r="Z664">
            <v>610000</v>
          </cell>
        </row>
        <row r="665">
          <cell r="A665" t="str">
            <v>7551960266706</v>
          </cell>
          <cell r="Z665">
            <v>610000</v>
          </cell>
        </row>
        <row r="666">
          <cell r="A666" t="str">
            <v>2579158567706</v>
          </cell>
          <cell r="Z666">
            <v>55000</v>
          </cell>
        </row>
        <row r="667">
          <cell r="A667" t="str">
            <v>3397277186771</v>
          </cell>
          <cell r="Z667">
            <v>35000</v>
          </cell>
        </row>
        <row r="668">
          <cell r="A668" t="str">
            <v>1281264508337</v>
          </cell>
          <cell r="Z668">
            <v>35000</v>
          </cell>
        </row>
        <row r="669">
          <cell r="A669" t="str">
            <v>5008775029733</v>
          </cell>
          <cell r="Z669">
            <v>35000</v>
          </cell>
        </row>
        <row r="670">
          <cell r="A670" t="str">
            <v>3519053592709</v>
          </cell>
          <cell r="Z670">
            <v>35000</v>
          </cell>
        </row>
        <row r="671">
          <cell r="A671" t="str">
            <v>5941339861304</v>
          </cell>
          <cell r="Z671">
            <v>35000</v>
          </cell>
        </row>
        <row r="672">
          <cell r="A672" t="str">
            <v>4816031398971</v>
          </cell>
          <cell r="Z672">
            <v>35000</v>
          </cell>
        </row>
        <row r="673">
          <cell r="A673" t="str">
            <v>6258007484376</v>
          </cell>
          <cell r="Z673">
            <v>35000</v>
          </cell>
        </row>
        <row r="674">
          <cell r="A674" t="str">
            <v>6307585361774</v>
          </cell>
          <cell r="Z674">
            <v>35000</v>
          </cell>
        </row>
        <row r="675">
          <cell r="A675" t="str">
            <v>4258874803500</v>
          </cell>
          <cell r="Z675">
            <v>35000</v>
          </cell>
        </row>
        <row r="676">
          <cell r="A676" t="str">
            <v>4937807804905</v>
          </cell>
          <cell r="Z676">
            <v>35000</v>
          </cell>
        </row>
        <row r="677">
          <cell r="A677" t="str">
            <v>8851648046309</v>
          </cell>
          <cell r="Z677">
            <v>35000</v>
          </cell>
        </row>
        <row r="678">
          <cell r="A678" t="str">
            <v>1666379711801</v>
          </cell>
          <cell r="Z678">
            <v>580000</v>
          </cell>
        </row>
        <row r="679">
          <cell r="A679" t="str">
            <v>2166982481904</v>
          </cell>
          <cell r="Z679">
            <v>210000</v>
          </cell>
        </row>
        <row r="680">
          <cell r="A680" t="str">
            <v>4945953136139</v>
          </cell>
          <cell r="Z680">
            <v>350000</v>
          </cell>
        </row>
        <row r="681">
          <cell r="A681" t="str">
            <v>3661700548413</v>
          </cell>
          <cell r="Z681">
            <v>355000</v>
          </cell>
        </row>
        <row r="682">
          <cell r="A682" t="str">
            <v>5826836245645</v>
          </cell>
          <cell r="Z682">
            <v>355000</v>
          </cell>
        </row>
        <row r="683">
          <cell r="A683" t="str">
            <v>1928375451922</v>
          </cell>
          <cell r="Z683">
            <v>355000</v>
          </cell>
        </row>
        <row r="684">
          <cell r="A684" t="str">
            <v>4047129121533</v>
          </cell>
          <cell r="Z684">
            <v>355000</v>
          </cell>
        </row>
        <row r="685">
          <cell r="A685" t="str">
            <v>9818096187670</v>
          </cell>
          <cell r="Z685">
            <v>355000</v>
          </cell>
        </row>
        <row r="686">
          <cell r="A686" t="str">
            <v>4198801741935</v>
          </cell>
          <cell r="Z686">
            <v>355000</v>
          </cell>
        </row>
        <row r="687">
          <cell r="A687" t="str">
            <v>9783195473507</v>
          </cell>
          <cell r="Z687">
            <v>355000</v>
          </cell>
        </row>
        <row r="688">
          <cell r="A688" t="str">
            <v>1576617705076</v>
          </cell>
          <cell r="Z688">
            <v>355000</v>
          </cell>
        </row>
        <row r="689">
          <cell r="A689" t="str">
            <v>4443270836478</v>
          </cell>
          <cell r="Z689">
            <v>355000</v>
          </cell>
        </row>
        <row r="690">
          <cell r="A690" t="str">
            <v>4711519234461</v>
          </cell>
          <cell r="Z690">
            <v>355000</v>
          </cell>
        </row>
        <row r="691">
          <cell r="A691" t="str">
            <v>9547237812354</v>
          </cell>
          <cell r="Z691">
            <v>390000</v>
          </cell>
        </row>
        <row r="692">
          <cell r="A692" t="str">
            <v>5062519325376</v>
          </cell>
          <cell r="Z692">
            <v>2850000</v>
          </cell>
        </row>
        <row r="693">
          <cell r="A693" t="str">
            <v>4192675244905</v>
          </cell>
          <cell r="Z693">
            <v>2850000</v>
          </cell>
        </row>
        <row r="694">
          <cell r="A694" t="str">
            <v>8327055354097</v>
          </cell>
          <cell r="Z694">
            <v>395000</v>
          </cell>
        </row>
        <row r="695">
          <cell r="A695" t="str">
            <v>3328808169376</v>
          </cell>
          <cell r="Z695">
            <v>395000</v>
          </cell>
        </row>
        <row r="696">
          <cell r="A696" t="str">
            <v>7671331411761</v>
          </cell>
          <cell r="Z696">
            <v>395000</v>
          </cell>
        </row>
        <row r="697">
          <cell r="A697" t="str">
            <v>3768292552153</v>
          </cell>
          <cell r="Z697">
            <v>395000</v>
          </cell>
        </row>
        <row r="698">
          <cell r="A698" t="str">
            <v>3703730257672</v>
          </cell>
          <cell r="Z698">
            <v>395000</v>
          </cell>
        </row>
        <row r="699">
          <cell r="A699" t="str">
            <v>1392579771047</v>
          </cell>
          <cell r="Z699">
            <v>395000</v>
          </cell>
        </row>
        <row r="700">
          <cell r="A700" t="str">
            <v>1914102783435</v>
          </cell>
          <cell r="Z700">
            <v>395000</v>
          </cell>
        </row>
        <row r="701">
          <cell r="A701" t="str">
            <v>4727618713929</v>
          </cell>
          <cell r="Z701">
            <v>395000</v>
          </cell>
        </row>
        <row r="702">
          <cell r="A702" t="str">
            <v>8287219990595</v>
          </cell>
          <cell r="Z702">
            <v>395000</v>
          </cell>
        </row>
        <row r="703">
          <cell r="A703" t="str">
            <v>6396290109061</v>
          </cell>
          <cell r="Z703">
            <v>395000</v>
          </cell>
        </row>
        <row r="704">
          <cell r="A704" t="str">
            <v>5391688517474</v>
          </cell>
          <cell r="Z704">
            <v>395000</v>
          </cell>
        </row>
        <row r="705">
          <cell r="A705" t="str">
            <v>5080858531470</v>
          </cell>
          <cell r="Z705">
            <v>395000</v>
          </cell>
        </row>
        <row r="706">
          <cell r="A706" t="str">
            <v>7466582813507</v>
          </cell>
          <cell r="Z706">
            <v>155000</v>
          </cell>
        </row>
        <row r="707">
          <cell r="A707" t="str">
            <v>4561723544401</v>
          </cell>
          <cell r="Z707">
            <v>6000000</v>
          </cell>
        </row>
        <row r="708">
          <cell r="A708" t="str">
            <v>3216457463306</v>
          </cell>
          <cell r="Z708">
            <v>6000000</v>
          </cell>
        </row>
        <row r="709">
          <cell r="A709" t="str">
            <v>9106436423770</v>
          </cell>
          <cell r="Z709">
            <v>6000000</v>
          </cell>
        </row>
        <row r="710">
          <cell r="A710" t="str">
            <v>3319220044877</v>
          </cell>
          <cell r="Z710">
            <v>7500000</v>
          </cell>
        </row>
        <row r="711">
          <cell r="A711" t="str">
            <v>1145867173203</v>
          </cell>
          <cell r="Z711">
            <v>2500000</v>
          </cell>
        </row>
        <row r="712">
          <cell r="A712" t="str">
            <v>7049479381435</v>
          </cell>
          <cell r="Z712">
            <v>2000000</v>
          </cell>
        </row>
        <row r="713">
          <cell r="A713" t="str">
            <v>1087844862079</v>
          </cell>
          <cell r="Z713">
            <v>1000000</v>
          </cell>
        </row>
        <row r="714">
          <cell r="A714" t="str">
            <v>7171255805504</v>
          </cell>
          <cell r="Z714">
            <v>6000000</v>
          </cell>
        </row>
        <row r="715">
          <cell r="A715" t="str">
            <v>4758132272074</v>
          </cell>
          <cell r="Z715">
            <v>6000000</v>
          </cell>
        </row>
        <row r="716">
          <cell r="A716" t="str">
            <v>8618604922639</v>
          </cell>
          <cell r="Z716">
            <v>6000000</v>
          </cell>
        </row>
        <row r="717">
          <cell r="A717" t="str">
            <v>4943545711108</v>
          </cell>
          <cell r="Z717">
            <v>6000000</v>
          </cell>
        </row>
        <row r="718">
          <cell r="A718" t="str">
            <v>8610168032700</v>
          </cell>
          <cell r="Z718">
            <v>6000000</v>
          </cell>
        </row>
        <row r="719">
          <cell r="A719" t="str">
            <v>6000635781606</v>
          </cell>
          <cell r="Z719">
            <v>6000000</v>
          </cell>
        </row>
        <row r="720">
          <cell r="A720" t="str">
            <v>8428419692074</v>
          </cell>
          <cell r="Z720">
            <v>7500000</v>
          </cell>
        </row>
        <row r="721">
          <cell r="A721" t="str">
            <v>5250735564239</v>
          </cell>
          <cell r="Z721">
            <v>2500000</v>
          </cell>
        </row>
        <row r="722">
          <cell r="A722" t="str">
            <v>4008232054705</v>
          </cell>
          <cell r="Z722">
            <v>2500000</v>
          </cell>
        </row>
        <row r="723">
          <cell r="A723" t="str">
            <v>9485509762535</v>
          </cell>
          <cell r="Z723">
            <v>7000000</v>
          </cell>
        </row>
        <row r="724">
          <cell r="A724" t="str">
            <v>9065867873434</v>
          </cell>
          <cell r="Z724">
            <v>6000000</v>
          </cell>
        </row>
        <row r="725">
          <cell r="A725" t="str">
            <v>1037951943130</v>
          </cell>
          <cell r="Z725">
            <v>5000000</v>
          </cell>
        </row>
        <row r="726">
          <cell r="A726" t="str">
            <v>9795448433602</v>
          </cell>
          <cell r="Z726">
            <v>5000000</v>
          </cell>
        </row>
        <row r="727">
          <cell r="A727" t="str">
            <v>6487466009800</v>
          </cell>
          <cell r="Z727">
            <v>7500000</v>
          </cell>
        </row>
        <row r="728">
          <cell r="A728" t="str">
            <v>9967117766605</v>
          </cell>
          <cell r="Z728">
            <v>5000000</v>
          </cell>
        </row>
        <row r="729">
          <cell r="A729" t="str">
            <v>8724614257071</v>
          </cell>
          <cell r="Z729">
            <v>5000000</v>
          </cell>
        </row>
        <row r="730">
          <cell r="A730" t="str">
            <v>8910027696105</v>
          </cell>
          <cell r="Z730">
            <v>6000000</v>
          </cell>
        </row>
        <row r="731">
          <cell r="A731" t="str">
            <v>3822818615637</v>
          </cell>
          <cell r="Z731">
            <v>7500000</v>
          </cell>
        </row>
        <row r="732">
          <cell r="A732" t="str">
            <v>8040982813337</v>
          </cell>
          <cell r="Z732">
            <v>1800000</v>
          </cell>
        </row>
        <row r="733">
          <cell r="A733" t="str">
            <v>7985709328309</v>
          </cell>
          <cell r="Z733">
            <v>2500000</v>
          </cell>
        </row>
        <row r="734">
          <cell r="A734" t="str">
            <v>5065322125201</v>
          </cell>
          <cell r="Z734">
            <v>7500000</v>
          </cell>
        </row>
        <row r="735">
          <cell r="A735" t="str">
            <v>8765049689402</v>
          </cell>
          <cell r="Z735">
            <v>1800000</v>
          </cell>
        </row>
        <row r="736">
          <cell r="A736" t="str">
            <v>9352738069875</v>
          </cell>
          <cell r="Z736">
            <v>1800000</v>
          </cell>
        </row>
        <row r="737">
          <cell r="A737" t="str">
            <v>8171122767378</v>
          </cell>
          <cell r="Z737">
            <v>5000000</v>
          </cell>
        </row>
        <row r="738">
          <cell r="A738" t="str">
            <v>2580315116101</v>
          </cell>
          <cell r="Z738">
            <v>5000000</v>
          </cell>
        </row>
        <row r="739">
          <cell r="A739" t="str">
            <v>3637405186601</v>
          </cell>
          <cell r="Z739">
            <v>5000000</v>
          </cell>
        </row>
        <row r="740">
          <cell r="A740" t="str">
            <v>6743205818776</v>
          </cell>
          <cell r="Z740">
            <v>1800000</v>
          </cell>
        </row>
        <row r="741">
          <cell r="A741" t="str">
            <v>9228212837837</v>
          </cell>
          <cell r="Z741">
            <v>2500000</v>
          </cell>
        </row>
        <row r="742">
          <cell r="A742" t="str">
            <v>1148733069105</v>
          </cell>
          <cell r="Z742">
            <v>7500000</v>
          </cell>
        </row>
        <row r="743">
          <cell r="A743" t="str">
            <v>7110367598478</v>
          </cell>
          <cell r="Z743">
            <v>4000000</v>
          </cell>
        </row>
        <row r="744">
          <cell r="A744" t="str">
            <v>9906229559576</v>
          </cell>
          <cell r="Z744">
            <v>7500000</v>
          </cell>
        </row>
        <row r="745">
          <cell r="A745" t="str">
            <v>5557925417833</v>
          </cell>
          <cell r="Z745">
            <v>4000000</v>
          </cell>
        </row>
        <row r="746">
          <cell r="A746" t="str">
            <v>1698034083978</v>
          </cell>
          <cell r="Z746">
            <v>75000</v>
          </cell>
        </row>
        <row r="747">
          <cell r="A747" t="str">
            <v>4740197691136</v>
          </cell>
          <cell r="Z747">
            <v>75000</v>
          </cell>
        </row>
        <row r="748">
          <cell r="A748" t="str">
            <v>3045716969279</v>
          </cell>
          <cell r="Z748">
            <v>89000</v>
          </cell>
        </row>
        <row r="749">
          <cell r="A749" t="str">
            <v>2471255267575</v>
          </cell>
          <cell r="Z749">
            <v>65000</v>
          </cell>
        </row>
        <row r="750">
          <cell r="A750" t="str">
            <v>4585435418508</v>
          </cell>
          <cell r="Z750">
            <v>70000</v>
          </cell>
        </row>
        <row r="751">
          <cell r="A751" t="str">
            <v>9180041196304</v>
          </cell>
          <cell r="Z751">
            <v>65000</v>
          </cell>
        </row>
        <row r="752">
          <cell r="A752" t="str">
            <v>8711261048336</v>
          </cell>
          <cell r="Z752">
            <v>89000</v>
          </cell>
        </row>
        <row r="753">
          <cell r="A753" t="str">
            <v>9119152999276</v>
          </cell>
          <cell r="Z753">
            <v>75000</v>
          </cell>
        </row>
        <row r="754">
          <cell r="A754" t="str">
            <v>9091481845533</v>
          </cell>
          <cell r="Z754">
            <v>75000</v>
          </cell>
        </row>
        <row r="755">
          <cell r="A755" t="str">
            <v>9828355759739</v>
          </cell>
          <cell r="Z755">
            <v>89000</v>
          </cell>
        </row>
        <row r="756">
          <cell r="A756" t="str">
            <v>1196268057401</v>
          </cell>
          <cell r="Z756">
            <v>75000</v>
          </cell>
        </row>
        <row r="757">
          <cell r="A757" t="str">
            <v>6662550476601</v>
          </cell>
          <cell r="Z757">
            <v>75000</v>
          </cell>
        </row>
        <row r="758">
          <cell r="A758" t="str">
            <v>9663414597200</v>
          </cell>
          <cell r="Z758">
            <v>65000</v>
          </cell>
        </row>
        <row r="759">
          <cell r="A759" t="str">
            <v>9583853943034</v>
          </cell>
          <cell r="Z759">
            <v>75000</v>
          </cell>
        </row>
        <row r="760">
          <cell r="A760" t="str">
            <v>6231751674736</v>
          </cell>
          <cell r="Z760">
            <v>75000</v>
          </cell>
        </row>
        <row r="761">
          <cell r="A761" t="str">
            <v>9273915271938</v>
          </cell>
          <cell r="Z761">
            <v>75000</v>
          </cell>
        </row>
        <row r="762">
          <cell r="A762" t="str">
            <v>7769690874607</v>
          </cell>
          <cell r="Z762">
            <v>155000</v>
          </cell>
        </row>
        <row r="763">
          <cell r="A763" t="str">
            <v>1988501809874</v>
          </cell>
          <cell r="Z763">
            <v>95000</v>
          </cell>
        </row>
        <row r="764">
          <cell r="A764" t="str">
            <v>2621228071177</v>
          </cell>
          <cell r="Z764">
            <v>215000</v>
          </cell>
        </row>
        <row r="765">
          <cell r="A765" t="str">
            <v>1752665785530</v>
          </cell>
          <cell r="Z765">
            <v>215000</v>
          </cell>
        </row>
        <row r="766">
          <cell r="A766" t="str">
            <v>1745478422631</v>
          </cell>
          <cell r="Z766">
            <v>115000</v>
          </cell>
        </row>
        <row r="767">
          <cell r="A767" t="str">
            <v>5919263984970</v>
          </cell>
          <cell r="Z767">
            <v>135000</v>
          </cell>
        </row>
        <row r="768">
          <cell r="A768" t="str">
            <v>9595385971430</v>
          </cell>
          <cell r="Z768">
            <v>135000</v>
          </cell>
        </row>
        <row r="769">
          <cell r="A769" t="str">
            <v>3601832192207</v>
          </cell>
          <cell r="Z769">
            <v>125000</v>
          </cell>
        </row>
        <row r="770">
          <cell r="A770" t="str">
            <v>5030665412677</v>
          </cell>
          <cell r="Z770">
            <v>155000</v>
          </cell>
        </row>
        <row r="771">
          <cell r="A771" t="str">
            <v>2375291958209</v>
          </cell>
          <cell r="Z771">
            <v>215000</v>
          </cell>
        </row>
        <row r="772">
          <cell r="A772" t="str">
            <v>9068114613005</v>
          </cell>
          <cell r="Z772">
            <v>215000</v>
          </cell>
        </row>
        <row r="773">
          <cell r="A773" t="str">
            <v>8011024543475</v>
          </cell>
          <cell r="Z773">
            <v>215000</v>
          </cell>
        </row>
        <row r="774">
          <cell r="A774" t="str">
            <v>8475167971777</v>
          </cell>
          <cell r="Z774">
            <v>29900000</v>
          </cell>
        </row>
        <row r="775">
          <cell r="A775" t="str">
            <v>8058542380090</v>
          </cell>
          <cell r="Z775">
            <v>495000</v>
          </cell>
        </row>
        <row r="776">
          <cell r="A776" t="str">
            <v>3266089221805</v>
          </cell>
          <cell r="Z776">
            <v>495000</v>
          </cell>
        </row>
        <row r="777">
          <cell r="A777" t="str">
            <v>6993599753201</v>
          </cell>
          <cell r="Z777">
            <v>495000</v>
          </cell>
        </row>
        <row r="778">
          <cell r="A778" t="str">
            <v>1590954363805</v>
          </cell>
          <cell r="Z778">
            <v>495000</v>
          </cell>
        </row>
        <row r="779">
          <cell r="A779" t="str">
            <v>4882168432574</v>
          </cell>
          <cell r="Z779">
            <v>495000</v>
          </cell>
        </row>
        <row r="780">
          <cell r="A780" t="str">
            <v>3800340066233</v>
          </cell>
          <cell r="Z780">
            <v>470000</v>
          </cell>
        </row>
        <row r="781">
          <cell r="A781" t="str">
            <v>3409481958676</v>
          </cell>
          <cell r="Z781">
            <v>470000</v>
          </cell>
        </row>
        <row r="782">
          <cell r="A782" t="str">
            <v>8130445517572</v>
          </cell>
          <cell r="Z782">
            <v>470000</v>
          </cell>
        </row>
        <row r="783">
          <cell r="A783" t="str">
            <v>3533090916939</v>
          </cell>
          <cell r="Z783">
            <v>470000</v>
          </cell>
        </row>
        <row r="784">
          <cell r="A784" t="str">
            <v>8006836569300</v>
          </cell>
          <cell r="Z784">
            <v>470000</v>
          </cell>
        </row>
        <row r="785">
          <cell r="A785" t="str">
            <v>3702385674438</v>
          </cell>
          <cell r="Z785">
            <v>470000</v>
          </cell>
        </row>
        <row r="786">
          <cell r="A786" t="str">
            <v>8299740285071</v>
          </cell>
          <cell r="Z786">
            <v>470000</v>
          </cell>
        </row>
        <row r="787">
          <cell r="A787" t="str">
            <v>1421659596307</v>
          </cell>
          <cell r="Z787">
            <v>470000</v>
          </cell>
        </row>
        <row r="788">
          <cell r="A788" t="str">
            <v>1298050638031</v>
          </cell>
          <cell r="Z788">
            <v>470000</v>
          </cell>
        </row>
        <row r="789">
          <cell r="A789" t="str">
            <v>5765190005703</v>
          </cell>
          <cell r="Z789">
            <v>470000</v>
          </cell>
        </row>
        <row r="790">
          <cell r="A790" t="str">
            <v>6625676586654</v>
          </cell>
          <cell r="Z790">
            <v>470000</v>
          </cell>
        </row>
        <row r="791">
          <cell r="A791" t="str">
            <v>3099543289772</v>
          </cell>
          <cell r="Z791">
            <v>470000</v>
          </cell>
        </row>
        <row r="792">
          <cell r="A792" t="str">
            <v>5278276726930</v>
          </cell>
          <cell r="Z792">
            <v>310000</v>
          </cell>
        </row>
        <row r="793">
          <cell r="A793" t="str">
            <v>4405683811633</v>
          </cell>
          <cell r="Z793">
            <v>310000</v>
          </cell>
        </row>
        <row r="794">
          <cell r="A794" t="str">
            <v>9189368132873</v>
          </cell>
          <cell r="Z794">
            <v>310000</v>
          </cell>
        </row>
        <row r="795">
          <cell r="A795" t="str">
            <v>4792032482386</v>
          </cell>
          <cell r="Z795">
            <v>395000</v>
          </cell>
        </row>
        <row r="796">
          <cell r="A796" t="str">
            <v>1987062658204</v>
          </cell>
          <cell r="Z796">
            <v>395000</v>
          </cell>
        </row>
        <row r="797">
          <cell r="A797" t="str">
            <v>8572239611170</v>
          </cell>
          <cell r="Z797">
            <v>395000</v>
          </cell>
        </row>
        <row r="798">
          <cell r="A798" t="str">
            <v>1863453699905</v>
          </cell>
          <cell r="Z798">
            <v>395000</v>
          </cell>
        </row>
        <row r="799">
          <cell r="A799" t="str">
            <v>9568441484137</v>
          </cell>
          <cell r="Z799">
            <v>395000</v>
          </cell>
        </row>
        <row r="800">
          <cell r="A800" t="str">
            <v>6150869621633</v>
          </cell>
          <cell r="Z800">
            <v>395000</v>
          </cell>
        </row>
        <row r="801">
          <cell r="A801" t="str">
            <v>8262300942271</v>
          </cell>
          <cell r="Z801">
            <v>395000</v>
          </cell>
        </row>
        <row r="802">
          <cell r="A802" t="str">
            <v>9752022379305</v>
          </cell>
          <cell r="Z802">
            <v>395000</v>
          </cell>
        </row>
        <row r="803">
          <cell r="A803" t="str">
            <v>4971086873504</v>
          </cell>
          <cell r="Z803">
            <v>395000</v>
          </cell>
        </row>
        <row r="804">
          <cell r="A804" t="str">
            <v>7646080830538</v>
          </cell>
          <cell r="Z804">
            <v>395000</v>
          </cell>
        </row>
        <row r="805">
          <cell r="A805" t="str">
            <v>4284823688805</v>
          </cell>
          <cell r="Z805">
            <v>395000</v>
          </cell>
        </row>
        <row r="806">
          <cell r="A806" t="str">
            <v>7576037757574</v>
          </cell>
          <cell r="Z806">
            <v>310000</v>
          </cell>
        </row>
        <row r="807">
          <cell r="A807" t="str">
            <v>7001087764604</v>
          </cell>
          <cell r="Z807">
            <v>310000</v>
          </cell>
        </row>
        <row r="808">
          <cell r="A808" t="str">
            <v>4592013522274</v>
          </cell>
          <cell r="Z808">
            <v>310000</v>
          </cell>
        </row>
        <row r="809">
          <cell r="A809" t="str">
            <v>5401885685231</v>
          </cell>
          <cell r="Z809">
            <v>310000</v>
          </cell>
        </row>
        <row r="810">
          <cell r="A810" t="str">
            <v>2806081496309</v>
          </cell>
          <cell r="Z810">
            <v>310000</v>
          </cell>
        </row>
        <row r="811">
          <cell r="A811" t="str">
            <v>4753902753302</v>
          </cell>
          <cell r="Z811">
            <v>480000</v>
          </cell>
        </row>
        <row r="812">
          <cell r="A812" t="str">
            <v>6030009498809</v>
          </cell>
          <cell r="Z812">
            <v>480000</v>
          </cell>
        </row>
        <row r="813">
          <cell r="A813" t="str">
            <v>9321223567578</v>
          </cell>
          <cell r="Z813">
            <v>480000</v>
          </cell>
        </row>
        <row r="814">
          <cell r="A814" t="str">
            <v>4847477915231</v>
          </cell>
          <cell r="Z814">
            <v>480000</v>
          </cell>
        </row>
        <row r="815">
          <cell r="A815" t="str">
            <v>6099460399438</v>
          </cell>
          <cell r="Z815">
            <v>480000</v>
          </cell>
        </row>
        <row r="816">
          <cell r="A816" t="str">
            <v>9444832525835</v>
          </cell>
          <cell r="Z816">
            <v>480000</v>
          </cell>
        </row>
        <row r="817">
          <cell r="A817" t="str">
            <v>7023462536934</v>
          </cell>
          <cell r="Z817">
            <v>480000</v>
          </cell>
        </row>
        <row r="818">
          <cell r="A818" t="str">
            <v>1679872804772</v>
          </cell>
          <cell r="Z818">
            <v>480000</v>
          </cell>
        </row>
        <row r="819">
          <cell r="A819" t="str">
            <v>3732248468201</v>
          </cell>
          <cell r="Z819">
            <v>480000</v>
          </cell>
        </row>
        <row r="820">
          <cell r="A820" t="str">
            <v>7008592617890</v>
          </cell>
          <cell r="Z820">
            <v>480000</v>
          </cell>
        </row>
        <row r="821">
          <cell r="A821" t="str">
            <v>5533741109909</v>
          </cell>
          <cell r="Z821">
            <v>480000</v>
          </cell>
        </row>
        <row r="822">
          <cell r="A822" t="str">
            <v>1556263846477</v>
          </cell>
          <cell r="Z822">
            <v>480000</v>
          </cell>
        </row>
        <row r="823">
          <cell r="A823" t="str">
            <v>8311015596580</v>
          </cell>
          <cell r="Z823">
            <v>480000</v>
          </cell>
        </row>
        <row r="824">
          <cell r="A824" t="str">
            <v>2242527031176</v>
          </cell>
          <cell r="Z824">
            <v>495000</v>
          </cell>
        </row>
        <row r="825">
          <cell r="A825" t="str">
            <v>3641363489698</v>
          </cell>
          <cell r="Z825">
            <v>150000</v>
          </cell>
        </row>
        <row r="826">
          <cell r="A826" t="str">
            <v>1002706198035</v>
          </cell>
          <cell r="Z826">
            <v>310000</v>
          </cell>
        </row>
        <row r="827">
          <cell r="A827" t="str">
            <v>2259133090022</v>
          </cell>
          <cell r="Z827">
            <v>120000</v>
          </cell>
        </row>
        <row r="828">
          <cell r="A828" t="str">
            <v>8494588275721</v>
          </cell>
          <cell r="Z828">
            <v>580000</v>
          </cell>
        </row>
        <row r="829">
          <cell r="A829" t="str">
            <v>9906949228707</v>
          </cell>
          <cell r="Z829">
            <v>459000</v>
          </cell>
        </row>
        <row r="830">
          <cell r="A830" t="str">
            <v>5165374406676</v>
          </cell>
          <cell r="Z830">
            <v>459000</v>
          </cell>
        </row>
        <row r="831">
          <cell r="A831" t="str">
            <v>8664445728237</v>
          </cell>
          <cell r="Z831">
            <v>459000</v>
          </cell>
        </row>
        <row r="832">
          <cell r="A832" t="str">
            <v>1273977977135</v>
          </cell>
          <cell r="Z832">
            <v>459000</v>
          </cell>
        </row>
        <row r="833">
          <cell r="A833" t="str">
            <v>8418144074337</v>
          </cell>
          <cell r="Z833">
            <v>459000</v>
          </cell>
        </row>
        <row r="834">
          <cell r="A834" t="str">
            <v>7421942217777</v>
          </cell>
          <cell r="Z834">
            <v>459000</v>
          </cell>
        </row>
        <row r="835">
          <cell r="A835" t="str">
            <v>1304694982901</v>
          </cell>
          <cell r="Z835">
            <v>135000</v>
          </cell>
        </row>
        <row r="836">
          <cell r="A836" t="str">
            <v>8657254441626</v>
          </cell>
          <cell r="Z836">
            <v>95000</v>
          </cell>
        </row>
        <row r="837">
          <cell r="A837" t="str">
            <v>9634870711103</v>
          </cell>
          <cell r="Z837">
            <v>115000</v>
          </cell>
        </row>
        <row r="838">
          <cell r="A838" t="str">
            <v>6846808041807</v>
          </cell>
          <cell r="Z838">
            <v>115000</v>
          </cell>
        </row>
        <row r="839">
          <cell r="A839" t="str">
            <v>8213836783371</v>
          </cell>
          <cell r="Z839">
            <v>115000</v>
          </cell>
        </row>
        <row r="840">
          <cell r="A840" t="str">
            <v>4255099114930</v>
          </cell>
          <cell r="Z840">
            <v>115000</v>
          </cell>
        </row>
        <row r="841">
          <cell r="A841" t="str">
            <v>3697026246504</v>
          </cell>
          <cell r="Z841">
            <v>115000</v>
          </cell>
        </row>
        <row r="842">
          <cell r="A842" t="str">
            <v>9134784327976</v>
          </cell>
          <cell r="Z842">
            <v>95000</v>
          </cell>
        </row>
        <row r="843">
          <cell r="A843" t="str">
            <v>8034351178974</v>
          </cell>
          <cell r="Z843">
            <v>3050000</v>
          </cell>
        </row>
        <row r="844">
          <cell r="A844" t="str">
            <v>5239405489508</v>
          </cell>
          <cell r="Z844">
            <v>3050000</v>
          </cell>
        </row>
        <row r="845">
          <cell r="A845" t="str">
            <v>3000981527203</v>
          </cell>
          <cell r="Z845">
            <v>2100000</v>
          </cell>
        </row>
        <row r="846">
          <cell r="A846" t="str">
            <v>9891515784230</v>
          </cell>
          <cell r="Z846">
            <v>2100000</v>
          </cell>
        </row>
        <row r="847">
          <cell r="A847" t="str">
            <v>1211280847608</v>
          </cell>
          <cell r="Z847">
            <v>2100000</v>
          </cell>
        </row>
        <row r="848">
          <cell r="A848" t="str">
            <v>5667736873930</v>
          </cell>
          <cell r="Z848">
            <v>2100000</v>
          </cell>
        </row>
        <row r="849">
          <cell r="A849" t="str">
            <v>4006226537432</v>
          </cell>
          <cell r="Z849">
            <v>2100000</v>
          </cell>
        </row>
        <row r="850">
          <cell r="A850" t="str">
            <v>3868076781608</v>
          </cell>
          <cell r="Z850">
            <v>2100000</v>
          </cell>
        </row>
        <row r="851">
          <cell r="A851" t="str">
            <v>1696558049937</v>
          </cell>
          <cell r="Z851">
            <v>2300000</v>
          </cell>
        </row>
        <row r="852">
          <cell r="A852" t="str">
            <v>4772441250400</v>
          </cell>
          <cell r="Z852">
            <v>2300000</v>
          </cell>
        </row>
        <row r="853">
          <cell r="A853" t="str">
            <v>8647179738000</v>
          </cell>
          <cell r="Z853">
            <v>1850000</v>
          </cell>
        </row>
        <row r="854">
          <cell r="A854" t="str">
            <v>3136334458839</v>
          </cell>
          <cell r="Z854">
            <v>780000</v>
          </cell>
        </row>
        <row r="855">
          <cell r="A855" t="str">
            <v>3300436520903</v>
          </cell>
          <cell r="Z855">
            <v>16500000</v>
          </cell>
        </row>
        <row r="856">
          <cell r="A856" t="str">
            <v>3127395360872</v>
          </cell>
          <cell r="Z856">
            <v>1400000</v>
          </cell>
        </row>
        <row r="857">
          <cell r="A857" t="str">
            <v>3508077609777</v>
          </cell>
          <cell r="Z857">
            <v>1400000</v>
          </cell>
        </row>
        <row r="858">
          <cell r="A858" t="str">
            <v>8493691082578</v>
          </cell>
          <cell r="Z858">
            <v>1400000</v>
          </cell>
        </row>
        <row r="859">
          <cell r="A859" t="str">
            <v>5497732511204</v>
          </cell>
          <cell r="Z859">
            <v>1400000</v>
          </cell>
        </row>
        <row r="860">
          <cell r="A860" t="str">
            <v>9854327647209</v>
          </cell>
          <cell r="Z860">
            <v>1400000</v>
          </cell>
        </row>
        <row r="861">
          <cell r="A861" t="str">
            <v>8802735215207</v>
          </cell>
          <cell r="Z861">
            <v>1400000</v>
          </cell>
        </row>
        <row r="862">
          <cell r="A862" t="str">
            <v>2463859896138</v>
          </cell>
          <cell r="Z862">
            <v>1400000</v>
          </cell>
        </row>
        <row r="863">
          <cell r="A863" t="str">
            <v>3837703668070</v>
          </cell>
          <cell r="Z863">
            <v>8250000</v>
          </cell>
        </row>
        <row r="864">
          <cell r="A864" t="str">
            <v>4673561428406</v>
          </cell>
          <cell r="Z864">
            <v>8250000</v>
          </cell>
        </row>
        <row r="865">
          <cell r="A865" t="str">
            <v>6827734035504</v>
          </cell>
          <cell r="Z865">
            <v>2400000</v>
          </cell>
        </row>
        <row r="866">
          <cell r="A866" t="str">
            <v>7032933076602</v>
          </cell>
          <cell r="Z866">
            <v>2400000</v>
          </cell>
        </row>
        <row r="867">
          <cell r="A867" t="str">
            <v>9387917215033</v>
          </cell>
          <cell r="Z867">
            <v>2400000</v>
          </cell>
        </row>
        <row r="868">
          <cell r="A868" t="str">
            <v>1940226356132</v>
          </cell>
          <cell r="Z868">
            <v>2400000</v>
          </cell>
        </row>
        <row r="869">
          <cell r="A869" t="str">
            <v>7875709877801</v>
          </cell>
          <cell r="Z869">
            <v>1150000</v>
          </cell>
        </row>
        <row r="870">
          <cell r="A870" t="str">
            <v>9972247569231</v>
          </cell>
          <cell r="Z870">
            <v>1150000</v>
          </cell>
        </row>
        <row r="871">
          <cell r="A871" t="str">
            <v>4299710649500</v>
          </cell>
          <cell r="Z871">
            <v>1150000</v>
          </cell>
        </row>
        <row r="872">
          <cell r="A872" t="str">
            <v>9834971735736</v>
          </cell>
          <cell r="Z872">
            <v>1150000</v>
          </cell>
        </row>
        <row r="873">
          <cell r="A873" t="str">
            <v>1018774360946</v>
          </cell>
          <cell r="Z873">
            <v>12250000</v>
          </cell>
        </row>
        <row r="874">
          <cell r="A874" t="str">
            <v>5506234647905</v>
          </cell>
          <cell r="Z874">
            <v>7950000</v>
          </cell>
        </row>
        <row r="875">
          <cell r="A875" t="str">
            <v>1885945921035</v>
          </cell>
          <cell r="Z875">
            <v>7950000</v>
          </cell>
        </row>
        <row r="876">
          <cell r="A876" t="str">
            <v>9417114911909</v>
          </cell>
          <cell r="Z876">
            <v>3800000</v>
          </cell>
        </row>
        <row r="877">
          <cell r="A877" t="str">
            <v>9693019092701</v>
          </cell>
          <cell r="Z877">
            <v>3800000</v>
          </cell>
        </row>
        <row r="878">
          <cell r="A878" t="str">
            <v>1515119052936</v>
          </cell>
          <cell r="Z878">
            <v>3800000</v>
          </cell>
        </row>
        <row r="879">
          <cell r="A879" t="str">
            <v>6068677731904</v>
          </cell>
          <cell r="Z879">
            <v>1500000</v>
          </cell>
        </row>
        <row r="880">
          <cell r="A880" t="str">
            <v>4328989562835</v>
          </cell>
          <cell r="Z880">
            <v>1500000</v>
          </cell>
        </row>
        <row r="881">
          <cell r="A881" t="str">
            <v>7374818273776</v>
          </cell>
          <cell r="Z881">
            <v>1500000</v>
          </cell>
        </row>
        <row r="882">
          <cell r="A882" t="str">
            <v>5635130104707</v>
          </cell>
          <cell r="Z882">
            <v>1500000</v>
          </cell>
        </row>
        <row r="883">
          <cell r="A883" t="str">
            <v>6786236464239</v>
          </cell>
          <cell r="Z883">
            <v>1500000</v>
          </cell>
        </row>
        <row r="884">
          <cell r="A884" t="str">
            <v>4817553895238</v>
          </cell>
          <cell r="Z884">
            <v>2850000</v>
          </cell>
        </row>
        <row r="885">
          <cell r="A885" t="str">
            <v>1507485082570</v>
          </cell>
          <cell r="Z885">
            <v>2850000</v>
          </cell>
        </row>
        <row r="886">
          <cell r="A886" t="str">
            <v>1451923021501</v>
          </cell>
          <cell r="Z886">
            <v>2850000</v>
          </cell>
        </row>
        <row r="887">
          <cell r="A887" t="str">
            <v>3886821609472</v>
          </cell>
          <cell r="Z887">
            <v>2850000</v>
          </cell>
        </row>
        <row r="888">
          <cell r="A888" t="str">
            <v>7003996055538</v>
          </cell>
          <cell r="Z888">
            <v>2850000</v>
          </cell>
        </row>
        <row r="889">
          <cell r="A889" t="str">
            <v>5972120473383</v>
          </cell>
          <cell r="Z889">
            <v>2850000</v>
          </cell>
        </row>
        <row r="890">
          <cell r="A890" t="str">
            <v>6605076947606</v>
          </cell>
          <cell r="Z890">
            <v>2850000</v>
          </cell>
        </row>
        <row r="891">
          <cell r="A891" t="str">
            <v>6137817064438</v>
          </cell>
          <cell r="Z891">
            <v>2850000</v>
          </cell>
        </row>
        <row r="892">
          <cell r="A892" t="str">
            <v>1900613673808</v>
          </cell>
          <cell r="Z892">
            <v>2850000</v>
          </cell>
        </row>
        <row r="893">
          <cell r="A893" t="str">
            <v>3411370781074</v>
          </cell>
          <cell r="Z893">
            <v>1300000</v>
          </cell>
        </row>
        <row r="894">
          <cell r="A894" t="str">
            <v>6487041218474</v>
          </cell>
          <cell r="Z894">
            <v>1300000</v>
          </cell>
        </row>
        <row r="895">
          <cell r="A895" t="str">
            <v>1766077649335</v>
          </cell>
          <cell r="Z895">
            <v>1300000</v>
          </cell>
        </row>
        <row r="896">
          <cell r="A896" t="str">
            <v>8894316421701</v>
          </cell>
          <cell r="Z896">
            <v>1300000</v>
          </cell>
        </row>
        <row r="897">
          <cell r="A897" t="str">
            <v>6407739109006</v>
          </cell>
          <cell r="Z897">
            <v>1300000</v>
          </cell>
        </row>
        <row r="898">
          <cell r="A898" t="str">
            <v>3440296234272</v>
          </cell>
          <cell r="Z898">
            <v>1300000</v>
          </cell>
        </row>
        <row r="899">
          <cell r="A899" t="str">
            <v>6862976709301</v>
          </cell>
          <cell r="Z899">
            <v>1300000</v>
          </cell>
        </row>
        <row r="900">
          <cell r="A900" t="str">
            <v>9213692928700</v>
          </cell>
          <cell r="Z900">
            <v>1300000</v>
          </cell>
        </row>
        <row r="901">
          <cell r="A901" t="str">
            <v>3957246411275</v>
          </cell>
          <cell r="Z901">
            <v>6300000</v>
          </cell>
        </row>
        <row r="902">
          <cell r="A902" t="str">
            <v>9060331159809</v>
          </cell>
          <cell r="Z902">
            <v>6300000</v>
          </cell>
        </row>
        <row r="903">
          <cell r="A903" t="str">
            <v>2840915442308</v>
          </cell>
          <cell r="Z903">
            <v>670000</v>
          </cell>
        </row>
        <row r="904">
          <cell r="A904" t="str">
            <v>7560962742774</v>
          </cell>
          <cell r="Z904">
            <v>670000</v>
          </cell>
        </row>
        <row r="905">
          <cell r="A905" t="str">
            <v>5897831676574</v>
          </cell>
          <cell r="Z905">
            <v>690000</v>
          </cell>
        </row>
        <row r="906">
          <cell r="A906" t="str">
            <v>1832990741170</v>
          </cell>
          <cell r="Z906">
            <v>690000</v>
          </cell>
        </row>
        <row r="907">
          <cell r="A907" t="str">
            <v>6558856497405</v>
          </cell>
          <cell r="Z907">
            <v>690000</v>
          </cell>
        </row>
        <row r="908">
          <cell r="A908" t="str">
            <v>3587043993874</v>
          </cell>
          <cell r="Z908">
            <v>690000</v>
          </cell>
        </row>
        <row r="909">
          <cell r="A909" t="str">
            <v>6132129523536</v>
          </cell>
          <cell r="Z909">
            <v>1500000</v>
          </cell>
        </row>
        <row r="910">
          <cell r="A910" t="str">
            <v>9983249003876</v>
          </cell>
          <cell r="Z910">
            <v>1500000</v>
          </cell>
        </row>
        <row r="911">
          <cell r="A911" t="str">
            <v>7870901414175</v>
          </cell>
          <cell r="Z911">
            <v>1500000</v>
          </cell>
        </row>
        <row r="912">
          <cell r="A912" t="str">
            <v>1519338977971</v>
          </cell>
          <cell r="Z912">
            <v>1500000</v>
          </cell>
        </row>
        <row r="913">
          <cell r="A913" t="str">
            <v>7063258191473</v>
          </cell>
          <cell r="Z913">
            <v>1500000</v>
          </cell>
        </row>
        <row r="914">
          <cell r="A914" t="str">
            <v>4453725942579</v>
          </cell>
          <cell r="Z914">
            <v>1500000</v>
          </cell>
        </row>
        <row r="915">
          <cell r="A915" t="str">
            <v>6565157263202</v>
          </cell>
          <cell r="Z915">
            <v>1500000</v>
          </cell>
        </row>
        <row r="916">
          <cell r="A916" t="str">
            <v>7991761554631</v>
          </cell>
          <cell r="Z916">
            <v>4700000</v>
          </cell>
        </row>
        <row r="917">
          <cell r="A917" t="str">
            <v>1812036023002</v>
          </cell>
          <cell r="Z917">
            <v>3150000</v>
          </cell>
        </row>
        <row r="918">
          <cell r="A918" t="str">
            <v>1983558867402</v>
          </cell>
          <cell r="Z918">
            <v>1150000</v>
          </cell>
        </row>
        <row r="919">
          <cell r="A919" t="str">
            <v>9685797838039</v>
          </cell>
          <cell r="Z919">
            <v>1150000</v>
          </cell>
        </row>
        <row r="920">
          <cell r="A920" t="str">
            <v>9532977746878</v>
          </cell>
          <cell r="Z920">
            <v>1150000</v>
          </cell>
        </row>
        <row r="921">
          <cell r="A921" t="str">
            <v>6389616358830</v>
          </cell>
          <cell r="Z921">
            <v>1150000</v>
          </cell>
        </row>
        <row r="922">
          <cell r="A922" t="str">
            <v>9808490529435</v>
          </cell>
          <cell r="Z922">
            <v>1150000</v>
          </cell>
        </row>
        <row r="923">
          <cell r="A923" t="str">
            <v>8502349981276</v>
          </cell>
          <cell r="Z923">
            <v>1150000</v>
          </cell>
        </row>
        <row r="924">
          <cell r="A924" t="str">
            <v>8565987019909</v>
          </cell>
          <cell r="Z924">
            <v>1150000</v>
          </cell>
        </row>
        <row r="925">
          <cell r="A925" t="str">
            <v>4593091118502</v>
          </cell>
          <cell r="Z925">
            <v>1150000</v>
          </cell>
        </row>
        <row r="926">
          <cell r="A926" t="str">
            <v>3533279114606</v>
          </cell>
          <cell r="Z926">
            <v>1150000</v>
          </cell>
        </row>
        <row r="927">
          <cell r="A927" t="str">
            <v>5085721294001</v>
          </cell>
          <cell r="Z927">
            <v>1150000</v>
          </cell>
        </row>
        <row r="928">
          <cell r="A928" t="str">
            <v>2835417806505</v>
          </cell>
          <cell r="Z928">
            <v>1150000</v>
          </cell>
        </row>
        <row r="929">
          <cell r="A929" t="str">
            <v>7384398594307</v>
          </cell>
          <cell r="Z929">
            <v>1150000</v>
          </cell>
        </row>
        <row r="930">
          <cell r="A930" t="str">
            <v>1150392641639</v>
          </cell>
          <cell r="Z930">
            <v>1150000</v>
          </cell>
        </row>
        <row r="931">
          <cell r="A931" t="str">
            <v>6491622589907</v>
          </cell>
          <cell r="Z931">
            <v>1150000</v>
          </cell>
        </row>
        <row r="932">
          <cell r="A932" t="str">
            <v>3080784181338</v>
          </cell>
          <cell r="Z932">
            <v>1150000</v>
          </cell>
        </row>
        <row r="933">
          <cell r="A933" t="str">
            <v>8936840773670</v>
          </cell>
          <cell r="Z933">
            <v>1150000</v>
          </cell>
        </row>
        <row r="934">
          <cell r="A934" t="str">
            <v>1954563392845</v>
          </cell>
          <cell r="Z934">
            <v>1150000</v>
          </cell>
        </row>
        <row r="935">
          <cell r="A935" t="str">
            <v>6743421874600</v>
          </cell>
          <cell r="Z935">
            <v>1150000</v>
          </cell>
        </row>
        <row r="936">
          <cell r="A936" t="str">
            <v>2330496205671</v>
          </cell>
          <cell r="Z936">
            <v>1150000</v>
          </cell>
        </row>
        <row r="937">
          <cell r="A937" t="str">
            <v>3657804342606</v>
          </cell>
          <cell r="Z937">
            <v>1150000</v>
          </cell>
        </row>
        <row r="938">
          <cell r="A938" t="str">
            <v>7508923832270</v>
          </cell>
          <cell r="Z938">
            <v>1150000</v>
          </cell>
        </row>
        <row r="939">
          <cell r="A939" t="str">
            <v>1399832142477</v>
          </cell>
          <cell r="Z939">
            <v>1150000</v>
          </cell>
        </row>
        <row r="940">
          <cell r="A940" t="str">
            <v>7945220284935</v>
          </cell>
          <cell r="Z940">
            <v>1150000</v>
          </cell>
        </row>
        <row r="941">
          <cell r="A941" t="str">
            <v>6005771737302</v>
          </cell>
          <cell r="Z941">
            <v>1150000</v>
          </cell>
        </row>
        <row r="942">
          <cell r="A942" t="str">
            <v>8126076618078</v>
          </cell>
          <cell r="Z942">
            <v>1150000</v>
          </cell>
        </row>
        <row r="943">
          <cell r="A943" t="str">
            <v>7959002768100</v>
          </cell>
          <cell r="Z943">
            <v>2350000</v>
          </cell>
        </row>
        <row r="944">
          <cell r="A944" t="str">
            <v>9522440238573</v>
          </cell>
          <cell r="Z944">
            <v>3550000</v>
          </cell>
        </row>
        <row r="945">
          <cell r="A945" t="str">
            <v>4408708405435</v>
          </cell>
          <cell r="Z945">
            <v>2900000</v>
          </cell>
        </row>
        <row r="946">
          <cell r="A946" t="str">
            <v>2307306916072</v>
          </cell>
          <cell r="Z946">
            <v>2900000</v>
          </cell>
        </row>
        <row r="947">
          <cell r="A947" t="str">
            <v>8415418888676</v>
          </cell>
          <cell r="Z947">
            <v>2900000</v>
          </cell>
        </row>
        <row r="948">
          <cell r="A948" t="str">
            <v>6344756106376</v>
          </cell>
          <cell r="Z948">
            <v>2900000</v>
          </cell>
        </row>
        <row r="949">
          <cell r="A949" t="str">
            <v>6509370311500</v>
          </cell>
          <cell r="Z949">
            <v>2900000</v>
          </cell>
        </row>
        <row r="950">
          <cell r="A950" t="str">
            <v>3323628447901</v>
          </cell>
          <cell r="Z950">
            <v>2900000</v>
          </cell>
        </row>
        <row r="951">
          <cell r="A951" t="str">
            <v>3921553577801</v>
          </cell>
          <cell r="Z951">
            <v>1850000</v>
          </cell>
        </row>
        <row r="952">
          <cell r="A952" t="str">
            <v>9472508958205</v>
          </cell>
          <cell r="Z952">
            <v>2900000</v>
          </cell>
        </row>
        <row r="953">
          <cell r="A953" t="str">
            <v>1229417612005</v>
          </cell>
          <cell r="Z953">
            <v>2900000</v>
          </cell>
        </row>
        <row r="954">
          <cell r="A954" t="str">
            <v>2619943164106</v>
          </cell>
          <cell r="Z954">
            <v>2900000</v>
          </cell>
        </row>
        <row r="955">
          <cell r="A955" t="str">
            <v>3521492372101</v>
          </cell>
          <cell r="Z955">
            <v>2900000</v>
          </cell>
        </row>
        <row r="956">
          <cell r="A956" t="str">
            <v>7295560067638</v>
          </cell>
          <cell r="Z956">
            <v>1350000</v>
          </cell>
        </row>
        <row r="957">
          <cell r="A957" t="str">
            <v>1461247589601</v>
          </cell>
          <cell r="Z957">
            <v>1350000</v>
          </cell>
        </row>
        <row r="958">
          <cell r="A958" t="str">
            <v>2574956784034</v>
          </cell>
          <cell r="Z958">
            <v>4550000</v>
          </cell>
        </row>
        <row r="959">
          <cell r="A959" t="str">
            <v>2030312268933</v>
          </cell>
          <cell r="Z959">
            <v>4550000</v>
          </cell>
        </row>
        <row r="960">
          <cell r="A960" t="str">
            <v>7258838512506</v>
          </cell>
          <cell r="Z960">
            <v>3800000</v>
          </cell>
        </row>
        <row r="961">
          <cell r="A961" t="str">
            <v>7922709667601</v>
          </cell>
          <cell r="Z961">
            <v>7800000</v>
          </cell>
        </row>
        <row r="962">
          <cell r="A962" t="str">
            <v>3499280303838</v>
          </cell>
          <cell r="Z962">
            <v>7800000</v>
          </cell>
        </row>
        <row r="963">
          <cell r="A963" t="str">
            <v>7608177614100</v>
          </cell>
          <cell r="Z963">
            <v>7800000</v>
          </cell>
        </row>
        <row r="964">
          <cell r="A964" t="str">
            <v>5994847236034</v>
          </cell>
          <cell r="Z964">
            <v>7800000</v>
          </cell>
        </row>
        <row r="965">
          <cell r="A965" t="str">
            <v>9608332998234</v>
          </cell>
          <cell r="Z965">
            <v>7800000</v>
          </cell>
        </row>
        <row r="966">
          <cell r="A966" t="str">
            <v>2408776335278</v>
          </cell>
          <cell r="Z966">
            <v>7800000</v>
          </cell>
        </row>
        <row r="967">
          <cell r="A967" t="str">
            <v>6930172909174</v>
          </cell>
          <cell r="Z967">
            <v>7800000</v>
          </cell>
        </row>
        <row r="968">
          <cell r="A968" t="str">
            <v>4627818484431</v>
          </cell>
          <cell r="Z968">
            <v>7800000</v>
          </cell>
        </row>
        <row r="969">
          <cell r="A969" t="str">
            <v>1545183476932</v>
          </cell>
          <cell r="Z969">
            <v>7800000</v>
          </cell>
        </row>
        <row r="970">
          <cell r="A970" t="str">
            <v>8797306054777</v>
          </cell>
          <cell r="Z970">
            <v>7800000</v>
          </cell>
        </row>
        <row r="971">
          <cell r="A971" t="str">
            <v>9649201475777</v>
          </cell>
          <cell r="Z971">
            <v>7800000</v>
          </cell>
        </row>
        <row r="972">
          <cell r="A972" t="str">
            <v>1771068326331</v>
          </cell>
          <cell r="Z972">
            <v>7800000</v>
          </cell>
        </row>
        <row r="973">
          <cell r="A973" t="str">
            <v>9236589846673</v>
          </cell>
          <cell r="Z973">
            <v>7800000</v>
          </cell>
        </row>
        <row r="974">
          <cell r="A974" t="str">
            <v>6180260665172</v>
          </cell>
          <cell r="Z974">
            <v>7800000</v>
          </cell>
        </row>
        <row r="975">
          <cell r="A975" t="str">
            <v>1956481755504</v>
          </cell>
          <cell r="Z975">
            <v>7800000</v>
          </cell>
        </row>
        <row r="976">
          <cell r="A976" t="str">
            <v>8804874762437</v>
          </cell>
          <cell r="Z976">
            <v>7800000</v>
          </cell>
        </row>
        <row r="977">
          <cell r="A977" t="str">
            <v>1584738606639</v>
          </cell>
          <cell r="Z977">
            <v>7800000</v>
          </cell>
        </row>
        <row r="978">
          <cell r="A978" t="str">
            <v>4730191605734</v>
          </cell>
          <cell r="Z978">
            <v>7800000</v>
          </cell>
        </row>
        <row r="979">
          <cell r="A979" t="str">
            <v>6990132828907</v>
          </cell>
          <cell r="Z979">
            <v>5800000</v>
          </cell>
        </row>
        <row r="980">
          <cell r="A980" t="str">
            <v>2396950987774</v>
          </cell>
          <cell r="Z980">
            <v>5800000</v>
          </cell>
        </row>
        <row r="981">
          <cell r="A981" t="str">
            <v>3138097068331</v>
          </cell>
          <cell r="Z981">
            <v>5800000</v>
          </cell>
        </row>
        <row r="982">
          <cell r="A982" t="str">
            <v>8604379487206</v>
          </cell>
          <cell r="Z982">
            <v>5800000</v>
          </cell>
        </row>
        <row r="983">
          <cell r="A983" t="str">
            <v>4566930287431</v>
          </cell>
          <cell r="Z983">
            <v>5800000</v>
          </cell>
        </row>
        <row r="984">
          <cell r="A984" t="str">
            <v>1213911738606</v>
          </cell>
          <cell r="Z984">
            <v>5800000</v>
          </cell>
        </row>
        <row r="985">
          <cell r="A985" t="str">
            <v>6119372468104</v>
          </cell>
          <cell r="Z985">
            <v>5800000</v>
          </cell>
        </row>
        <row r="986">
          <cell r="A986" t="str">
            <v>9785994789704</v>
          </cell>
          <cell r="Z986">
            <v>6200000</v>
          </cell>
        </row>
        <row r="987">
          <cell r="A987" t="str">
            <v>2395527031100</v>
          </cell>
          <cell r="Z987">
            <v>6200000</v>
          </cell>
        </row>
        <row r="988">
          <cell r="A988" t="str">
            <v>1835716156531</v>
          </cell>
          <cell r="Z988">
            <v>6200000</v>
          </cell>
        </row>
        <row r="989">
          <cell r="A989" t="str">
            <v>2152476667237</v>
          </cell>
          <cell r="Z989">
            <v>6200000</v>
          </cell>
        </row>
        <row r="990">
          <cell r="A990" t="str">
            <v>8728904719430</v>
          </cell>
          <cell r="Z990">
            <v>6200000</v>
          </cell>
        </row>
        <row r="991">
          <cell r="A991" t="str">
            <v>2431971236804</v>
          </cell>
          <cell r="Z991">
            <v>6200000</v>
          </cell>
        </row>
        <row r="992">
          <cell r="A992" t="str">
            <v>5748545589974</v>
          </cell>
          <cell r="Z992">
            <v>6200000</v>
          </cell>
        </row>
        <row r="993">
          <cell r="A993" t="str">
            <v>1784317619634</v>
          </cell>
          <cell r="Z993">
            <v>6200000</v>
          </cell>
        </row>
        <row r="994">
          <cell r="A994" t="str">
            <v>4351287147305</v>
          </cell>
          <cell r="Z994">
            <v>8250000</v>
          </cell>
        </row>
        <row r="995">
          <cell r="A995" t="str">
            <v>2923370205876</v>
          </cell>
          <cell r="Z995">
            <v>8250000</v>
          </cell>
        </row>
        <row r="996">
          <cell r="A996" t="str">
            <v>6683904298274</v>
          </cell>
          <cell r="Z996">
            <v>8250000</v>
          </cell>
        </row>
        <row r="997">
          <cell r="A997" t="str">
            <v>7142567738705</v>
          </cell>
          <cell r="Z997">
            <v>8250000</v>
          </cell>
        </row>
        <row r="998">
          <cell r="A998" t="str">
            <v>5320917052608</v>
          </cell>
          <cell r="Z998">
            <v>7500000</v>
          </cell>
        </row>
        <row r="999">
          <cell r="A999" t="str">
            <v>8255036351530</v>
          </cell>
          <cell r="Z999">
            <v>8250000</v>
          </cell>
        </row>
        <row r="1000">
          <cell r="A1000" t="str">
            <v>5878989924175</v>
          </cell>
          <cell r="Z1000">
            <v>7500000</v>
          </cell>
        </row>
        <row r="1001">
          <cell r="A1001" t="str">
            <v>8171748121400</v>
          </cell>
          <cell r="Z1001">
            <v>7500000</v>
          </cell>
        </row>
        <row r="1002">
          <cell r="A1002" t="str">
            <v>4031257441830</v>
          </cell>
          <cell r="Z1002">
            <v>8250000</v>
          </cell>
        </row>
        <row r="1003">
          <cell r="A1003" t="str">
            <v>2741621856673</v>
          </cell>
          <cell r="Z1003">
            <v>8250000</v>
          </cell>
        </row>
        <row r="1004">
          <cell r="A1004" t="str">
            <v>2478815261202</v>
          </cell>
          <cell r="Z1004">
            <v>8250000</v>
          </cell>
        </row>
        <row r="1005">
          <cell r="A1005" t="str">
            <v>3794130558704</v>
          </cell>
          <cell r="Z1005">
            <v>8250000</v>
          </cell>
        </row>
        <row r="1006">
          <cell r="A1006" t="str">
            <v>6421667088837</v>
          </cell>
          <cell r="Z1006">
            <v>8250000</v>
          </cell>
        </row>
        <row r="1007">
          <cell r="A1007" t="str">
            <v>3845844012836</v>
          </cell>
          <cell r="Z1007">
            <v>8250000</v>
          </cell>
        </row>
        <row r="1008">
          <cell r="A1008" t="str">
            <v>2417010783577</v>
          </cell>
          <cell r="Z1008">
            <v>8250000</v>
          </cell>
        </row>
        <row r="1009">
          <cell r="A1009" t="str">
            <v>9622065103178</v>
          </cell>
          <cell r="Z1009">
            <v>8250000</v>
          </cell>
        </row>
        <row r="1010">
          <cell r="A1010" t="str">
            <v>3947969211702</v>
          </cell>
          <cell r="Z1010">
            <v>7500000</v>
          </cell>
        </row>
        <row r="1011">
          <cell r="A1011" t="str">
            <v>9434088292209</v>
          </cell>
          <cell r="Z1011">
            <v>6200000</v>
          </cell>
        </row>
        <row r="1012">
          <cell r="A1012" t="str">
            <v>8482603073131</v>
          </cell>
          <cell r="Z1012">
            <v>6200000</v>
          </cell>
        </row>
        <row r="1013">
          <cell r="A1013" t="str">
            <v>3762555772579</v>
          </cell>
          <cell r="Z1013">
            <v>6200000</v>
          </cell>
        </row>
        <row r="1014">
          <cell r="A1014" t="str">
            <v>2891795411939</v>
          </cell>
          <cell r="Z1014">
            <v>6200000</v>
          </cell>
        </row>
        <row r="1015">
          <cell r="A1015" t="str">
            <v>8296273353406</v>
          </cell>
          <cell r="Z1015">
            <v>6200000</v>
          </cell>
        </row>
        <row r="1016">
          <cell r="A1016" t="str">
            <v>6315286376805</v>
          </cell>
          <cell r="Z1016">
            <v>6200000</v>
          </cell>
        </row>
        <row r="1017">
          <cell r="A1017" t="str">
            <v>1718848045570</v>
          </cell>
          <cell r="Z1017">
            <v>6200000</v>
          </cell>
        </row>
        <row r="1018">
          <cell r="A1018" t="str">
            <v>2971418553700</v>
          </cell>
          <cell r="Z1018">
            <v>6200000</v>
          </cell>
        </row>
        <row r="1019">
          <cell r="A1019" t="str">
            <v>2956770178235</v>
          </cell>
          <cell r="Z1019">
            <v>7500000</v>
          </cell>
        </row>
        <row r="1020">
          <cell r="A1020" t="str">
            <v>8747639644008</v>
          </cell>
          <cell r="Z1020">
            <v>7500000</v>
          </cell>
        </row>
        <row r="1021">
          <cell r="A1021" t="str">
            <v>5916981201501</v>
          </cell>
          <cell r="Z1021">
            <v>7600000</v>
          </cell>
        </row>
        <row r="1022">
          <cell r="A1022" t="str">
            <v>4198357415731</v>
          </cell>
          <cell r="Z1022">
            <v>7500000</v>
          </cell>
        </row>
        <row r="1023">
          <cell r="A1023" t="str">
            <v>3247477023706</v>
          </cell>
          <cell r="Z1023">
            <v>10800000</v>
          </cell>
        </row>
        <row r="1024">
          <cell r="A1024" t="str">
            <v>5546154323404</v>
          </cell>
          <cell r="Z1024">
            <v>10800000</v>
          </cell>
        </row>
        <row r="1025">
          <cell r="A1025" t="str">
            <v>5132754799635</v>
          </cell>
          <cell r="Z1025">
            <v>5200000</v>
          </cell>
        </row>
        <row r="1026">
          <cell r="A1026" t="str">
            <v>1896893188531</v>
          </cell>
          <cell r="Z1026">
            <v>5200000</v>
          </cell>
        </row>
        <row r="1027">
          <cell r="A1027" t="str">
            <v>2523222541031</v>
          </cell>
          <cell r="Z1027">
            <v>5200000</v>
          </cell>
        </row>
        <row r="1028">
          <cell r="A1028" t="str">
            <v>4920779334808</v>
          </cell>
          <cell r="Z1028">
            <v>10800000</v>
          </cell>
        </row>
        <row r="1029">
          <cell r="A1029" t="str">
            <v>5790623425278</v>
          </cell>
          <cell r="Z1029">
            <v>10800000</v>
          </cell>
        </row>
        <row r="1030">
          <cell r="A1030" t="str">
            <v>7613180442770</v>
          </cell>
          <cell r="Z1030">
            <v>5200000</v>
          </cell>
        </row>
        <row r="1031">
          <cell r="A1031" t="str">
            <v>9227427104178</v>
          </cell>
          <cell r="Z1031">
            <v>5200000</v>
          </cell>
        </row>
        <row r="1032">
          <cell r="A1032" t="str">
            <v>2579491289006</v>
          </cell>
          <cell r="Z1032">
            <v>8250000</v>
          </cell>
        </row>
        <row r="1033">
          <cell r="A1033" t="str">
            <v>4106218019059</v>
          </cell>
          <cell r="Z1033">
            <v>10800000</v>
          </cell>
        </row>
        <row r="1034">
          <cell r="A1034" t="str">
            <v>9058494595732</v>
          </cell>
          <cell r="Z1034">
            <v>6200000</v>
          </cell>
        </row>
        <row r="1035">
          <cell r="A1035" t="str">
            <v>7134309266003</v>
          </cell>
          <cell r="Z1035">
            <v>6200000</v>
          </cell>
        </row>
        <row r="1036">
          <cell r="A1036" t="str">
            <v>3467686934574</v>
          </cell>
          <cell r="Z1036">
            <v>6200000</v>
          </cell>
        </row>
        <row r="1037">
          <cell r="A1037" t="str">
            <v>3095943785401</v>
          </cell>
          <cell r="Z1037">
            <v>6200000</v>
          </cell>
        </row>
        <row r="1038">
          <cell r="A1038" t="str">
            <v>7319722695139</v>
          </cell>
          <cell r="Z1038">
            <v>6200000</v>
          </cell>
        </row>
        <row r="1039">
          <cell r="A1039" t="str">
            <v>4153033856307</v>
          </cell>
          <cell r="Z1039">
            <v>6200000</v>
          </cell>
        </row>
        <row r="1040">
          <cell r="A1040" t="str">
            <v>4649302247100</v>
          </cell>
          <cell r="Z1040">
            <v>6200000</v>
          </cell>
        </row>
        <row r="1041">
          <cell r="A1041" t="str">
            <v>1543501604838</v>
          </cell>
          <cell r="Z1041">
            <v>6200000</v>
          </cell>
        </row>
        <row r="1042">
          <cell r="A1042" t="str">
            <v>4207077237735</v>
          </cell>
          <cell r="Z1042">
            <v>9250000</v>
          </cell>
        </row>
        <row r="1043">
          <cell r="A1043" t="str">
            <v>1296283698136</v>
          </cell>
          <cell r="Z1043">
            <v>7500000</v>
          </cell>
        </row>
        <row r="1044">
          <cell r="A1044" t="str">
            <v>2059262329273</v>
          </cell>
          <cell r="Z1044">
            <v>7500000</v>
          </cell>
        </row>
        <row r="1045">
          <cell r="A1045" t="str">
            <v>8623225913539</v>
          </cell>
          <cell r="Z1045">
            <v>7500000</v>
          </cell>
        </row>
        <row r="1046">
          <cell r="A1046" t="str">
            <v>8229392685271</v>
          </cell>
          <cell r="Z1046">
            <v>7500000</v>
          </cell>
        </row>
        <row r="1047">
          <cell r="A1047" t="str">
            <v>7665518491974</v>
          </cell>
          <cell r="Z1047">
            <v>7500000</v>
          </cell>
        </row>
        <row r="1048">
          <cell r="A1048" t="str">
            <v>8315924568539</v>
          </cell>
          <cell r="Z1048">
            <v>7500000</v>
          </cell>
        </row>
        <row r="1049">
          <cell r="A1049" t="str">
            <v>4007446327308</v>
          </cell>
          <cell r="Z1049">
            <v>7500000</v>
          </cell>
        </row>
        <row r="1050">
          <cell r="A1050" t="str">
            <v>4565519198830</v>
          </cell>
          <cell r="Z1050">
            <v>7500000</v>
          </cell>
        </row>
        <row r="1051">
          <cell r="A1051" t="str">
            <v>9743841517405</v>
          </cell>
          <cell r="Z1051">
            <v>7800000</v>
          </cell>
        </row>
        <row r="1052">
          <cell r="A1052" t="str">
            <v>5520062607771</v>
          </cell>
          <cell r="Z1052">
            <v>7800000</v>
          </cell>
        </row>
        <row r="1053">
          <cell r="A1053" t="str">
            <v>4092145658839</v>
          </cell>
          <cell r="Z1053">
            <v>7500000</v>
          </cell>
        </row>
        <row r="1054">
          <cell r="A1054" t="str">
            <v>1765992138238</v>
          </cell>
          <cell r="Z1054">
            <v>7800000</v>
          </cell>
        </row>
        <row r="1055">
          <cell r="A1055" t="str">
            <v>3906732219802</v>
          </cell>
          <cell r="Z1055">
            <v>7800000</v>
          </cell>
        </row>
        <row r="1056">
          <cell r="A1056" t="str">
            <v>9868366749176</v>
          </cell>
          <cell r="Z1056">
            <v>7800000</v>
          </cell>
        </row>
        <row r="1057">
          <cell r="A1057" t="str">
            <v>5830917549508</v>
          </cell>
          <cell r="Z1057">
            <v>7800000</v>
          </cell>
        </row>
        <row r="1058">
          <cell r="A1058" t="str">
            <v>4604002714635</v>
          </cell>
          <cell r="Z1058">
            <v>7800000</v>
          </cell>
        </row>
        <row r="1059">
          <cell r="A1059" t="str">
            <v>4949662359506</v>
          </cell>
          <cell r="Z1059">
            <v>7800000</v>
          </cell>
        </row>
        <row r="1060">
          <cell r="A1060" t="str">
            <v>2694540439277</v>
          </cell>
          <cell r="Z1060">
            <v>7800000</v>
          </cell>
        </row>
        <row r="1061">
          <cell r="A1061" t="str">
            <v>5741636842309</v>
          </cell>
          <cell r="Z1061">
            <v>7800000</v>
          </cell>
        </row>
        <row r="1062">
          <cell r="A1062" t="str">
            <v>4372040250179</v>
          </cell>
          <cell r="Z1062">
            <v>7800000</v>
          </cell>
        </row>
        <row r="1063">
          <cell r="A1063" t="str">
            <v>9436651663973</v>
          </cell>
          <cell r="Z1063">
            <v>7500000</v>
          </cell>
        </row>
        <row r="1064">
          <cell r="A1064" t="str">
            <v>7696762486676</v>
          </cell>
          <cell r="Z1064">
            <v>8250000</v>
          </cell>
        </row>
        <row r="1065">
          <cell r="A1065" t="str">
            <v>8430856148076</v>
          </cell>
          <cell r="Z1065">
            <v>8250000</v>
          </cell>
        </row>
        <row r="1066">
          <cell r="A1066" t="str">
            <v>6823539464150</v>
          </cell>
          <cell r="Z1066">
            <v>8250000</v>
          </cell>
        </row>
        <row r="1067">
          <cell r="A1067" t="str">
            <v>5174989492448</v>
          </cell>
          <cell r="Z1067">
            <v>8250000</v>
          </cell>
        </row>
        <row r="1068">
          <cell r="A1068" t="str">
            <v>6518109023072</v>
          </cell>
          <cell r="Z1068">
            <v>6200000</v>
          </cell>
        </row>
        <row r="1069">
          <cell r="A1069" t="str">
            <v>5212872754331</v>
          </cell>
          <cell r="Z1069">
            <v>6200000</v>
          </cell>
        </row>
        <row r="1070">
          <cell r="A1070" t="str">
            <v>7946025974472</v>
          </cell>
          <cell r="Z1070">
            <v>6200000</v>
          </cell>
        </row>
        <row r="1071">
          <cell r="A1071" t="str">
            <v>6709020101509</v>
          </cell>
          <cell r="Z1071">
            <v>7500000</v>
          </cell>
        </row>
        <row r="1072">
          <cell r="A1072" t="str">
            <v>1382347346836</v>
          </cell>
          <cell r="Z1072">
            <v>7500000</v>
          </cell>
        </row>
        <row r="1073">
          <cell r="A1073" t="str">
            <v>5916064927601</v>
          </cell>
          <cell r="Z1073">
            <v>7500000</v>
          </cell>
        </row>
        <row r="1074">
          <cell r="A1074" t="str">
            <v>1502490339725</v>
          </cell>
          <cell r="Z1074">
            <v>7500000</v>
          </cell>
        </row>
        <row r="1075">
          <cell r="A1075" t="str">
            <v>3291752478804</v>
          </cell>
          <cell r="Z1075">
            <v>7500000</v>
          </cell>
        </row>
        <row r="1076">
          <cell r="A1076" t="str">
            <v>2654040679733</v>
          </cell>
          <cell r="Z1076">
            <v>7500000</v>
          </cell>
        </row>
        <row r="1077">
          <cell r="A1077" t="str">
            <v>2033403019995</v>
          </cell>
          <cell r="Z1077">
            <v>7500000</v>
          </cell>
        </row>
        <row r="1078">
          <cell r="A1078" t="str">
            <v>9198077045930</v>
          </cell>
          <cell r="Z1078">
            <v>7500000</v>
          </cell>
        </row>
        <row r="1079">
          <cell r="A1079" t="str">
            <v>5633161623372</v>
          </cell>
          <cell r="Z1079">
            <v>2350000</v>
          </cell>
        </row>
        <row r="1080">
          <cell r="A1080" t="str">
            <v>9856940533709</v>
          </cell>
          <cell r="Z1080">
            <v>2350000</v>
          </cell>
        </row>
        <row r="1081">
          <cell r="A1081" t="str">
            <v>2341947554637</v>
          </cell>
          <cell r="Z1081">
            <v>3550000</v>
          </cell>
        </row>
        <row r="1082">
          <cell r="A1082" t="str">
            <v>7808229975405</v>
          </cell>
          <cell r="Z1082">
            <v>3250000</v>
          </cell>
        </row>
        <row r="1083">
          <cell r="A1083" t="str">
            <v>2707276781975</v>
          </cell>
          <cell r="Z1083">
            <v>4750000</v>
          </cell>
        </row>
        <row r="1084">
          <cell r="A1084" t="str">
            <v>8483497871674</v>
          </cell>
          <cell r="Z1084">
            <v>4750000</v>
          </cell>
        </row>
        <row r="1085">
          <cell r="A1085" t="str">
            <v>3651930967474</v>
          </cell>
          <cell r="Z1085">
            <v>14990000</v>
          </cell>
        </row>
        <row r="1086">
          <cell r="A1086" t="str">
            <v>2669540237000</v>
          </cell>
          <cell r="Z1086">
            <v>14990000</v>
          </cell>
        </row>
        <row r="1087">
          <cell r="A1087" t="str">
            <v>5326838745100</v>
          </cell>
          <cell r="Z1087">
            <v>7550000</v>
          </cell>
        </row>
        <row r="1088">
          <cell r="A1088" t="str">
            <v>3734262861709</v>
          </cell>
          <cell r="Z1088">
            <v>1950000</v>
          </cell>
        </row>
        <row r="1089">
          <cell r="A1089" t="str">
            <v>4610012510235</v>
          </cell>
          <cell r="Z1089">
            <v>1950000</v>
          </cell>
        </row>
        <row r="1090">
          <cell r="A1090" t="str">
            <v>2190925309475</v>
          </cell>
          <cell r="Z1090">
            <v>1950000</v>
          </cell>
        </row>
        <row r="1091">
          <cell r="A1091" t="str">
            <v>9057917005407</v>
          </cell>
          <cell r="Z1091">
            <v>12290000</v>
          </cell>
        </row>
        <row r="1092">
          <cell r="A1092" t="str">
            <v>6253836294431</v>
          </cell>
          <cell r="Z1092">
            <v>15990000</v>
          </cell>
        </row>
        <row r="1093">
          <cell r="A1093" t="str">
            <v>7809493329406</v>
          </cell>
          <cell r="Z1093">
            <v>3300000</v>
          </cell>
        </row>
        <row r="1094">
          <cell r="A1094" t="str">
            <v>5386257913672</v>
          </cell>
          <cell r="Z1094">
            <v>3300000</v>
          </cell>
        </row>
        <row r="1095">
          <cell r="A1095" t="str">
            <v>1029532505400</v>
          </cell>
          <cell r="Z1095">
            <v>3300000</v>
          </cell>
        </row>
        <row r="1096">
          <cell r="A1096" t="str">
            <v>5481899311609</v>
          </cell>
          <cell r="Z1096">
            <v>3300000</v>
          </cell>
        </row>
        <row r="1097">
          <cell r="A1097" t="str">
            <v>1028616235707</v>
          </cell>
          <cell r="Z1097">
            <v>3300000</v>
          </cell>
        </row>
        <row r="1098">
          <cell r="A1098" t="str">
            <v>7162233535735</v>
          </cell>
          <cell r="Z1098">
            <v>3300000</v>
          </cell>
        </row>
        <row r="1099">
          <cell r="A1099" t="str">
            <v>7177496746033</v>
          </cell>
          <cell r="Z1099">
            <v>6190000</v>
          </cell>
        </row>
        <row r="1100">
          <cell r="A1100" t="str">
            <v>9662503766978</v>
          </cell>
          <cell r="Z1100">
            <v>6190000</v>
          </cell>
        </row>
        <row r="1101">
          <cell r="A1101" t="str">
            <v>1401275656333</v>
          </cell>
          <cell r="Z1101">
            <v>6190000</v>
          </cell>
        </row>
        <row r="1102">
          <cell r="A1102" t="str">
            <v>9967659268339</v>
          </cell>
          <cell r="Z1102">
            <v>8690000</v>
          </cell>
        </row>
        <row r="1103">
          <cell r="A1103" t="str">
            <v>9238555327735</v>
          </cell>
          <cell r="Z1103">
            <v>8690000</v>
          </cell>
        </row>
        <row r="1104">
          <cell r="A1104" t="str">
            <v>1349986647137</v>
          </cell>
          <cell r="Z1104">
            <v>8690000</v>
          </cell>
        </row>
        <row r="1105">
          <cell r="A1105" t="str">
            <v>7685196876573</v>
          </cell>
          <cell r="Z1105">
            <v>8690000</v>
          </cell>
        </row>
        <row r="1106">
          <cell r="A1106" t="str">
            <v>7829223697834</v>
          </cell>
          <cell r="Z1106">
            <v>8690000</v>
          </cell>
        </row>
        <row r="1107">
          <cell r="A1107" t="str">
            <v>5086625599100</v>
          </cell>
          <cell r="Z1107">
            <v>8690000</v>
          </cell>
        </row>
        <row r="1108">
          <cell r="A1108" t="str">
            <v>4806333124170</v>
          </cell>
          <cell r="Z1108">
            <v>8690000</v>
          </cell>
        </row>
        <row r="1109">
          <cell r="A1109" t="str">
            <v>7064873795428</v>
          </cell>
          <cell r="Z1109">
            <v>8690000</v>
          </cell>
        </row>
        <row r="1110">
          <cell r="A1110" t="str">
            <v>1489137949878</v>
          </cell>
          <cell r="Z1110">
            <v>8690000</v>
          </cell>
        </row>
        <row r="1111">
          <cell r="A1111" t="str">
            <v>6977456188771</v>
          </cell>
          <cell r="Z1111">
            <v>8690000</v>
          </cell>
        </row>
        <row r="1112">
          <cell r="A1112" t="str">
            <v>3573161902454</v>
          </cell>
          <cell r="Z1112">
            <v>8690000</v>
          </cell>
        </row>
        <row r="1113">
          <cell r="A1113" t="str">
            <v>7265359039573</v>
          </cell>
          <cell r="Z1113">
            <v>8690000</v>
          </cell>
        </row>
        <row r="1114">
          <cell r="A1114" t="str">
            <v>5389825505477</v>
          </cell>
          <cell r="Z1114">
            <v>4650000</v>
          </cell>
        </row>
        <row r="1115">
          <cell r="A1115" t="str">
            <v>4829920096407</v>
          </cell>
          <cell r="Z1115">
            <v>4650000</v>
          </cell>
        </row>
        <row r="1116">
          <cell r="A1116" t="str">
            <v>5423236756971</v>
          </cell>
          <cell r="Z1116">
            <v>4650000</v>
          </cell>
        </row>
        <row r="1117">
          <cell r="A1117" t="str">
            <v>4181213653804</v>
          </cell>
          <cell r="Z1117">
            <v>4650000</v>
          </cell>
        </row>
        <row r="1118">
          <cell r="A1118" t="str">
            <v>1801304336876</v>
          </cell>
          <cell r="Z1118">
            <v>4650000</v>
          </cell>
        </row>
        <row r="1119">
          <cell r="A1119" t="str">
            <v>8286865765632</v>
          </cell>
          <cell r="Z1119">
            <v>4650000</v>
          </cell>
        </row>
        <row r="1120">
          <cell r="A1120" t="str">
            <v>5027459315337</v>
          </cell>
          <cell r="Z1120">
            <v>4650000</v>
          </cell>
        </row>
        <row r="1121">
          <cell r="A1121" t="str">
            <v>9251238225005</v>
          </cell>
          <cell r="Z1121">
            <v>4650000</v>
          </cell>
        </row>
        <row r="1122">
          <cell r="A1122" t="str">
            <v>9983298327435</v>
          </cell>
          <cell r="Z1122">
            <v>5500000</v>
          </cell>
        </row>
        <row r="1123">
          <cell r="A1123" t="str">
            <v>5759519417131</v>
          </cell>
          <cell r="Z1123">
            <v>5500000</v>
          </cell>
        </row>
        <row r="1124">
          <cell r="A1124" t="str">
            <v>7686468155730</v>
          </cell>
          <cell r="Z1124">
            <v>5950000</v>
          </cell>
        </row>
        <row r="1125">
          <cell r="A1125" t="str">
            <v>4782526707002</v>
          </cell>
          <cell r="Z1125">
            <v>5950000</v>
          </cell>
        </row>
        <row r="1126">
          <cell r="A1126" t="str">
            <v>3089113546374</v>
          </cell>
          <cell r="Z1126">
            <v>5950000</v>
          </cell>
        </row>
        <row r="1127">
          <cell r="A1127" t="str">
            <v>1105872563871</v>
          </cell>
          <cell r="Z1127">
            <v>5950000</v>
          </cell>
        </row>
        <row r="1128">
          <cell r="A1128" t="str">
            <v>8994441244500</v>
          </cell>
          <cell r="Z1128">
            <v>5950000</v>
          </cell>
        </row>
        <row r="1129">
          <cell r="A1129" t="str">
            <v>9797899475101</v>
          </cell>
          <cell r="Z1129">
            <v>5950000</v>
          </cell>
        </row>
        <row r="1130">
          <cell r="A1130" t="str">
            <v>6945730672773</v>
          </cell>
          <cell r="Z1130">
            <v>5950000</v>
          </cell>
        </row>
        <row r="1131">
          <cell r="A1131" t="str">
            <v>9553430383232</v>
          </cell>
          <cell r="Z1131">
            <v>5950000</v>
          </cell>
        </row>
        <row r="1132">
          <cell r="A1132" t="str">
            <v>9033786163134</v>
          </cell>
          <cell r="Z1132">
            <v>2200000</v>
          </cell>
        </row>
        <row r="1133">
          <cell r="A1133" t="str">
            <v>6412342343303</v>
          </cell>
          <cell r="Z1133">
            <v>2000000</v>
          </cell>
        </row>
        <row r="1134">
          <cell r="A1134" t="str">
            <v>2448457369956</v>
          </cell>
          <cell r="Z1134">
            <v>1250000</v>
          </cell>
        </row>
        <row r="1135">
          <cell r="A1135" t="str">
            <v>7403419905776</v>
          </cell>
          <cell r="Z1135">
            <v>2000000</v>
          </cell>
        </row>
        <row r="1136">
          <cell r="A1136" t="str">
            <v>8455928607503</v>
          </cell>
          <cell r="Z1136">
            <v>1800000</v>
          </cell>
        </row>
        <row r="1137">
          <cell r="A1137" t="str">
            <v>4750035329572</v>
          </cell>
          <cell r="Z1137">
            <v>2200000</v>
          </cell>
        </row>
        <row r="1138">
          <cell r="A1138" t="str">
            <v>2573134424878</v>
          </cell>
          <cell r="Z1138">
            <v>2200000</v>
          </cell>
        </row>
        <row r="1139">
          <cell r="A1139" t="str">
            <v>6981410506433</v>
          </cell>
          <cell r="Z1139">
            <v>1800000</v>
          </cell>
        </row>
        <row r="1140">
          <cell r="A1140" t="str">
            <v>1658014971671</v>
          </cell>
          <cell r="Z1140">
            <v>1800000</v>
          </cell>
        </row>
        <row r="1141">
          <cell r="A1141" t="str">
            <v>8648295835871</v>
          </cell>
          <cell r="Z1141">
            <v>1800000</v>
          </cell>
        </row>
        <row r="1142">
          <cell r="A1142" t="str">
            <v>6040596136336</v>
          </cell>
          <cell r="Z1142">
            <v>1800000</v>
          </cell>
        </row>
        <row r="1143">
          <cell r="A1143" t="str">
            <v>1499412046673</v>
          </cell>
          <cell r="Z1143">
            <v>1800000</v>
          </cell>
        </row>
        <row r="1144">
          <cell r="A1144" t="str">
            <v>8152027446971</v>
          </cell>
          <cell r="Z1144">
            <v>1800000</v>
          </cell>
        </row>
        <row r="1145">
          <cell r="A1145" t="str">
            <v>1368319518302</v>
          </cell>
          <cell r="Z1145">
            <v>600000</v>
          </cell>
        </row>
        <row r="1146">
          <cell r="A1146" t="str">
            <v>3538260887101</v>
          </cell>
          <cell r="Z1146">
            <v>600000</v>
          </cell>
        </row>
        <row r="1147">
          <cell r="A1147" t="str">
            <v>6035660479808</v>
          </cell>
          <cell r="Z1147">
            <v>600000</v>
          </cell>
        </row>
        <row r="1148">
          <cell r="A1148" t="str">
            <v>3575878768408</v>
          </cell>
          <cell r="Z1148">
            <v>600000</v>
          </cell>
        </row>
        <row r="1149">
          <cell r="A1149" t="str">
            <v>8349765677877</v>
          </cell>
          <cell r="Z1149">
            <v>550000</v>
          </cell>
        </row>
        <row r="1150">
          <cell r="A1150" t="str">
            <v>9566167175735</v>
          </cell>
          <cell r="Z1150">
            <v>600000</v>
          </cell>
        </row>
        <row r="1151">
          <cell r="A1151" t="str">
            <v>3417286655300</v>
          </cell>
          <cell r="Z1151">
            <v>600000</v>
          </cell>
        </row>
        <row r="1152">
          <cell r="A1152" t="str">
            <v>7012117575749</v>
          </cell>
          <cell r="Z1152">
            <v>600000</v>
          </cell>
        </row>
        <row r="1153">
          <cell r="A1153" t="str">
            <v>7405734648536</v>
          </cell>
          <cell r="Z1153">
            <v>600000</v>
          </cell>
        </row>
        <row r="1154">
          <cell r="A1154" t="str">
            <v>3553698889176</v>
          </cell>
          <cell r="Z1154">
            <v>600000</v>
          </cell>
        </row>
        <row r="1155">
          <cell r="A1155" t="str">
            <v>2352181201270</v>
          </cell>
          <cell r="Z1155">
            <v>1000000</v>
          </cell>
        </row>
        <row r="1156">
          <cell r="A1156" t="str">
            <v>6493445343070</v>
          </cell>
          <cell r="Z1156">
            <v>800000</v>
          </cell>
        </row>
        <row r="1157">
          <cell r="A1157" t="str">
            <v>6198430925476</v>
          </cell>
          <cell r="Z1157">
            <v>1200000</v>
          </cell>
        </row>
        <row r="1158">
          <cell r="A1158" t="str">
            <v>4318473716233</v>
          </cell>
          <cell r="Z1158">
            <v>1200000</v>
          </cell>
        </row>
        <row r="1159">
          <cell r="A1159" t="str">
            <v>8994292886577</v>
          </cell>
          <cell r="Z1159">
            <v>1200000</v>
          </cell>
        </row>
        <row r="1160">
          <cell r="A1160" t="str">
            <v>1596098935533</v>
          </cell>
          <cell r="Z1160">
            <v>7600000</v>
          </cell>
        </row>
        <row r="1161">
          <cell r="A1161" t="str">
            <v>7676484329901</v>
          </cell>
          <cell r="Z1161">
            <v>3000000</v>
          </cell>
        </row>
        <row r="1162">
          <cell r="A1162" t="str">
            <v>5537872329502</v>
          </cell>
          <cell r="Z1162">
            <v>1800000</v>
          </cell>
        </row>
        <row r="1163">
          <cell r="A1163" t="str">
            <v>3267291981136</v>
          </cell>
          <cell r="Z1163">
            <v>1800000</v>
          </cell>
        </row>
        <row r="1164">
          <cell r="A1164" t="str">
            <v>1423945312134</v>
          </cell>
          <cell r="Z1164">
            <v>5500000</v>
          </cell>
        </row>
        <row r="1165">
          <cell r="A1165" t="str">
            <v>8938938303073</v>
          </cell>
          <cell r="Z1165">
            <v>4200000</v>
          </cell>
        </row>
        <row r="1166">
          <cell r="A1166" t="str">
            <v>4715159393373</v>
          </cell>
          <cell r="Z1166">
            <v>2500000</v>
          </cell>
        </row>
        <row r="1167">
          <cell r="A1167" t="str">
            <v>9132961313705</v>
          </cell>
          <cell r="Z1167">
            <v>2500000</v>
          </cell>
        </row>
        <row r="1168">
          <cell r="A1168" t="str">
            <v>6453931284003</v>
          </cell>
          <cell r="Z1168">
            <v>2800000</v>
          </cell>
        </row>
        <row r="1169">
          <cell r="A1169" t="str">
            <v>1428526684303</v>
          </cell>
          <cell r="Z1169">
            <v>2800000</v>
          </cell>
        </row>
        <row r="1170">
          <cell r="A1170" t="str">
            <v>7204747774634</v>
          </cell>
          <cell r="Z1170">
            <v>2800000</v>
          </cell>
        </row>
        <row r="1171">
          <cell r="A1171" t="str">
            <v>3167298584937</v>
          </cell>
          <cell r="Z1171">
            <v>2800000</v>
          </cell>
        </row>
        <row r="1172">
          <cell r="A1172" t="str">
            <v>8943519675272</v>
          </cell>
          <cell r="Z1172">
            <v>1800000</v>
          </cell>
        </row>
        <row r="1173">
          <cell r="A1173" t="str">
            <v>1924795075403</v>
          </cell>
          <cell r="Z1173">
            <v>1800000</v>
          </cell>
        </row>
        <row r="1174">
          <cell r="A1174" t="str">
            <v>7701016165709</v>
          </cell>
          <cell r="Z1174">
            <v>3000000</v>
          </cell>
        </row>
        <row r="1175">
          <cell r="A1175" t="str">
            <v>3477237256031</v>
          </cell>
          <cell r="Z1175">
            <v>3000000</v>
          </cell>
        </row>
        <row r="1176">
          <cell r="A1176" t="str">
            <v>9727752529238</v>
          </cell>
          <cell r="Z1176">
            <v>2200000</v>
          </cell>
        </row>
        <row r="1177">
          <cell r="A1177" t="str">
            <v>2173610299831</v>
          </cell>
          <cell r="Z1177">
            <v>2200000</v>
          </cell>
        </row>
        <row r="1178">
          <cell r="A1178" t="str">
            <v>1164868917173</v>
          </cell>
          <cell r="Z1178">
            <v>1800000</v>
          </cell>
        </row>
        <row r="1179">
          <cell r="A1179" t="str">
            <v>7983548804152</v>
          </cell>
          <cell r="Z1179">
            <v>4200000</v>
          </cell>
        </row>
        <row r="1180">
          <cell r="A1180" t="str">
            <v>5777231494391</v>
          </cell>
          <cell r="Z1180">
            <v>1800000</v>
          </cell>
        </row>
        <row r="1181">
          <cell r="A1181" t="str">
            <v>9365119764702</v>
          </cell>
          <cell r="Z1181">
            <v>1800000</v>
          </cell>
        </row>
        <row r="1182">
          <cell r="A1182" t="str">
            <v>8122616255178</v>
          </cell>
          <cell r="Z1182">
            <v>2200000</v>
          </cell>
        </row>
        <row r="1183">
          <cell r="A1183" t="str">
            <v>4119913362238</v>
          </cell>
          <cell r="Z1183">
            <v>1800000</v>
          </cell>
        </row>
        <row r="1184">
          <cell r="A1184" t="str">
            <v>9487139715837</v>
          </cell>
          <cell r="Z1184">
            <v>2800000</v>
          </cell>
        </row>
        <row r="1185">
          <cell r="A1185" t="str">
            <v>7189378686436</v>
          </cell>
          <cell r="Z1185">
            <v>2800000</v>
          </cell>
        </row>
        <row r="1186">
          <cell r="A1186" t="str">
            <v>5946875176905</v>
          </cell>
          <cell r="Z1186">
            <v>4400000</v>
          </cell>
        </row>
        <row r="1187">
          <cell r="A1187" t="str">
            <v>4828775837531</v>
          </cell>
          <cell r="Z1187">
            <v>4400000</v>
          </cell>
        </row>
        <row r="1188">
          <cell r="A1188" t="str">
            <v>8796295158008</v>
          </cell>
          <cell r="Z1188">
            <v>4400000</v>
          </cell>
        </row>
        <row r="1189">
          <cell r="A1189" t="str">
            <v>6684863838631</v>
          </cell>
          <cell r="Z1189">
            <v>4400000</v>
          </cell>
        </row>
        <row r="1190">
          <cell r="A1190" t="str">
            <v>3330929009400</v>
          </cell>
          <cell r="Z1190">
            <v>3500000</v>
          </cell>
        </row>
        <row r="1191">
          <cell r="A1191" t="str">
            <v>4103813838207</v>
          </cell>
          <cell r="Z1191">
            <v>3200000</v>
          </cell>
        </row>
        <row r="1192">
          <cell r="A1192" t="str">
            <v>7174241577539</v>
          </cell>
          <cell r="Z1192">
            <v>2000000</v>
          </cell>
        </row>
        <row r="1193">
          <cell r="A1193" t="str">
            <v>4252056375731</v>
          </cell>
          <cell r="Z1193">
            <v>1800000</v>
          </cell>
        </row>
        <row r="1194">
          <cell r="A1194" t="str">
            <v>1159525763002</v>
          </cell>
          <cell r="Z1194">
            <v>1800000</v>
          </cell>
        </row>
        <row r="1195">
          <cell r="A1195" t="str">
            <v>3827497151490</v>
          </cell>
          <cell r="Z1195">
            <v>2000000</v>
          </cell>
        </row>
        <row r="1196">
          <cell r="A1196" t="str">
            <v>2173136900747</v>
          </cell>
          <cell r="Z1196">
            <v>1800000</v>
          </cell>
        </row>
        <row r="1197">
          <cell r="A1197" t="str">
            <v>9666712576151</v>
          </cell>
          <cell r="Z1197">
            <v>1800000</v>
          </cell>
        </row>
        <row r="1198">
          <cell r="A1198" t="str">
            <v>5775589719777</v>
          </cell>
          <cell r="Z1198">
            <v>2200000</v>
          </cell>
        </row>
        <row r="1199">
          <cell r="A1199" t="str">
            <v>2937662784642</v>
          </cell>
          <cell r="Z1199">
            <v>2200000</v>
          </cell>
        </row>
        <row r="1200">
          <cell r="A1200" t="str">
            <v>4137136061608</v>
          </cell>
          <cell r="Z1200">
            <v>2200000</v>
          </cell>
        </row>
        <row r="1201">
          <cell r="A1201" t="str">
            <v>3457286792407</v>
          </cell>
          <cell r="Z1201">
            <v>2000000</v>
          </cell>
        </row>
        <row r="1202">
          <cell r="A1202" t="str">
            <v>5010645243637</v>
          </cell>
          <cell r="Z1202">
            <v>1800000</v>
          </cell>
        </row>
        <row r="1203">
          <cell r="A1203" t="str">
            <v>9731608814409</v>
          </cell>
          <cell r="Z1203">
            <v>1800000</v>
          </cell>
        </row>
        <row r="1204">
          <cell r="A1204" t="str">
            <v>3020990335033</v>
          </cell>
          <cell r="Z1204">
            <v>2000000</v>
          </cell>
        </row>
        <row r="1205">
          <cell r="A1205" t="str">
            <v>6735039638170</v>
          </cell>
          <cell r="Z1205">
            <v>3000000</v>
          </cell>
        </row>
        <row r="1206">
          <cell r="A1206" t="str">
            <v>8061994528170</v>
          </cell>
          <cell r="Z1206">
            <v>1650000</v>
          </cell>
        </row>
        <row r="1207">
          <cell r="A1207" t="str">
            <v>5725072022167</v>
          </cell>
          <cell r="Z1207">
            <v>1210000</v>
          </cell>
        </row>
        <row r="1208">
          <cell r="A1208" t="str">
            <v>2464498615043</v>
          </cell>
          <cell r="Z1208">
            <v>770000</v>
          </cell>
        </row>
        <row r="1209">
          <cell r="A1209" t="str">
            <v>8465894964012</v>
          </cell>
          <cell r="Z1209">
            <v>495000</v>
          </cell>
        </row>
        <row r="1210">
          <cell r="A1210" t="str">
            <v>7029314874179</v>
          </cell>
          <cell r="Z1210">
            <v>1400000</v>
          </cell>
        </row>
        <row r="1211">
          <cell r="A1211" t="str">
            <v>7239680464632</v>
          </cell>
          <cell r="Z1211">
            <v>1000000</v>
          </cell>
        </row>
        <row r="1212">
          <cell r="A1212" t="str">
            <v>2705962885105</v>
          </cell>
          <cell r="Z1212">
            <v>600000</v>
          </cell>
        </row>
        <row r="1213">
          <cell r="A1213" t="str">
            <v>9349279235579</v>
          </cell>
          <cell r="Z1213">
            <v>600000</v>
          </cell>
        </row>
        <row r="1214">
          <cell r="A1214" t="str">
            <v>2469431401851</v>
          </cell>
          <cell r="Z1214">
            <v>1000000</v>
          </cell>
        </row>
        <row r="1215">
          <cell r="A1215" t="str">
            <v>6969438185908</v>
          </cell>
          <cell r="Z1215">
            <v>2800000</v>
          </cell>
        </row>
        <row r="1216">
          <cell r="A1216" t="str">
            <v>6782192206203</v>
          </cell>
          <cell r="Z1216">
            <v>1800000</v>
          </cell>
        </row>
        <row r="1217">
          <cell r="A1217" t="str">
            <v>2931072716507</v>
          </cell>
          <cell r="Z1217">
            <v>2000000</v>
          </cell>
        </row>
        <row r="1218">
          <cell r="A1218" t="str">
            <v>2248474627004</v>
          </cell>
          <cell r="Z1218">
            <v>1800000</v>
          </cell>
        </row>
        <row r="1219">
          <cell r="A1219" t="str">
            <v>8397355137300</v>
          </cell>
          <cell r="Z1219">
            <v>1800000</v>
          </cell>
        </row>
        <row r="1220">
          <cell r="A1220" t="str">
            <v>2995626027600</v>
          </cell>
          <cell r="Z1220">
            <v>2200000</v>
          </cell>
        </row>
        <row r="1221">
          <cell r="A1221" t="str">
            <v>9663981624750</v>
          </cell>
          <cell r="Z1221">
            <v>2000000</v>
          </cell>
        </row>
        <row r="1222">
          <cell r="A1222" t="str">
            <v>8748064203532</v>
          </cell>
          <cell r="Z1222">
            <v>1800000</v>
          </cell>
        </row>
        <row r="1223">
          <cell r="A1223" t="str">
            <v>2612259851005</v>
          </cell>
          <cell r="Z1223">
            <v>2000000</v>
          </cell>
        </row>
        <row r="1224">
          <cell r="A1224" t="str">
            <v>4525330517937</v>
          </cell>
          <cell r="Z1224">
            <v>2000000</v>
          </cell>
        </row>
        <row r="1225">
          <cell r="A1225" t="str">
            <v>5395174598701</v>
          </cell>
          <cell r="Z1225">
            <v>2200000</v>
          </cell>
        </row>
        <row r="1226">
          <cell r="A1226" t="str">
            <v>5013403046006</v>
          </cell>
          <cell r="Z1226">
            <v>1800000</v>
          </cell>
        </row>
        <row r="1227">
          <cell r="A1227" t="str">
            <v>7928255534473</v>
          </cell>
          <cell r="Z1227">
            <v>1800000</v>
          </cell>
        </row>
        <row r="1228">
          <cell r="A1228" t="str">
            <v>8493695658205</v>
          </cell>
          <cell r="Z1228">
            <v>600000</v>
          </cell>
        </row>
        <row r="1229">
          <cell r="A1229" t="str">
            <v>8091997833230</v>
          </cell>
          <cell r="Z1229">
            <v>1200000</v>
          </cell>
        </row>
        <row r="1230">
          <cell r="A1230" t="str">
            <v>5297052143402</v>
          </cell>
          <cell r="Z1230">
            <v>1800000</v>
          </cell>
        </row>
        <row r="1231">
          <cell r="A1231" t="str">
            <v>7191294889372</v>
          </cell>
          <cell r="Z1231">
            <v>3500000</v>
          </cell>
        </row>
        <row r="1232">
          <cell r="A1232" t="str">
            <v>9830769722605</v>
          </cell>
          <cell r="Z1232">
            <v>1400000</v>
          </cell>
        </row>
        <row r="1233">
          <cell r="A1233" t="str">
            <v>6724969094804</v>
          </cell>
          <cell r="Z1233">
            <v>600000</v>
          </cell>
        </row>
        <row r="1234">
          <cell r="A1234" t="str">
            <v>7407567194334</v>
          </cell>
          <cell r="Z1234">
            <v>700000</v>
          </cell>
        </row>
        <row r="1235">
          <cell r="A1235" t="str">
            <v>1415073799703</v>
          </cell>
          <cell r="Z1235">
            <v>900000</v>
          </cell>
        </row>
        <row r="1236">
          <cell r="A1236" t="str">
            <v>5509671427109</v>
          </cell>
          <cell r="Z1236">
            <v>600000</v>
          </cell>
        </row>
        <row r="1237">
          <cell r="A1237" t="str">
            <v>8553643701909</v>
          </cell>
          <cell r="Z1237">
            <v>1099000</v>
          </cell>
        </row>
        <row r="1238">
          <cell r="A1238" t="str">
            <v>9349989247770</v>
          </cell>
          <cell r="Z1238">
            <v>1099000</v>
          </cell>
        </row>
        <row r="1239">
          <cell r="A1239" t="str">
            <v>4977127881484</v>
          </cell>
          <cell r="Z1239">
            <v>749000</v>
          </cell>
        </row>
        <row r="1240">
          <cell r="A1240" t="str">
            <v>6203007092946</v>
          </cell>
          <cell r="Z1240">
            <v>749000</v>
          </cell>
        </row>
        <row r="1241">
          <cell r="A1241" t="str">
            <v>4347152109547</v>
          </cell>
          <cell r="Z1241">
            <v>749000</v>
          </cell>
        </row>
        <row r="1242">
          <cell r="A1242" t="str">
            <v>9890012435768</v>
          </cell>
          <cell r="Z1242">
            <v>749000</v>
          </cell>
        </row>
        <row r="1243">
          <cell r="A1243" t="str">
            <v>1130035009057</v>
          </cell>
          <cell r="Z1243">
            <v>749000</v>
          </cell>
        </row>
        <row r="1244">
          <cell r="A1244" t="str">
            <v>5659070726133</v>
          </cell>
          <cell r="Z1244">
            <v>749000</v>
          </cell>
        </row>
        <row r="1245">
          <cell r="A1245" t="str">
            <v>5282997866448</v>
          </cell>
          <cell r="Z1245">
            <v>749000</v>
          </cell>
        </row>
        <row r="1246">
          <cell r="A1246" t="str">
            <v>9687923548928</v>
          </cell>
          <cell r="Z1246">
            <v>749000</v>
          </cell>
        </row>
        <row r="1247">
          <cell r="A1247" t="str">
            <v>3625589666446</v>
          </cell>
          <cell r="Z1247">
            <v>749000</v>
          </cell>
        </row>
        <row r="1248">
          <cell r="A1248" t="str">
            <v>7165055650341</v>
          </cell>
          <cell r="Z1248">
            <v>749000</v>
          </cell>
        </row>
        <row r="1249">
          <cell r="A1249" t="str">
            <v>2532058523487</v>
          </cell>
          <cell r="Z1249">
            <v>749000</v>
          </cell>
        </row>
        <row r="1250">
          <cell r="A1250" t="str">
            <v>4355486437281</v>
          </cell>
          <cell r="Z1250">
            <v>749000</v>
          </cell>
        </row>
        <row r="1251">
          <cell r="A1251" t="str">
            <v>5814347207283</v>
          </cell>
          <cell r="Z1251">
            <v>749000</v>
          </cell>
        </row>
        <row r="1252">
          <cell r="A1252" t="str">
            <v>6985004730921</v>
          </cell>
          <cell r="Z1252">
            <v>749000</v>
          </cell>
        </row>
        <row r="1253">
          <cell r="A1253" t="str">
            <v>9389259794894</v>
          </cell>
          <cell r="Z1253">
            <v>749000</v>
          </cell>
        </row>
        <row r="1254">
          <cell r="A1254" t="str">
            <v>1061114435798</v>
          </cell>
          <cell r="Z1254">
            <v>749000</v>
          </cell>
        </row>
        <row r="1255">
          <cell r="A1255" t="str">
            <v>9830648502014</v>
          </cell>
          <cell r="Z1255">
            <v>989000</v>
          </cell>
        </row>
        <row r="1256">
          <cell r="A1256" t="str">
            <v>5455962861995</v>
          </cell>
          <cell r="Z1256">
            <v>989000</v>
          </cell>
        </row>
        <row r="1257">
          <cell r="A1257" t="str">
            <v>8468710075008</v>
          </cell>
          <cell r="Z1257">
            <v>989000</v>
          </cell>
        </row>
        <row r="1258">
          <cell r="A1258" t="str">
            <v>5301104964508</v>
          </cell>
          <cell r="Z1258">
            <v>989000</v>
          </cell>
        </row>
        <row r="1259">
          <cell r="A1259" t="str">
            <v>9995476640304</v>
          </cell>
          <cell r="Z1259">
            <v>989000</v>
          </cell>
        </row>
        <row r="1260">
          <cell r="A1260" t="str">
            <v>8204776709675</v>
          </cell>
          <cell r="Z1260">
            <v>989000</v>
          </cell>
        </row>
        <row r="1261">
          <cell r="A1261" t="str">
            <v>7601664137335</v>
          </cell>
          <cell r="Z1261">
            <v>989000</v>
          </cell>
        </row>
        <row r="1262">
          <cell r="A1262" t="str">
            <v>8966059911129</v>
          </cell>
          <cell r="Z1262">
            <v>989000</v>
          </cell>
        </row>
        <row r="1263">
          <cell r="A1263" t="str">
            <v>3687774572178</v>
          </cell>
          <cell r="Z1263">
            <v>989000</v>
          </cell>
        </row>
        <row r="1264">
          <cell r="A1264" t="str">
            <v>4531399185505</v>
          </cell>
          <cell r="Z1264">
            <v>749000</v>
          </cell>
        </row>
        <row r="1265">
          <cell r="A1265" t="str">
            <v>8341436017975</v>
          </cell>
          <cell r="Z1265">
            <v>989000</v>
          </cell>
        </row>
        <row r="1266">
          <cell r="A1266" t="str">
            <v>9209898889969</v>
          </cell>
          <cell r="Z1266">
            <v>989000</v>
          </cell>
        </row>
        <row r="1267">
          <cell r="A1267" t="str">
            <v>8156938856706</v>
          </cell>
          <cell r="Z1267">
            <v>989000</v>
          </cell>
        </row>
        <row r="1268">
          <cell r="A1268" t="str">
            <v>5766214374775</v>
          </cell>
          <cell r="Z1268">
            <v>989000</v>
          </cell>
        </row>
        <row r="1269">
          <cell r="A1269" t="str">
            <v>9876821467077</v>
          </cell>
          <cell r="Z1269">
            <v>749000</v>
          </cell>
        </row>
        <row r="1270">
          <cell r="A1270" t="str">
            <v>3189673643909</v>
          </cell>
          <cell r="Z1270">
            <v>989000</v>
          </cell>
        </row>
        <row r="1271">
          <cell r="A1271" t="str">
            <v>2359995938637</v>
          </cell>
          <cell r="Z1271">
            <v>989000</v>
          </cell>
        </row>
        <row r="1272">
          <cell r="A1272" t="str">
            <v>7845167639037</v>
          </cell>
          <cell r="Z1272">
            <v>989000</v>
          </cell>
        </row>
        <row r="1273">
          <cell r="A1273" t="str">
            <v>5190149798571</v>
          </cell>
          <cell r="Z1273">
            <v>989000</v>
          </cell>
        </row>
        <row r="1274">
          <cell r="A1274" t="str">
            <v>5797373343401</v>
          </cell>
          <cell r="Z1274">
            <v>989000</v>
          </cell>
        </row>
        <row r="1275">
          <cell r="A1275" t="str">
            <v>4487572195802</v>
          </cell>
          <cell r="Z1275">
            <v>849000</v>
          </cell>
        </row>
        <row r="1276">
          <cell r="A1276" t="str">
            <v>2349089752676</v>
          </cell>
          <cell r="Z1276">
            <v>849000</v>
          </cell>
        </row>
        <row r="1277">
          <cell r="A1277" t="str">
            <v>9556808838358</v>
          </cell>
          <cell r="Z1277">
            <v>849000</v>
          </cell>
        </row>
        <row r="1278">
          <cell r="A1278" t="str">
            <v>6958557272095</v>
          </cell>
          <cell r="Z1278">
            <v>849000</v>
          </cell>
        </row>
        <row r="1279">
          <cell r="A1279" t="str">
            <v>6545825318434</v>
          </cell>
          <cell r="Z1279">
            <v>849000</v>
          </cell>
        </row>
        <row r="1280">
          <cell r="A1280" t="str">
            <v>9425037461104</v>
          </cell>
          <cell r="Z1280">
            <v>849000</v>
          </cell>
        </row>
        <row r="1281">
          <cell r="A1281" t="str">
            <v>8251668629238</v>
          </cell>
          <cell r="Z1281">
            <v>849000</v>
          </cell>
        </row>
        <row r="1282">
          <cell r="A1282" t="str">
            <v>1416524924231</v>
          </cell>
          <cell r="Z1282">
            <v>849000</v>
          </cell>
        </row>
        <row r="1283">
          <cell r="A1283" t="str">
            <v>3775174157030</v>
          </cell>
          <cell r="Z1283">
            <v>849000</v>
          </cell>
        </row>
        <row r="1284">
          <cell r="A1284" t="str">
            <v>5089292027372</v>
          </cell>
          <cell r="Z1284">
            <v>849000</v>
          </cell>
        </row>
        <row r="1285">
          <cell r="A1285" t="str">
            <v>3095324881104</v>
          </cell>
          <cell r="Z1285">
            <v>849000</v>
          </cell>
        </row>
        <row r="1286">
          <cell r="A1286" t="str">
            <v>9763488868685</v>
          </cell>
          <cell r="Z1286">
            <v>849000</v>
          </cell>
        </row>
        <row r="1287">
          <cell r="A1287" t="str">
            <v>9480802699335</v>
          </cell>
          <cell r="Z1287">
            <v>849000</v>
          </cell>
        </row>
        <row r="1288">
          <cell r="A1288" t="str">
            <v>6260181176107</v>
          </cell>
          <cell r="Z1288">
            <v>549000</v>
          </cell>
        </row>
        <row r="1289">
          <cell r="A1289" t="str">
            <v>2429451633137</v>
          </cell>
          <cell r="Z1289">
            <v>549000</v>
          </cell>
        </row>
        <row r="1290">
          <cell r="A1290" t="str">
            <v>6913592830662</v>
          </cell>
          <cell r="Z1290">
            <v>549000</v>
          </cell>
        </row>
        <row r="1291">
          <cell r="A1291" t="str">
            <v>2177678311672</v>
          </cell>
          <cell r="Z1291">
            <v>549000</v>
          </cell>
        </row>
        <row r="1292">
          <cell r="A1292" t="str">
            <v>5823884718770</v>
          </cell>
          <cell r="Z1292">
            <v>549000</v>
          </cell>
        </row>
        <row r="1293">
          <cell r="A1293" t="str">
            <v>8182533951577</v>
          </cell>
          <cell r="Z1293">
            <v>549000</v>
          </cell>
        </row>
        <row r="1294">
          <cell r="A1294" t="str">
            <v>4576666161172</v>
          </cell>
          <cell r="Z1294">
            <v>549000</v>
          </cell>
        </row>
        <row r="1295">
          <cell r="A1295" t="str">
            <v>7730555576264</v>
          </cell>
          <cell r="Z1295">
            <v>549000</v>
          </cell>
        </row>
        <row r="1296">
          <cell r="A1296" t="str">
            <v>3209637419170</v>
          </cell>
          <cell r="Z1296">
            <v>549000</v>
          </cell>
        </row>
        <row r="1297">
          <cell r="A1297" t="str">
            <v>2591594854707</v>
          </cell>
          <cell r="Z1297">
            <v>549000</v>
          </cell>
        </row>
        <row r="1298">
          <cell r="A1298" t="str">
            <v>2532670647509</v>
          </cell>
          <cell r="Z1298">
            <v>549000</v>
          </cell>
        </row>
        <row r="1299">
          <cell r="A1299" t="str">
            <v>2670476707581</v>
          </cell>
          <cell r="Z1299">
            <v>549000</v>
          </cell>
        </row>
        <row r="1300">
          <cell r="A1300" t="str">
            <v>4748716810679</v>
          </cell>
          <cell r="Z1300">
            <v>549000</v>
          </cell>
        </row>
        <row r="1301">
          <cell r="A1301" t="str">
            <v>1852821371574</v>
          </cell>
          <cell r="Z1301">
            <v>549000</v>
          </cell>
        </row>
        <row r="1302">
          <cell r="A1302" t="str">
            <v>4743673242884</v>
          </cell>
          <cell r="Z1302">
            <v>549000</v>
          </cell>
        </row>
        <row r="1303">
          <cell r="A1303" t="str">
            <v>1994925708532</v>
          </cell>
          <cell r="Z1303">
            <v>549000</v>
          </cell>
        </row>
        <row r="1304">
          <cell r="A1304" t="str">
            <v>8955063103804</v>
          </cell>
          <cell r="Z1304">
            <v>549000</v>
          </cell>
        </row>
        <row r="1305">
          <cell r="A1305" t="str">
            <v>5017677666571</v>
          </cell>
          <cell r="Z1305">
            <v>365000</v>
          </cell>
        </row>
        <row r="1306">
          <cell r="A1306" t="str">
            <v>9677753023603</v>
          </cell>
          <cell r="Z1306">
            <v>365000</v>
          </cell>
        </row>
        <row r="1307">
          <cell r="A1307" t="str">
            <v>8457349719070</v>
          </cell>
          <cell r="Z1307">
            <v>365000</v>
          </cell>
        </row>
        <row r="1308">
          <cell r="A1308" t="str">
            <v>5084655825268</v>
          </cell>
          <cell r="Z1308">
            <v>365000</v>
          </cell>
        </row>
        <row r="1309">
          <cell r="A1309" t="str">
            <v>5433782839639</v>
          </cell>
          <cell r="Z1309">
            <v>365000</v>
          </cell>
        </row>
        <row r="1310">
          <cell r="A1310" t="str">
            <v>6940030442033</v>
          </cell>
          <cell r="Z1310">
            <v>365000</v>
          </cell>
        </row>
        <row r="1311">
          <cell r="A1311" t="str">
            <v>7590952605147</v>
          </cell>
          <cell r="Z1311">
            <v>365000</v>
          </cell>
        </row>
        <row r="1312">
          <cell r="A1312" t="str">
            <v>2671767156606</v>
          </cell>
          <cell r="Z1312">
            <v>365000</v>
          </cell>
        </row>
        <row r="1313">
          <cell r="A1313" t="str">
            <v>4066754097631</v>
          </cell>
          <cell r="Z1313">
            <v>365000</v>
          </cell>
        </row>
        <row r="1314">
          <cell r="A1314" t="str">
            <v>8931517905170</v>
          </cell>
          <cell r="Z1314">
            <v>365000</v>
          </cell>
        </row>
        <row r="1315">
          <cell r="A1315" t="str">
            <v>1290167137971</v>
          </cell>
          <cell r="Z1315">
            <v>365000</v>
          </cell>
        </row>
        <row r="1316">
          <cell r="A1316" t="str">
            <v>7116681259415</v>
          </cell>
          <cell r="Z1316">
            <v>365000</v>
          </cell>
        </row>
        <row r="1317">
          <cell r="A1317" t="str">
            <v>7917202024105</v>
          </cell>
          <cell r="Z1317">
            <v>365000</v>
          </cell>
        </row>
        <row r="1318">
          <cell r="A1318" t="str">
            <v>3591593262205</v>
          </cell>
          <cell r="Z1318">
            <v>365000</v>
          </cell>
        </row>
        <row r="1319">
          <cell r="A1319" t="str">
            <v>3602499449109</v>
          </cell>
          <cell r="Z1319">
            <v>365000</v>
          </cell>
        </row>
        <row r="1320">
          <cell r="A1320" t="str">
            <v>3558036693835</v>
          </cell>
          <cell r="Z1320">
            <v>365000</v>
          </cell>
        </row>
        <row r="1321">
          <cell r="A1321" t="str">
            <v>5169669130888</v>
          </cell>
          <cell r="Z1321">
            <v>365000</v>
          </cell>
        </row>
        <row r="1322">
          <cell r="A1322" t="str">
            <v>2323019971276</v>
          </cell>
          <cell r="Z1322">
            <v>365000</v>
          </cell>
        </row>
        <row r="1323">
          <cell r="A1323" t="str">
            <v>8988741013775</v>
          </cell>
          <cell r="Z1323">
            <v>849000</v>
          </cell>
        </row>
        <row r="1324">
          <cell r="A1324" t="str">
            <v>5261230485172</v>
          </cell>
          <cell r="Z1324">
            <v>849000</v>
          </cell>
        </row>
        <row r="1325">
          <cell r="A1325" t="str">
            <v>1843658637674</v>
          </cell>
          <cell r="Z1325">
            <v>849000</v>
          </cell>
        </row>
        <row r="1326">
          <cell r="A1326" t="str">
            <v>7746237504234</v>
          </cell>
          <cell r="Z1326">
            <v>549000</v>
          </cell>
        </row>
        <row r="1327">
          <cell r="A1327" t="str">
            <v>3832397265635</v>
          </cell>
          <cell r="Z1327">
            <v>549000</v>
          </cell>
        </row>
        <row r="1328">
          <cell r="A1328" t="str">
            <v>8246122338139</v>
          </cell>
          <cell r="Z1328">
            <v>549000</v>
          </cell>
        </row>
        <row r="1329">
          <cell r="A1329" t="str">
            <v>2396037773306</v>
          </cell>
          <cell r="Z1329">
            <v>365000</v>
          </cell>
        </row>
        <row r="1330">
          <cell r="A1330" t="str">
            <v>9172321908608</v>
          </cell>
          <cell r="Z1330">
            <v>365000</v>
          </cell>
        </row>
        <row r="1331">
          <cell r="A1331" t="str">
            <v>6503733994706</v>
          </cell>
          <cell r="Z1331">
            <v>365000</v>
          </cell>
        </row>
        <row r="1332">
          <cell r="A1332" t="str">
            <v>5951195935736</v>
          </cell>
          <cell r="Z1332">
            <v>1390000</v>
          </cell>
        </row>
        <row r="1333">
          <cell r="A1333" t="str">
            <v>9561511429007</v>
          </cell>
          <cell r="Z1333">
            <v>5190000</v>
          </cell>
        </row>
        <row r="1334">
          <cell r="A1334" t="str">
            <v>3972536329634</v>
          </cell>
          <cell r="Z1334">
            <v>1390000</v>
          </cell>
        </row>
        <row r="1335">
          <cell r="A1335" t="str">
            <v>8196315239937</v>
          </cell>
          <cell r="Z1335">
            <v>1390000</v>
          </cell>
        </row>
        <row r="1336">
          <cell r="A1336" t="str">
            <v>4049407626570</v>
          </cell>
          <cell r="Z1336">
            <v>1390000</v>
          </cell>
        </row>
        <row r="1337">
          <cell r="A1337" t="str">
            <v>7886376561030</v>
          </cell>
          <cell r="Z1337">
            <v>1390000</v>
          </cell>
        </row>
        <row r="1338">
          <cell r="A1338" t="str">
            <v>9997807881677</v>
          </cell>
          <cell r="Z1338">
            <v>735000</v>
          </cell>
        </row>
        <row r="1339">
          <cell r="A1339" t="str">
            <v>8993359542135</v>
          </cell>
          <cell r="Z1339">
            <v>735000</v>
          </cell>
        </row>
        <row r="1340">
          <cell r="A1340" t="str">
            <v>1291120572778</v>
          </cell>
          <cell r="Z1340">
            <v>2450000</v>
          </cell>
        </row>
        <row r="1341">
          <cell r="A1341" t="str">
            <v>2533624083237</v>
          </cell>
          <cell r="Z1341">
            <v>2450000</v>
          </cell>
        </row>
        <row r="1342">
          <cell r="A1342" t="str">
            <v>7999906504008</v>
          </cell>
          <cell r="Z1342">
            <v>4490000</v>
          </cell>
        </row>
        <row r="1343">
          <cell r="A1343" t="str">
            <v>2410931404637</v>
          </cell>
          <cell r="Z1343">
            <v>1395000</v>
          </cell>
        </row>
        <row r="1344">
          <cell r="A1344" t="str">
            <v>4708692435273</v>
          </cell>
          <cell r="Z1344">
            <v>650000</v>
          </cell>
        </row>
        <row r="1345">
          <cell r="A1345" t="str">
            <v>3343496236209</v>
          </cell>
          <cell r="Z1345">
            <v>3890000</v>
          </cell>
        </row>
        <row r="1346">
          <cell r="A1346" t="str">
            <v>5641257266839</v>
          </cell>
          <cell r="Z1346">
            <v>3890000</v>
          </cell>
        </row>
        <row r="1347">
          <cell r="A1347" t="str">
            <v>6595309497308</v>
          </cell>
          <cell r="Z1347">
            <v>3990000</v>
          </cell>
        </row>
        <row r="1348">
          <cell r="A1348" t="str">
            <v>3132780092146</v>
          </cell>
          <cell r="Z1348">
            <v>3990000</v>
          </cell>
        </row>
        <row r="1349">
          <cell r="A1349" t="str">
            <v>2197898388841</v>
          </cell>
          <cell r="Z1349">
            <v>3990000</v>
          </cell>
        </row>
        <row r="1350">
          <cell r="A1350" t="str">
            <v>2803027542380</v>
          </cell>
          <cell r="Z1350">
            <v>3990000</v>
          </cell>
        </row>
        <row r="1351">
          <cell r="A1351" t="str">
            <v>3179501747008</v>
          </cell>
          <cell r="Z1351">
            <v>2650000</v>
          </cell>
        </row>
        <row r="1352">
          <cell r="A1352" t="str">
            <v>2111935119304</v>
          </cell>
          <cell r="Z1352">
            <v>2650000</v>
          </cell>
        </row>
        <row r="1353">
          <cell r="A1353" t="str">
            <v>8013043092446</v>
          </cell>
          <cell r="Z1353">
            <v>2650000</v>
          </cell>
        </row>
        <row r="1354">
          <cell r="A1354" t="str">
            <v>5422459972472</v>
          </cell>
          <cell r="Z1354">
            <v>2650000</v>
          </cell>
        </row>
        <row r="1355">
          <cell r="A1355" t="str">
            <v>9291570117231</v>
          </cell>
          <cell r="Z1355">
            <v>3850000</v>
          </cell>
        </row>
        <row r="1356">
          <cell r="A1356" t="str">
            <v>1283418848801</v>
          </cell>
          <cell r="Z1356">
            <v>3850000</v>
          </cell>
        </row>
        <row r="1357">
          <cell r="A1357" t="str">
            <v>9254002861300</v>
          </cell>
          <cell r="Z1357">
            <v>3850000</v>
          </cell>
        </row>
        <row r="1358">
          <cell r="A1358" t="str">
            <v>7077101976605</v>
          </cell>
          <cell r="Z1358">
            <v>3850000</v>
          </cell>
        </row>
        <row r="1359">
          <cell r="A1359" t="str">
            <v>3412312207577</v>
          </cell>
          <cell r="Z1359">
            <v>3850000</v>
          </cell>
        </row>
        <row r="1360">
          <cell r="A1360" t="str">
            <v>7583449377870</v>
          </cell>
          <cell r="Z1360">
            <v>3850000</v>
          </cell>
        </row>
        <row r="1361">
          <cell r="A1361" t="str">
            <v>2296166474108</v>
          </cell>
          <cell r="Z1361">
            <v>3850000</v>
          </cell>
        </row>
        <row r="1362">
          <cell r="A1362" t="str">
            <v>1638009044436</v>
          </cell>
          <cell r="Z1362">
            <v>3850000</v>
          </cell>
        </row>
        <row r="1363">
          <cell r="A1363" t="str">
            <v>9697826215377</v>
          </cell>
          <cell r="Z1363">
            <v>3850000</v>
          </cell>
        </row>
        <row r="1364">
          <cell r="A1364" t="str">
            <v>4418789786132</v>
          </cell>
          <cell r="Z1364">
            <v>3850000</v>
          </cell>
        </row>
        <row r="1365">
          <cell r="A1365" t="str">
            <v>6498956417876</v>
          </cell>
          <cell r="Z1365">
            <v>3850000</v>
          </cell>
        </row>
        <row r="1366">
          <cell r="A1366" t="str">
            <v>7182470788671</v>
          </cell>
          <cell r="Z1366">
            <v>3850000</v>
          </cell>
        </row>
        <row r="1367">
          <cell r="A1367" t="str">
            <v>3641289979433</v>
          </cell>
          <cell r="Z1367">
            <v>3850000</v>
          </cell>
        </row>
        <row r="1368">
          <cell r="A1368" t="str">
            <v>7343729105230</v>
          </cell>
          <cell r="Z1368">
            <v>3850000</v>
          </cell>
        </row>
        <row r="1369">
          <cell r="A1369" t="str">
            <v>3295035267833</v>
          </cell>
          <cell r="Z1369">
            <v>3850000</v>
          </cell>
        </row>
        <row r="1370">
          <cell r="A1370" t="str">
            <v>3361518551901</v>
          </cell>
          <cell r="Z1370">
            <v>355000</v>
          </cell>
        </row>
        <row r="1371">
          <cell r="A1371" t="str">
            <v>9713629601107</v>
          </cell>
          <cell r="Z1371">
            <v>295000</v>
          </cell>
        </row>
        <row r="1372">
          <cell r="A1372" t="str">
            <v>4231362641433</v>
          </cell>
          <cell r="Z1372">
            <v>295000</v>
          </cell>
        </row>
        <row r="1373">
          <cell r="A1373" t="str">
            <v>6714537113006</v>
          </cell>
          <cell r="Z1373">
            <v>215000</v>
          </cell>
        </row>
        <row r="1374">
          <cell r="A1374" t="str">
            <v>1435500672201</v>
          </cell>
          <cell r="Z1374">
            <v>215000</v>
          </cell>
        </row>
        <row r="1375">
          <cell r="A1375" t="str">
            <v>8640554992677</v>
          </cell>
          <cell r="Z1375">
            <v>215000</v>
          </cell>
        </row>
        <row r="1376">
          <cell r="A1376" t="str">
            <v>5844693023473</v>
          </cell>
          <cell r="Z1376">
            <v>215000</v>
          </cell>
        </row>
        <row r="1377">
          <cell r="A1377" t="str">
            <v>6895232621635</v>
          </cell>
          <cell r="Z1377">
            <v>215000</v>
          </cell>
        </row>
        <row r="1378">
          <cell r="A1378" t="str">
            <v>8696471651609</v>
          </cell>
          <cell r="Z1378">
            <v>395000</v>
          </cell>
        </row>
        <row r="1379">
          <cell r="A1379" t="str">
            <v>5821545244606</v>
          </cell>
          <cell r="Z1379">
            <v>395000</v>
          </cell>
        </row>
        <row r="1380">
          <cell r="A1380" t="str">
            <v>4035480016001</v>
          </cell>
          <cell r="Z1380">
            <v>395000</v>
          </cell>
        </row>
        <row r="1381">
          <cell r="A1381" t="str">
            <v>2545758598976</v>
          </cell>
          <cell r="Z1381">
            <v>395000</v>
          </cell>
        </row>
        <row r="1382">
          <cell r="A1382" t="str">
            <v>1743216635831</v>
          </cell>
          <cell r="Z1382">
            <v>550000</v>
          </cell>
        </row>
        <row r="1383">
          <cell r="A1383" t="str">
            <v>9320930377234</v>
          </cell>
          <cell r="Z1383">
            <v>550000</v>
          </cell>
        </row>
        <row r="1384">
          <cell r="A1384" t="str">
            <v>2478263141200</v>
          </cell>
          <cell r="Z1384">
            <v>550000</v>
          </cell>
        </row>
        <row r="1385">
          <cell r="A1385" t="str">
            <v>1300311935565</v>
          </cell>
          <cell r="Z1385">
            <v>3650000</v>
          </cell>
        </row>
        <row r="1386">
          <cell r="A1386" t="str">
            <v>4764751303440</v>
          </cell>
          <cell r="Z1386">
            <v>3650000</v>
          </cell>
        </row>
        <row r="1387">
          <cell r="A1387" t="str">
            <v>8989418611928</v>
          </cell>
          <cell r="Z1387">
            <v>3650000</v>
          </cell>
        </row>
        <row r="1388">
          <cell r="A1388" t="str">
            <v>2123103413121</v>
          </cell>
          <cell r="Z1388">
            <v>3650000</v>
          </cell>
        </row>
        <row r="1389">
          <cell r="A1389" t="str">
            <v>1427994911539</v>
          </cell>
          <cell r="Z1389">
            <v>290000</v>
          </cell>
        </row>
        <row r="1390">
          <cell r="A1390" t="str">
            <v>2108545863673</v>
          </cell>
          <cell r="Z1390">
            <v>290000</v>
          </cell>
        </row>
        <row r="1391">
          <cell r="A1391" t="str">
            <v>6824011785077</v>
          </cell>
          <cell r="Z1391">
            <v>290000</v>
          </cell>
        </row>
        <row r="1392">
          <cell r="A1392" t="str">
            <v>5334290368034</v>
          </cell>
          <cell r="Z1392">
            <v>290000</v>
          </cell>
        </row>
        <row r="1393">
          <cell r="A1393" t="str">
            <v>4967670581931</v>
          </cell>
          <cell r="Z1393">
            <v>395000</v>
          </cell>
        </row>
        <row r="1394">
          <cell r="A1394" t="str">
            <v>9627745954903</v>
          </cell>
          <cell r="Z1394">
            <v>395000</v>
          </cell>
        </row>
        <row r="1395">
          <cell r="A1395" t="str">
            <v>7511733266470</v>
          </cell>
          <cell r="Z1395">
            <v>395000</v>
          </cell>
        </row>
        <row r="1396">
          <cell r="A1396" t="str">
            <v>5153084029278</v>
          </cell>
          <cell r="Z1396">
            <v>395000</v>
          </cell>
        </row>
        <row r="1397">
          <cell r="A1397" t="str">
            <v>9061800889432</v>
          </cell>
          <cell r="Z1397">
            <v>550000</v>
          </cell>
        </row>
        <row r="1398">
          <cell r="A1398" t="str">
            <v>4223950132409</v>
          </cell>
          <cell r="Z1398">
            <v>550000</v>
          </cell>
        </row>
        <row r="1399">
          <cell r="A1399" t="str">
            <v>5141546727237</v>
          </cell>
          <cell r="Z1399">
            <v>550000</v>
          </cell>
        </row>
        <row r="1400">
          <cell r="A1400" t="str">
            <v>1316617794201</v>
          </cell>
          <cell r="Z1400">
            <v>550000</v>
          </cell>
        </row>
        <row r="1401">
          <cell r="A1401" t="str">
            <v>2073747775836</v>
          </cell>
          <cell r="Z1401">
            <v>290000</v>
          </cell>
        </row>
        <row r="1402">
          <cell r="A1402" t="str">
            <v>5397553123801</v>
          </cell>
          <cell r="Z1402">
            <v>290000</v>
          </cell>
        </row>
        <row r="1403">
          <cell r="A1403" t="str">
            <v>6076486115204</v>
          </cell>
          <cell r="Z1403">
            <v>290000</v>
          </cell>
        </row>
        <row r="1404">
          <cell r="A1404" t="str">
            <v>1488398428207</v>
          </cell>
          <cell r="Z1404">
            <v>290000</v>
          </cell>
        </row>
        <row r="1405">
          <cell r="A1405" t="str">
            <v>4650401729602</v>
          </cell>
          <cell r="Z1405">
            <v>550000</v>
          </cell>
        </row>
        <row r="1406">
          <cell r="A1406" t="str">
            <v>3962305972574</v>
          </cell>
          <cell r="Z1406">
            <v>550000</v>
          </cell>
        </row>
        <row r="1407">
          <cell r="A1407" t="str">
            <v>8063392204274</v>
          </cell>
          <cell r="Z1407">
            <v>550000</v>
          </cell>
        </row>
        <row r="1408">
          <cell r="A1408" t="str">
            <v>6506368657107</v>
          </cell>
          <cell r="Z1408">
            <v>550000</v>
          </cell>
        </row>
        <row r="1409">
          <cell r="A1409" t="str">
            <v>1102806988670</v>
          </cell>
          <cell r="Z1409">
            <v>290000</v>
          </cell>
        </row>
        <row r="1410">
          <cell r="A1410" t="str">
            <v>9545783431470</v>
          </cell>
          <cell r="Z1410">
            <v>290000</v>
          </cell>
        </row>
        <row r="1411">
          <cell r="A1411" t="str">
            <v>9502676013038</v>
          </cell>
          <cell r="Z1411">
            <v>290000</v>
          </cell>
        </row>
        <row r="1412">
          <cell r="A1412" t="str">
            <v>2089846116005</v>
          </cell>
          <cell r="Z1412">
            <v>290000</v>
          </cell>
        </row>
        <row r="1413">
          <cell r="A1413" t="str">
            <v>3022410947574</v>
          </cell>
          <cell r="Z1413">
            <v>750000</v>
          </cell>
        </row>
        <row r="1414">
          <cell r="A1414" t="str">
            <v>9255798881534</v>
          </cell>
          <cell r="Z1414">
            <v>700000</v>
          </cell>
        </row>
        <row r="1415">
          <cell r="A1415" t="str">
            <v>2451396492371</v>
          </cell>
          <cell r="Z1415">
            <v>750000</v>
          </cell>
        </row>
        <row r="1416">
          <cell r="A1416" t="str">
            <v>3003543452104</v>
          </cell>
          <cell r="Z1416">
            <v>750000</v>
          </cell>
        </row>
        <row r="1417">
          <cell r="A1417" t="str">
            <v>2307520434901</v>
          </cell>
          <cell r="Z1417">
            <v>750000</v>
          </cell>
        </row>
        <row r="1418">
          <cell r="A1418" t="str">
            <v>2968570448012</v>
          </cell>
          <cell r="Z1418">
            <v>1700000</v>
          </cell>
        </row>
        <row r="1419">
          <cell r="A1419" t="str">
            <v>9095200868209</v>
          </cell>
          <cell r="Z1419">
            <v>1850000</v>
          </cell>
        </row>
        <row r="1420">
          <cell r="A1420" t="str">
            <v>8266589129736</v>
          </cell>
          <cell r="Z1420">
            <v>1850000</v>
          </cell>
        </row>
        <row r="1421">
          <cell r="A1421" t="str">
            <v>1994099641178</v>
          </cell>
          <cell r="Z1421">
            <v>1850000</v>
          </cell>
        </row>
        <row r="1422">
          <cell r="A1422" t="str">
            <v>4909611713834</v>
          </cell>
          <cell r="Z1422">
            <v>3650000</v>
          </cell>
        </row>
        <row r="1423">
          <cell r="A1423" t="str">
            <v>9842352262405</v>
          </cell>
          <cell r="Z1423">
            <v>3650000</v>
          </cell>
        </row>
        <row r="1424">
          <cell r="A1424" t="str">
            <v>9457354414754</v>
          </cell>
          <cell r="Z1424">
            <v>3500000</v>
          </cell>
        </row>
        <row r="1425">
          <cell r="A1425" t="str">
            <v>8774556834106</v>
          </cell>
          <cell r="Z1425">
            <v>1850000</v>
          </cell>
        </row>
        <row r="1426">
          <cell r="A1426" t="str">
            <v>5794197704609</v>
          </cell>
          <cell r="Z1426">
            <v>790000</v>
          </cell>
        </row>
        <row r="1427">
          <cell r="A1427" t="str">
            <v>6477712075031</v>
          </cell>
          <cell r="Z1427">
            <v>410000</v>
          </cell>
        </row>
        <row r="1428">
          <cell r="A1428" t="str">
            <v>2133182363804</v>
          </cell>
        </row>
        <row r="1429">
          <cell r="A1429" t="str">
            <v>1993705343338</v>
          </cell>
          <cell r="Z1429">
            <v>790000</v>
          </cell>
        </row>
        <row r="1430">
          <cell r="A1430" t="str">
            <v>1523887366674</v>
          </cell>
        </row>
        <row r="1431">
          <cell r="A1431" t="str">
            <v>2591416227900</v>
          </cell>
          <cell r="Z1431">
            <v>513000</v>
          </cell>
        </row>
        <row r="1432">
          <cell r="A1432" t="str">
            <v>7498709508379</v>
          </cell>
          <cell r="Z1432">
            <v>415000</v>
          </cell>
        </row>
        <row r="1433">
          <cell r="A1433" t="str">
            <v>2219673078836</v>
          </cell>
          <cell r="Z1433">
            <v>378000</v>
          </cell>
        </row>
        <row r="1434">
          <cell r="A1434" t="str">
            <v>2527779209307</v>
          </cell>
          <cell r="Z1434">
            <v>324000</v>
          </cell>
        </row>
        <row r="1435">
          <cell r="A1435" t="str">
            <v>5304901575878</v>
          </cell>
          <cell r="Z1435">
            <v>257000</v>
          </cell>
        </row>
        <row r="1436">
          <cell r="A1436" t="str">
            <v>4587135776339</v>
          </cell>
          <cell r="Z1436">
            <v>208000</v>
          </cell>
        </row>
        <row r="1437">
          <cell r="A1437" t="str">
            <v>5945351056809</v>
          </cell>
          <cell r="Z1437">
            <v>190000</v>
          </cell>
        </row>
        <row r="1438">
          <cell r="A1438" t="str">
            <v>3833919737432</v>
          </cell>
          <cell r="Z1438">
            <v>162000</v>
          </cell>
        </row>
        <row r="1439">
          <cell r="A1439" t="str">
            <v>6424712394006</v>
          </cell>
          <cell r="Z1439">
            <v>286000</v>
          </cell>
        </row>
        <row r="1440">
          <cell r="A1440" t="str">
            <v>6547405085408</v>
          </cell>
          <cell r="Z1440">
            <v>1512000</v>
          </cell>
        </row>
        <row r="1441">
          <cell r="A1441" t="str">
            <v>8722473433377</v>
          </cell>
          <cell r="Z1441">
            <v>253000</v>
          </cell>
        </row>
        <row r="1442">
          <cell r="A1442" t="str">
            <v>3131665772135</v>
          </cell>
          <cell r="Z1442">
            <v>519000</v>
          </cell>
        </row>
        <row r="1443">
          <cell r="A1443" t="str">
            <v>1640111804938</v>
          </cell>
          <cell r="Z1443">
            <v>6372000</v>
          </cell>
        </row>
        <row r="1444">
          <cell r="A1444" t="str">
            <v>9714093924631</v>
          </cell>
          <cell r="Z1444">
            <v>249000</v>
          </cell>
        </row>
        <row r="1445">
          <cell r="A1445" t="str">
            <v>9924069193835</v>
          </cell>
          <cell r="Z1445">
            <v>215000</v>
          </cell>
        </row>
        <row r="1446">
          <cell r="A1446" t="str">
            <v>8686147056173</v>
          </cell>
          <cell r="Z1446">
            <v>215000</v>
          </cell>
        </row>
        <row r="1447">
          <cell r="A1447" t="str">
            <v>5514876845108</v>
          </cell>
          <cell r="Z1447">
            <v>215000</v>
          </cell>
        </row>
        <row r="1448">
          <cell r="A1448" t="str">
            <v>7009335901733</v>
          </cell>
          <cell r="Z1448">
            <v>75000</v>
          </cell>
        </row>
        <row r="1449">
          <cell r="A1449" t="str">
            <v>6211436030538</v>
          </cell>
          <cell r="Z1449">
            <v>120000</v>
          </cell>
        </row>
        <row r="1450">
          <cell r="A1450" t="str">
            <v>5140686609335</v>
          </cell>
          <cell r="Z1450">
            <v>120000</v>
          </cell>
        </row>
        <row r="1451">
          <cell r="A1451" t="str">
            <v>2817244369835</v>
          </cell>
          <cell r="Z1451">
            <v>250000</v>
          </cell>
        </row>
        <row r="1452">
          <cell r="A1452" t="str">
            <v>9241627364873</v>
          </cell>
          <cell r="Z1452">
            <v>250000</v>
          </cell>
        </row>
        <row r="1453">
          <cell r="A1453" t="str">
            <v>8868051664570</v>
          </cell>
          <cell r="Z1453">
            <v>250000</v>
          </cell>
        </row>
        <row r="1454">
          <cell r="A1454" t="str">
            <v>9737895744108</v>
          </cell>
          <cell r="Z1454">
            <v>250000</v>
          </cell>
        </row>
        <row r="1455">
          <cell r="A1455" t="str">
            <v>3600919737287</v>
          </cell>
          <cell r="Z1455">
            <v>250000</v>
          </cell>
        </row>
        <row r="1456">
          <cell r="A1456" t="str">
            <v>9790995108300</v>
          </cell>
          <cell r="Z1456">
            <v>250000</v>
          </cell>
        </row>
        <row r="1457">
          <cell r="A1457" t="str">
            <v>4956960248302</v>
          </cell>
          <cell r="Z1457">
            <v>250000</v>
          </cell>
        </row>
        <row r="1458">
          <cell r="A1458" t="str">
            <v>6882978128009</v>
          </cell>
          <cell r="Z1458">
            <v>250000</v>
          </cell>
        </row>
        <row r="1459">
          <cell r="A1459" t="str">
            <v>2659199217706</v>
          </cell>
          <cell r="Z1459">
            <v>250000</v>
          </cell>
        </row>
        <row r="1460">
          <cell r="A1460" t="str">
            <v>1427761436739</v>
          </cell>
          <cell r="Z1460">
            <v>250000</v>
          </cell>
        </row>
        <row r="1461">
          <cell r="A1461" t="str">
            <v>8469856501239</v>
          </cell>
          <cell r="Z1461">
            <v>200000</v>
          </cell>
        </row>
        <row r="1462">
          <cell r="A1462" t="str">
            <v>2943070589977</v>
          </cell>
          <cell r="Z1462">
            <v>220000</v>
          </cell>
        </row>
        <row r="1463">
          <cell r="A1463" t="str">
            <v>2030054998501</v>
          </cell>
          <cell r="Z1463">
            <v>220000</v>
          </cell>
        </row>
        <row r="1464">
          <cell r="A1464" t="str">
            <v>2607677107209</v>
          </cell>
          <cell r="Z1464">
            <v>220000</v>
          </cell>
        </row>
        <row r="1465">
          <cell r="A1465" t="str">
            <v>9804281591278</v>
          </cell>
          <cell r="Z1465">
            <v>230000</v>
          </cell>
        </row>
        <row r="1466">
          <cell r="A1466" t="str">
            <v>5337714978802</v>
          </cell>
          <cell r="Z1466">
            <v>200000</v>
          </cell>
        </row>
        <row r="1467">
          <cell r="A1467" t="str">
            <v>5950413286438</v>
          </cell>
          <cell r="Z1467">
            <v>150000</v>
          </cell>
        </row>
        <row r="1468">
          <cell r="A1468" t="str">
            <v>8558112995971</v>
          </cell>
          <cell r="Z1468">
            <v>150000</v>
          </cell>
        </row>
        <row r="1469">
          <cell r="A1469" t="str">
            <v>4334334085676</v>
          </cell>
          <cell r="Z1469">
            <v>150000</v>
          </cell>
        </row>
        <row r="1470">
          <cell r="A1470" t="str">
            <v>6996659676991</v>
          </cell>
          <cell r="Z1470">
            <v>150000</v>
          </cell>
        </row>
        <row r="1471">
          <cell r="A1471" t="str">
            <v>3279076555203</v>
          </cell>
          <cell r="Z1471">
            <v>150000</v>
          </cell>
        </row>
        <row r="1472">
          <cell r="A1472" t="str">
            <v>2721919969704</v>
          </cell>
          <cell r="Z1472">
            <v>180000</v>
          </cell>
        </row>
        <row r="1473">
          <cell r="A1473" t="str">
            <v>8498141069406</v>
          </cell>
          <cell r="Z1473">
            <v>180000</v>
          </cell>
        </row>
        <row r="1474">
          <cell r="A1474" t="str">
            <v>9369636219103</v>
          </cell>
          <cell r="Z1474">
            <v>180000</v>
          </cell>
        </row>
        <row r="1475">
          <cell r="A1475" t="str">
            <v>6386709748776</v>
          </cell>
          <cell r="Z1475">
            <v>180000</v>
          </cell>
        </row>
        <row r="1476">
          <cell r="A1476" t="str">
            <v>9463309549372</v>
          </cell>
          <cell r="Z1476">
            <v>180000</v>
          </cell>
        </row>
        <row r="1477">
          <cell r="A1477" t="str">
            <v>4618737011570</v>
          </cell>
          <cell r="Z1477">
            <v>200000</v>
          </cell>
        </row>
        <row r="1478">
          <cell r="A1478" t="str">
            <v>4109072973031</v>
          </cell>
          <cell r="Z1478">
            <v>280000</v>
          </cell>
        </row>
        <row r="1479">
          <cell r="A1479" t="str">
            <v>8649538588530</v>
          </cell>
          <cell r="Z1479">
            <v>220000</v>
          </cell>
        </row>
        <row r="1480">
          <cell r="A1480" t="str">
            <v>2556721478508</v>
          </cell>
          <cell r="Z1480">
            <v>490000</v>
          </cell>
        </row>
        <row r="1481">
          <cell r="A1481" t="str">
            <v>8397405194604</v>
          </cell>
          <cell r="Z1481">
            <v>395000</v>
          </cell>
        </row>
        <row r="1482">
          <cell r="A1482" t="str">
            <v>6781325985404</v>
          </cell>
          <cell r="Z1482">
            <v>240000</v>
          </cell>
        </row>
        <row r="1483">
          <cell r="A1483" t="str">
            <v>4669894666004</v>
          </cell>
          <cell r="Z1483">
            <v>240000</v>
          </cell>
        </row>
        <row r="1484">
          <cell r="A1484" t="str">
            <v>7653002616804</v>
          </cell>
          <cell r="Z1484">
            <v>195000</v>
          </cell>
        </row>
        <row r="1485">
          <cell r="A1485" t="str">
            <v>3794690468031</v>
          </cell>
          <cell r="Z1485">
            <v>590000</v>
          </cell>
        </row>
        <row r="1486">
          <cell r="A1486" t="str">
            <v>2803848718834</v>
          </cell>
          <cell r="Z1486">
            <v>320000</v>
          </cell>
        </row>
        <row r="1487">
          <cell r="A1487" t="str">
            <v>4624559912810</v>
          </cell>
          <cell r="Z1487">
            <v>210000</v>
          </cell>
        </row>
        <row r="1488">
          <cell r="A1488" t="str">
            <v>8352038159475</v>
          </cell>
          <cell r="Z1488">
            <v>520000</v>
          </cell>
        </row>
        <row r="1489">
          <cell r="A1489" t="str">
            <v>8875328608267</v>
          </cell>
          <cell r="Z1489">
            <v>210000</v>
          </cell>
        </row>
        <row r="1490">
          <cell r="A1490" t="str">
            <v>6907633819235</v>
          </cell>
          <cell r="Z1490">
            <v>155000</v>
          </cell>
        </row>
        <row r="1491">
          <cell r="A1491" t="str">
            <v>8042206297176</v>
          </cell>
          <cell r="Z1491">
            <v>210000</v>
          </cell>
        </row>
        <row r="1492">
          <cell r="A1492" t="str">
            <v>6966739421506</v>
          </cell>
          <cell r="Z1492">
            <v>135000</v>
          </cell>
        </row>
        <row r="1493">
          <cell r="A1493" t="str">
            <v>4520381507456</v>
          </cell>
          <cell r="Z1493">
            <v>200000</v>
          </cell>
        </row>
        <row r="1494">
          <cell r="A1494" t="str">
            <v>5025921254979</v>
          </cell>
          <cell r="Z1494">
            <v>150000</v>
          </cell>
        </row>
        <row r="1495">
          <cell r="A1495" t="str">
            <v>3906508489033</v>
          </cell>
          <cell r="Z1495">
            <v>270000</v>
          </cell>
        </row>
        <row r="1496">
          <cell r="A1496" t="str">
            <v>1795077179672</v>
          </cell>
          <cell r="Z1496">
            <v>270000</v>
          </cell>
        </row>
        <row r="1497">
          <cell r="A1497" t="str">
            <v>5677857716870</v>
          </cell>
          <cell r="Z1497">
            <v>270000</v>
          </cell>
        </row>
        <row r="1498">
          <cell r="A1498" t="str">
            <v>3652109695211</v>
          </cell>
          <cell r="Z1498">
            <v>195000</v>
          </cell>
        </row>
        <row r="1499">
          <cell r="A1499" t="str">
            <v>3754790359509</v>
          </cell>
          <cell r="Z1499">
            <v>80000</v>
          </cell>
        </row>
        <row r="1500">
          <cell r="A1500" t="str">
            <v>8295692739549</v>
          </cell>
          <cell r="Z1500">
            <v>90000</v>
          </cell>
        </row>
        <row r="1501">
          <cell r="A1501" t="str">
            <v>6615242373030</v>
          </cell>
        </row>
        <row r="1502">
          <cell r="A1502" t="str">
            <v>2863452562735</v>
          </cell>
          <cell r="Z1502">
            <v>245000</v>
          </cell>
        </row>
        <row r="1503">
          <cell r="A1503" t="str">
            <v>2985228971630</v>
          </cell>
          <cell r="Z1503">
            <v>280000</v>
          </cell>
        </row>
        <row r="1504">
          <cell r="A1504" t="str">
            <v>6152834082104</v>
          </cell>
          <cell r="Z1504">
            <v>235000</v>
          </cell>
        </row>
        <row r="1505">
          <cell r="A1505" t="str">
            <v>7956159273303</v>
          </cell>
          <cell r="Z1505">
            <v>109000</v>
          </cell>
        </row>
        <row r="1506">
          <cell r="A1506" t="str">
            <v>1993608473002</v>
          </cell>
          <cell r="Z1506">
            <v>99000</v>
          </cell>
        </row>
        <row r="1507">
          <cell r="A1507" t="str">
            <v>8947779771934</v>
          </cell>
          <cell r="Z1507">
            <v>280000</v>
          </cell>
        </row>
        <row r="1508">
          <cell r="A1508" t="str">
            <v>6714572042408</v>
          </cell>
          <cell r="Z1508">
            <v>235000</v>
          </cell>
        </row>
        <row r="1509">
          <cell r="A1509" t="str">
            <v>3806572392638</v>
          </cell>
          <cell r="Z1509">
            <v>12100000</v>
          </cell>
        </row>
        <row r="1510">
          <cell r="A1510" t="str">
            <v>1075263734800</v>
          </cell>
          <cell r="Z1510">
            <v>12500000</v>
          </cell>
        </row>
        <row r="1511">
          <cell r="A1511" t="str">
            <v>4492835587300</v>
          </cell>
          <cell r="Z1511">
            <v>6900000</v>
          </cell>
        </row>
        <row r="1512">
          <cell r="A1512" t="str">
            <v>3622991507770</v>
          </cell>
          <cell r="Z1512">
            <v>7900000</v>
          </cell>
        </row>
        <row r="1513">
          <cell r="A1513" t="str">
            <v>1884219618404</v>
          </cell>
          <cell r="Z1513">
            <v>6900000</v>
          </cell>
        </row>
        <row r="1514">
          <cell r="A1514" t="str">
            <v>8344871346709</v>
          </cell>
          <cell r="Z1514">
            <v>6900000</v>
          </cell>
        </row>
        <row r="1515">
          <cell r="A1515" t="str">
            <v>3687544808872</v>
          </cell>
          <cell r="Z1515">
            <v>8100000</v>
          </cell>
        </row>
        <row r="1516">
          <cell r="A1516" t="str">
            <v>2387062505277</v>
          </cell>
          <cell r="Z1516">
            <v>6900000</v>
          </cell>
        </row>
        <row r="1517">
          <cell r="A1517" t="str">
            <v>5485372355739</v>
          </cell>
          <cell r="Z1517">
            <v>3500000</v>
          </cell>
        </row>
        <row r="1518">
          <cell r="A1518" t="str">
            <v>3064918646207</v>
          </cell>
          <cell r="Z1518">
            <v>3900000</v>
          </cell>
        </row>
        <row r="1519">
          <cell r="A1519" t="str">
            <v>2096286567304</v>
          </cell>
          <cell r="Z1519">
            <v>3300000</v>
          </cell>
        </row>
        <row r="1520">
          <cell r="A1520" t="str">
            <v>6817159968907</v>
          </cell>
          <cell r="Z1520">
            <v>3300000</v>
          </cell>
        </row>
        <row r="1521">
          <cell r="A1521" t="str">
            <v>3447872691238</v>
          </cell>
          <cell r="Z1521">
            <v>3300000</v>
          </cell>
        </row>
        <row r="1522">
          <cell r="A1522" t="str">
            <v>3072464441535</v>
          </cell>
          <cell r="Z1522">
            <v>7200000</v>
          </cell>
        </row>
        <row r="1523">
          <cell r="A1523" t="str">
            <v>7296243351839</v>
          </cell>
          <cell r="Z1523">
            <v>7200000</v>
          </cell>
        </row>
        <row r="1524">
          <cell r="A1524" t="str">
            <v>1520022262174</v>
          </cell>
          <cell r="Z1524">
            <v>5200000</v>
          </cell>
        </row>
        <row r="1525">
          <cell r="A1525" t="str">
            <v>8725076572634</v>
          </cell>
          <cell r="Z1525">
            <v>1350000</v>
          </cell>
        </row>
        <row r="1526">
          <cell r="A1526" t="str">
            <v>2762525772937</v>
          </cell>
          <cell r="Z1526">
            <v>1350000</v>
          </cell>
        </row>
        <row r="1527">
          <cell r="A1527" t="str">
            <v>6986304683276</v>
          </cell>
          <cell r="Z1527">
            <v>4800000</v>
          </cell>
        </row>
        <row r="1528">
          <cell r="A1528" t="str">
            <v>1210083593576</v>
          </cell>
          <cell r="Z1528">
            <v>4800000</v>
          </cell>
        </row>
        <row r="1529">
          <cell r="A1529" t="str">
            <v>5433862503900</v>
          </cell>
          <cell r="Z1529">
            <v>4800000</v>
          </cell>
        </row>
        <row r="1530">
          <cell r="A1530" t="str">
            <v>4872124544205</v>
          </cell>
          <cell r="Z1530">
            <v>4800000</v>
          </cell>
        </row>
        <row r="1531">
          <cell r="A1531" t="str">
            <v>4375856154976</v>
          </cell>
          <cell r="Z1531">
            <v>3800000</v>
          </cell>
        </row>
        <row r="1532">
          <cell r="A1532" t="str">
            <v>8599635065307</v>
          </cell>
          <cell r="Z1532">
            <v>3800000</v>
          </cell>
        </row>
        <row r="1533">
          <cell r="A1533" t="str">
            <v>2823413975608</v>
          </cell>
          <cell r="Z1533">
            <v>4200000</v>
          </cell>
        </row>
        <row r="1534">
          <cell r="A1534" t="str">
            <v>7047192885902</v>
          </cell>
          <cell r="Z1534">
            <v>1200000</v>
          </cell>
        </row>
        <row r="1535">
          <cell r="A1535" t="str">
            <v>8289696396402</v>
          </cell>
          <cell r="Z1535">
            <v>5100000</v>
          </cell>
        </row>
        <row r="1536">
          <cell r="A1536" t="str">
            <v>7727958436707</v>
          </cell>
          <cell r="Z1536">
            <v>4800000</v>
          </cell>
        </row>
        <row r="1537">
          <cell r="A1537" t="str">
            <v>1951737347007</v>
          </cell>
          <cell r="Z1537">
            <v>7950000</v>
          </cell>
        </row>
        <row r="1538">
          <cell r="A1538" t="str">
            <v>5937188268906</v>
          </cell>
          <cell r="Z1538">
            <v>5000000</v>
          </cell>
        </row>
        <row r="1539">
          <cell r="A1539" t="str">
            <v>9665615069678</v>
          </cell>
          <cell r="Z1539">
            <v>3000000</v>
          </cell>
        </row>
        <row r="1540">
          <cell r="A1540" t="str">
            <v>4337030642600</v>
          </cell>
          <cell r="Z1540">
            <v>3000000</v>
          </cell>
        </row>
        <row r="1541">
          <cell r="A1541" t="str">
            <v>2460560759202</v>
          </cell>
          <cell r="Z1541">
            <v>3000000</v>
          </cell>
        </row>
        <row r="1542">
          <cell r="A1542" t="str">
            <v>9706081061831</v>
          </cell>
          <cell r="Z1542">
            <v>4200000</v>
          </cell>
        </row>
        <row r="1543">
          <cell r="A1543" t="str">
            <v>5854961571537</v>
          </cell>
          <cell r="Z1543">
            <v>6000000</v>
          </cell>
        </row>
        <row r="1544">
          <cell r="A1544" t="str">
            <v>2611381425801</v>
          </cell>
          <cell r="Z1544">
            <v>4200000</v>
          </cell>
        </row>
        <row r="1545">
          <cell r="A1545" t="str">
            <v>8387602516101</v>
          </cell>
          <cell r="Z1545">
            <v>4200000</v>
          </cell>
        </row>
        <row r="1546">
          <cell r="A1546" t="str">
            <v>6271354936602</v>
          </cell>
          <cell r="Z1546">
            <v>4200000</v>
          </cell>
        </row>
        <row r="1547">
          <cell r="A1547" t="str">
            <v>7915455805175</v>
          </cell>
          <cell r="Z1547">
            <v>2800000</v>
          </cell>
        </row>
        <row r="1548">
          <cell r="A1548" t="str">
            <v>3543946264237</v>
          </cell>
          <cell r="Z1548">
            <v>2500000</v>
          </cell>
        </row>
        <row r="1549">
          <cell r="A1549" t="str">
            <v>7395982024834</v>
          </cell>
          <cell r="Z1549">
            <v>2500000</v>
          </cell>
        </row>
        <row r="1550">
          <cell r="A1550" t="str">
            <v>5220913676832</v>
          </cell>
          <cell r="Z1550">
            <v>4200000</v>
          </cell>
        </row>
        <row r="1551">
          <cell r="A1551" t="str">
            <v>8148587249503</v>
          </cell>
          <cell r="Z1551">
            <v>3000000</v>
          </cell>
        </row>
        <row r="1552">
          <cell r="A1552" t="str">
            <v>2351344749802</v>
          </cell>
          <cell r="Z1552">
            <v>3000000</v>
          </cell>
        </row>
        <row r="1553">
          <cell r="A1553" t="str">
            <v>7728379479731</v>
          </cell>
          <cell r="Z1553">
            <v>2000000</v>
          </cell>
        </row>
        <row r="1554">
          <cell r="A1554" t="str">
            <v>1516608547773</v>
          </cell>
          <cell r="Z1554">
            <v>1800000</v>
          </cell>
        </row>
        <row r="1555">
          <cell r="A1555" t="str">
            <v>1784461648108</v>
          </cell>
          <cell r="Z1555">
            <v>1800000</v>
          </cell>
        </row>
        <row r="1556">
          <cell r="A1556" t="str">
            <v>1188206568438</v>
          </cell>
          <cell r="Z1556">
            <v>1800000</v>
          </cell>
        </row>
        <row r="1557">
          <cell r="A1557" t="str">
            <v>1571210738407</v>
          </cell>
          <cell r="Z1557">
            <v>1800000</v>
          </cell>
        </row>
        <row r="1558">
          <cell r="A1558" t="str">
            <v>9458863148703</v>
          </cell>
          <cell r="Z1558">
            <v>1800000</v>
          </cell>
        </row>
        <row r="1559">
          <cell r="A1559" t="str">
            <v>1499577239170</v>
          </cell>
          <cell r="Z1559">
            <v>1800000</v>
          </cell>
        </row>
        <row r="1560">
          <cell r="A1560" t="str">
            <v>1134914281077</v>
          </cell>
          <cell r="Z1560">
            <v>1800000</v>
          </cell>
        </row>
        <row r="1561">
          <cell r="A1561" t="str">
            <v>6959685577472</v>
          </cell>
          <cell r="Z1561">
            <v>1800000</v>
          </cell>
        </row>
        <row r="1562">
          <cell r="A1562" t="str">
            <v>9736741180435</v>
          </cell>
          <cell r="Z1562">
            <v>1690000</v>
          </cell>
        </row>
        <row r="1563">
          <cell r="A1563" t="str">
            <v>9051591219976</v>
          </cell>
          <cell r="Z1563">
            <v>1690000</v>
          </cell>
        </row>
        <row r="1564">
          <cell r="A1564" t="str">
            <v>8919853989504</v>
          </cell>
          <cell r="Z1564">
            <v>1690000</v>
          </cell>
        </row>
        <row r="1565">
          <cell r="A1565" t="str">
            <v>3796253874334</v>
          </cell>
          <cell r="Z1565">
            <v>750000</v>
          </cell>
        </row>
        <row r="1566">
          <cell r="A1566" t="str">
            <v>9074374025731</v>
          </cell>
          <cell r="Z1566">
            <v>750000</v>
          </cell>
        </row>
        <row r="1567">
          <cell r="A1567" t="str">
            <v>5897747837137</v>
          </cell>
          <cell r="Z1567">
            <v>750000</v>
          </cell>
        </row>
        <row r="1568">
          <cell r="A1568" t="str">
            <v>9135262238708</v>
          </cell>
          <cell r="Z1568">
            <v>750000</v>
          </cell>
        </row>
        <row r="1569">
          <cell r="A1569" t="str">
            <v>3518493072208</v>
          </cell>
          <cell r="Z1569">
            <v>1790000</v>
          </cell>
        </row>
        <row r="1570">
          <cell r="A1570" t="str">
            <v>7366863741638</v>
          </cell>
          <cell r="Z1570">
            <v>1790000</v>
          </cell>
        </row>
        <row r="1571">
          <cell r="A1571" t="str">
            <v>5628091841002</v>
          </cell>
          <cell r="Z1571">
            <v>1790000</v>
          </cell>
        </row>
        <row r="1572">
          <cell r="A1572" t="str">
            <v>8238540372673</v>
          </cell>
          <cell r="Z1572">
            <v>1790000</v>
          </cell>
        </row>
        <row r="1573">
          <cell r="A1573" t="str">
            <v>2114270886375</v>
          </cell>
          <cell r="Z1573">
            <v>7500000</v>
          </cell>
        </row>
        <row r="1574">
          <cell r="A1574" t="str">
            <v>1008462507470</v>
          </cell>
          <cell r="Z1574">
            <v>1790000</v>
          </cell>
        </row>
        <row r="1575">
          <cell r="A1575" t="str">
            <v>8142879033207</v>
          </cell>
          <cell r="Z1575">
            <v>1790000</v>
          </cell>
        </row>
        <row r="1576">
          <cell r="A1576" t="str">
            <v>9008141744600</v>
          </cell>
          <cell r="Z1576">
            <v>1790000</v>
          </cell>
        </row>
        <row r="1577">
          <cell r="A1577" t="str">
            <v>2735652266006</v>
          </cell>
          <cell r="Z1577">
            <v>1790000</v>
          </cell>
        </row>
        <row r="1578">
          <cell r="A1578" t="str">
            <v>6463162797401</v>
          </cell>
          <cell r="Z1578">
            <v>1790000</v>
          </cell>
        </row>
        <row r="1579">
          <cell r="A1579" t="str">
            <v>3836984042937</v>
          </cell>
          <cell r="Z1579">
            <v>990000</v>
          </cell>
        </row>
        <row r="1580">
          <cell r="A1580" t="str">
            <v>7790566569006</v>
          </cell>
          <cell r="Z1580">
            <v>1800000</v>
          </cell>
        </row>
        <row r="1581">
          <cell r="A1581" t="str">
            <v>4476720509301</v>
          </cell>
          <cell r="Z1581">
            <v>1800000</v>
          </cell>
        </row>
        <row r="1582">
          <cell r="A1582" t="str">
            <v>2550702639605</v>
          </cell>
          <cell r="Z1582">
            <v>2000000</v>
          </cell>
        </row>
        <row r="1583">
          <cell r="A1583" t="str">
            <v>6774481549900</v>
          </cell>
          <cell r="Z1583">
            <v>2200000</v>
          </cell>
        </row>
        <row r="1584">
          <cell r="A1584" t="str">
            <v>4330985366232</v>
          </cell>
          <cell r="Z1584">
            <v>2200000</v>
          </cell>
        </row>
        <row r="1585">
          <cell r="A1585" t="str">
            <v>3734730286539</v>
          </cell>
          <cell r="Z1585">
            <v>2500000</v>
          </cell>
        </row>
        <row r="1586">
          <cell r="A1586" t="str">
            <v>5542128498871</v>
          </cell>
          <cell r="Z1586">
            <v>2200000</v>
          </cell>
        </row>
        <row r="1587">
          <cell r="A1587" t="str">
            <v>5841916708377</v>
          </cell>
          <cell r="Z1587">
            <v>2200000</v>
          </cell>
        </row>
        <row r="1588">
          <cell r="A1588" t="str">
            <v>3085515552906</v>
          </cell>
          <cell r="Z1588">
            <v>2200000</v>
          </cell>
        </row>
        <row r="1589">
          <cell r="A1589" t="str">
            <v>3393621683408</v>
          </cell>
          <cell r="Z1589">
            <v>2200000</v>
          </cell>
        </row>
        <row r="1590">
          <cell r="A1590" t="str">
            <v>3628848723874</v>
          </cell>
          <cell r="Z1590">
            <v>2200000</v>
          </cell>
        </row>
        <row r="1591">
          <cell r="A1591" t="str">
            <v>9547199458676</v>
          </cell>
          <cell r="Z1591">
            <v>2200000</v>
          </cell>
        </row>
        <row r="1592">
          <cell r="A1592" t="str">
            <v>9666712576151</v>
          </cell>
          <cell r="Z1592">
            <v>1800000</v>
          </cell>
        </row>
        <row r="1593">
          <cell r="A1593" t="str">
            <v>7956096847407</v>
          </cell>
          <cell r="Z1593">
            <v>1800000</v>
          </cell>
        </row>
        <row r="1594">
          <cell r="A1594" t="str">
            <v>3730485387736</v>
          </cell>
          <cell r="Z1594">
            <v>1800000</v>
          </cell>
        </row>
        <row r="1595">
          <cell r="A1595" t="str">
            <v>7767934588037</v>
          </cell>
          <cell r="Z1595">
            <v>1800000</v>
          </cell>
        </row>
        <row r="1596">
          <cell r="A1596" t="str">
            <v>4112739941441</v>
          </cell>
          <cell r="Z1596">
            <v>2200000</v>
          </cell>
        </row>
        <row r="1597">
          <cell r="A1597" t="str">
            <v>2937662784642</v>
          </cell>
          <cell r="Z1597">
            <v>2200000</v>
          </cell>
        </row>
        <row r="1598">
          <cell r="A1598" t="str">
            <v>5979650242939</v>
          </cell>
          <cell r="Z1598">
            <v>1100000</v>
          </cell>
        </row>
        <row r="1599">
          <cell r="A1599" t="str">
            <v>4912100685239</v>
          </cell>
          <cell r="Z1599">
            <v>2200000</v>
          </cell>
        </row>
        <row r="1600">
          <cell r="A1600" t="str">
            <v>3146839715702</v>
          </cell>
          <cell r="Z1600">
            <v>2200000</v>
          </cell>
        </row>
        <row r="1601">
          <cell r="A1601" t="str">
            <v>4228586316001</v>
          </cell>
          <cell r="Z1601">
            <v>1800000</v>
          </cell>
        </row>
        <row r="1602">
          <cell r="A1602" t="str">
            <v>1620886616509</v>
          </cell>
          <cell r="Z1602">
            <v>1800000</v>
          </cell>
        </row>
        <row r="1603">
          <cell r="A1603" t="str">
            <v>9508539026801</v>
          </cell>
          <cell r="Z1603">
            <v>2000000</v>
          </cell>
        </row>
        <row r="1604">
          <cell r="A1604" t="str">
            <v>3732317937102</v>
          </cell>
          <cell r="Z1604">
            <v>2200000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72882-6B9C-4B6C-B366-88E5D09AEBC3}">
  <sheetPr codeName="Sheet1"/>
  <dimension ref="A1:N1610"/>
  <sheetViews>
    <sheetView tabSelected="1" zoomScale="89" workbookViewId="0">
      <pane xSplit="2" ySplit="1" topLeftCell="C2" activePane="bottomRight" state="frozen"/>
      <selection pane="topRight" activeCell="C1" sqref="C1"/>
      <selection pane="bottomLeft" activeCell="A5" sqref="A5"/>
      <selection pane="bottomRight" activeCell="C29" sqref="C29"/>
    </sheetView>
  </sheetViews>
  <sheetFormatPr defaultColWidth="9" defaultRowHeight="14.5"/>
  <cols>
    <col min="1" max="1" width="16.83203125" style="1" customWidth="1"/>
    <col min="2" max="2" width="12.75" style="2" customWidth="1"/>
    <col min="3" max="4" width="33.75" style="2" customWidth="1"/>
    <col min="5" max="11" width="9" style="2"/>
    <col min="12" max="12" width="34.08203125" style="2" bestFit="1" customWidth="1"/>
    <col min="13" max="13" width="10.75" style="2" customWidth="1"/>
    <col min="14" max="16384" width="9" style="2"/>
  </cols>
  <sheetData>
    <row r="1" spans="1:14" ht="18" customHeight="1">
      <c r="A1" s="4" t="s">
        <v>1909</v>
      </c>
      <c r="B1" s="5" t="s">
        <v>4457</v>
      </c>
      <c r="C1" s="6" t="s">
        <v>4458</v>
      </c>
      <c r="D1" s="13" t="s">
        <v>6582</v>
      </c>
      <c r="E1" s="2" t="s">
        <v>0</v>
      </c>
      <c r="F1" s="2" t="s">
        <v>1911</v>
      </c>
      <c r="G1" s="2" t="s">
        <v>1913</v>
      </c>
      <c r="H1" s="2" t="s">
        <v>1912</v>
      </c>
      <c r="I1" s="2" t="s">
        <v>4453</v>
      </c>
      <c r="J1" s="2" t="s">
        <v>4454</v>
      </c>
      <c r="K1" s="2" t="s">
        <v>4455</v>
      </c>
      <c r="L1" s="2" t="s">
        <v>4459</v>
      </c>
      <c r="M1" s="2" t="s">
        <v>4460</v>
      </c>
      <c r="N1" s="2" t="s">
        <v>6583</v>
      </c>
    </row>
    <row r="2" spans="1:14" s="7" customFormat="1">
      <c r="A2" s="1" t="s">
        <v>4471</v>
      </c>
      <c r="B2" s="3" t="s">
        <v>4472</v>
      </c>
      <c r="C2" s="3" t="s">
        <v>1</v>
      </c>
      <c r="D2" s="1" t="s">
        <v>4473</v>
      </c>
      <c r="E2" s="7" t="str">
        <f>_xlfn.TEXTBEFORE(_xlfn.TEXTAFTER(D2,"-"),"-")</f>
        <v>EDE</v>
      </c>
      <c r="F2" s="7" t="str">
        <f>_xlfn.TEXTBEFORE(_xlfn.TEXTAFTER(D2,"-",2),"-")</f>
        <v>UNI</v>
      </c>
      <c r="G2" s="7" t="str">
        <f>_xlfn.TEXTBEFORE(_xlfn.TEXTAFTER(D2,"-",3),"-")</f>
        <v>SOU</v>
      </c>
      <c r="H2" s="7" t="str">
        <f>_xlfn.TEXTBEFORE(_xlfn.TEXTAFTER(D2,"-",4),"-")</f>
        <v>FRA</v>
      </c>
      <c r="I2" s="7" t="str">
        <f>_xlfn.TEXTBEFORE(_xlfn.TEXTAFTER(D2,"-",5),"-")</f>
        <v>FRA</v>
      </c>
      <c r="J2" s="7" t="str">
        <f>_xlfn.TEXTBEFORE(_xlfn.TEXTAFTER(D2,"-",6),"-")</f>
        <v>MIX</v>
      </c>
      <c r="K2" s="7" t="str">
        <f>_xlfn.TEXTAFTER(D2,"-",7)</f>
        <v>0</v>
      </c>
      <c r="L2" s="7">
        <v>0</v>
      </c>
      <c r="M2" s="7" t="s">
        <v>2609</v>
      </c>
      <c r="N2" s="7">
        <f>_xlfn.XLOOKUP(A2,[1]SKU!$A:$A,[1]SKU!$Z:$Z)</f>
        <v>310000</v>
      </c>
    </row>
    <row r="3" spans="1:14" s="7" customFormat="1">
      <c r="A3" s="1" t="s">
        <v>2</v>
      </c>
      <c r="B3" s="3" t="s">
        <v>3</v>
      </c>
      <c r="C3" s="3" t="s">
        <v>4</v>
      </c>
      <c r="D3" s="1" t="s">
        <v>5</v>
      </c>
      <c r="E3" s="7" t="str">
        <f t="shared" ref="E3:E66" si="0">_xlfn.TEXTBEFORE(_xlfn.TEXTAFTER(D3,"-"),"-")</f>
        <v>GSL</v>
      </c>
      <c r="F3" s="7" t="str">
        <f t="shared" ref="F3:F66" si="1">_xlfn.TEXTBEFORE(_xlfn.TEXTAFTER(D3,"-",2),"-")</f>
        <v>WOM</v>
      </c>
      <c r="G3" s="7" t="str">
        <f t="shared" ref="G3:G66" si="2">_xlfn.TEXTBEFORE(_xlfn.TEXTAFTER(D3,"-",3),"-")</f>
        <v>TTS</v>
      </c>
      <c r="H3" s="7" t="str">
        <f t="shared" ref="H3:H66" si="3">_xlfn.TEXTBEFORE(_xlfn.TEXTAFTER(D3,"-",4),"-")</f>
        <v>ONE</v>
      </c>
      <c r="I3" s="7" t="str">
        <f t="shared" ref="I3:I66" si="4">_xlfn.TEXTBEFORE(_xlfn.TEXTAFTER(D3,"-",5),"-")</f>
        <v>FST</v>
      </c>
      <c r="J3" s="7" t="str">
        <f t="shared" ref="J3:J66" si="5">_xlfn.TEXTBEFORE(_xlfn.TEXTAFTER(D3,"-",6),"-")</f>
        <v>ORA</v>
      </c>
      <c r="K3" s="7" t="str">
        <f t="shared" ref="K3:K66" si="6">_xlfn.TEXTAFTER(D3,"-",7)</f>
        <v>L</v>
      </c>
      <c r="L3" s="7" t="s">
        <v>2310</v>
      </c>
      <c r="M3" s="7" t="s">
        <v>4469</v>
      </c>
      <c r="N3" s="7">
        <f>_xlfn.XLOOKUP(A3,[1]SKU!$A:$A,[1]SKU!$Z:$Z)</f>
        <v>750000</v>
      </c>
    </row>
    <row r="4" spans="1:14" s="7" customFormat="1">
      <c r="A4" s="1" t="s">
        <v>6</v>
      </c>
      <c r="B4" s="3" t="s">
        <v>3</v>
      </c>
      <c r="C4" s="3" t="s">
        <v>7</v>
      </c>
      <c r="D4" s="1" t="s">
        <v>8</v>
      </c>
      <c r="E4" s="7" t="str">
        <f t="shared" si="0"/>
        <v>GCV</v>
      </c>
      <c r="F4" s="7" t="str">
        <f t="shared" si="1"/>
        <v>MEN</v>
      </c>
      <c r="G4" s="7" t="str">
        <f t="shared" si="2"/>
        <v>SIS</v>
      </c>
      <c r="H4" s="7" t="str">
        <f t="shared" si="3"/>
        <v>BUT</v>
      </c>
      <c r="I4" s="7" t="str">
        <f t="shared" si="4"/>
        <v>FLH</v>
      </c>
      <c r="J4" s="7" t="str">
        <f t="shared" si="5"/>
        <v>WHI</v>
      </c>
      <c r="K4" s="7" t="str">
        <f t="shared" si="6"/>
        <v>L</v>
      </c>
      <c r="L4" s="7" t="s">
        <v>2211</v>
      </c>
      <c r="M4" s="7" t="s">
        <v>4464</v>
      </c>
      <c r="N4" s="7">
        <f>_xlfn.XLOOKUP(A4,[1]SKU!$A:$A,[1]SKU!$Z:$Z)</f>
        <v>1790000</v>
      </c>
    </row>
    <row r="5" spans="1:14" s="7" customFormat="1">
      <c r="A5" s="1" t="s">
        <v>4474</v>
      </c>
      <c r="B5" s="3" t="s">
        <v>4472</v>
      </c>
      <c r="C5" s="3" t="s">
        <v>9</v>
      </c>
      <c r="D5" s="1" t="s">
        <v>4475</v>
      </c>
      <c r="E5" s="7" t="str">
        <f t="shared" si="0"/>
        <v>DSP</v>
      </c>
      <c r="F5" s="7" t="str">
        <f t="shared" si="1"/>
        <v>UNI</v>
      </c>
      <c r="G5" s="7" t="str">
        <f t="shared" si="2"/>
        <v>BAG</v>
      </c>
      <c r="H5" s="7" t="str">
        <f t="shared" si="3"/>
        <v>HDB</v>
      </c>
      <c r="I5" s="7" t="str">
        <f t="shared" si="4"/>
        <v>CON</v>
      </c>
      <c r="J5" s="7" t="str">
        <f t="shared" si="5"/>
        <v>RGN</v>
      </c>
      <c r="K5" s="7" t="str">
        <f t="shared" si="6"/>
        <v>0</v>
      </c>
      <c r="L5" s="7">
        <v>0</v>
      </c>
      <c r="M5" s="7" t="s">
        <v>2609</v>
      </c>
      <c r="N5" s="7">
        <f>_xlfn.XLOOKUP(A5,[1]SKU!$A:$A,[1]SKU!$Z:$Z)</f>
        <v>12250000</v>
      </c>
    </row>
    <row r="6" spans="1:14" s="7" customFormat="1">
      <c r="A6" s="1" t="s">
        <v>4476</v>
      </c>
      <c r="B6" s="3" t="s">
        <v>4472</v>
      </c>
      <c r="C6" s="3" t="s">
        <v>10</v>
      </c>
      <c r="D6" s="1" t="s">
        <v>4477</v>
      </c>
      <c r="E6" s="7" t="str">
        <f t="shared" si="0"/>
        <v>DSP</v>
      </c>
      <c r="F6" s="7" t="str">
        <f t="shared" si="1"/>
        <v>UNI</v>
      </c>
      <c r="G6" s="7" t="str">
        <f t="shared" si="2"/>
        <v>BAG</v>
      </c>
      <c r="H6" s="7" t="str">
        <f t="shared" si="3"/>
        <v>CLU</v>
      </c>
      <c r="I6" s="7" t="str">
        <f t="shared" si="4"/>
        <v>BAR</v>
      </c>
      <c r="J6" s="7" t="str">
        <f t="shared" si="5"/>
        <v>RED</v>
      </c>
      <c r="K6" s="7" t="str">
        <f t="shared" si="6"/>
        <v>0</v>
      </c>
      <c r="L6" s="7">
        <v>0</v>
      </c>
      <c r="M6" s="7" t="s">
        <v>2609</v>
      </c>
      <c r="N6" s="7">
        <f>_xlfn.XLOOKUP(A6,[1]SKU!$A:$A,[1]SKU!$Z:$Z)</f>
        <v>3300000</v>
      </c>
    </row>
    <row r="7" spans="1:14" s="7" customFormat="1">
      <c r="A7" s="1" t="s">
        <v>4478</v>
      </c>
      <c r="B7" s="3" t="s">
        <v>4472</v>
      </c>
      <c r="C7" s="3" t="s">
        <v>10</v>
      </c>
      <c r="D7" s="1" t="s">
        <v>4479</v>
      </c>
      <c r="E7" s="7" t="str">
        <f t="shared" si="0"/>
        <v>DSP</v>
      </c>
      <c r="F7" s="7" t="str">
        <f t="shared" si="1"/>
        <v>UNI</v>
      </c>
      <c r="G7" s="7" t="str">
        <f t="shared" si="2"/>
        <v>BAG</v>
      </c>
      <c r="H7" s="7" t="str">
        <f t="shared" si="3"/>
        <v>CLU</v>
      </c>
      <c r="I7" s="7" t="str">
        <f t="shared" si="4"/>
        <v>BAR</v>
      </c>
      <c r="J7" s="7" t="str">
        <f t="shared" si="5"/>
        <v>PUR</v>
      </c>
      <c r="K7" s="7" t="str">
        <f t="shared" si="6"/>
        <v>0</v>
      </c>
      <c r="L7" s="7">
        <v>0</v>
      </c>
      <c r="M7" s="7" t="s">
        <v>2609</v>
      </c>
      <c r="N7" s="7">
        <f>_xlfn.XLOOKUP(A7,[1]SKU!$A:$A,[1]SKU!$Z:$Z)</f>
        <v>3300000</v>
      </c>
    </row>
    <row r="8" spans="1:14" s="7" customFormat="1">
      <c r="A8" s="1" t="s">
        <v>11</v>
      </c>
      <c r="B8" s="3" t="s">
        <v>3</v>
      </c>
      <c r="C8" s="3" t="s">
        <v>12</v>
      </c>
      <c r="D8" s="1" t="s">
        <v>13</v>
      </c>
      <c r="E8" s="7" t="str">
        <f t="shared" si="0"/>
        <v>GBA</v>
      </c>
      <c r="F8" s="7" t="str">
        <f t="shared" si="1"/>
        <v>MEN</v>
      </c>
      <c r="G8" s="7" t="str">
        <f t="shared" si="2"/>
        <v>TSS</v>
      </c>
      <c r="H8" s="7" t="str">
        <f t="shared" si="3"/>
        <v>ONE</v>
      </c>
      <c r="I8" s="7" t="str">
        <f t="shared" si="4"/>
        <v>STC</v>
      </c>
      <c r="J8" s="7" t="str">
        <f t="shared" si="5"/>
        <v>WHI</v>
      </c>
      <c r="K8" s="7" t="str">
        <f t="shared" si="6"/>
        <v>XXL</v>
      </c>
      <c r="L8" s="7" t="s">
        <v>2018</v>
      </c>
      <c r="M8" s="7" t="s">
        <v>4462</v>
      </c>
      <c r="N8" s="7">
        <f>_xlfn.XLOOKUP(A8,[1]SKU!$A:$A,[1]SKU!$Z:$Z)</f>
        <v>710000</v>
      </c>
    </row>
    <row r="9" spans="1:14" s="7" customFormat="1">
      <c r="A9" s="1" t="s">
        <v>4480</v>
      </c>
      <c r="B9" s="3" t="s">
        <v>4481</v>
      </c>
      <c r="C9" s="3" t="s">
        <v>14</v>
      </c>
      <c r="D9" s="1" t="s">
        <v>4482</v>
      </c>
      <c r="E9" s="7" t="str">
        <f t="shared" si="0"/>
        <v>PAS</v>
      </c>
      <c r="F9" s="7" t="str">
        <f t="shared" si="1"/>
        <v>UNI</v>
      </c>
      <c r="G9" s="7" t="str">
        <f t="shared" si="2"/>
        <v>ART</v>
      </c>
      <c r="H9" s="7" t="str">
        <f t="shared" si="3"/>
        <v>ART</v>
      </c>
      <c r="I9" s="7" t="str">
        <f t="shared" si="4"/>
        <v>CP1</v>
      </c>
      <c r="J9" s="7" t="str">
        <f t="shared" si="5"/>
        <v>MIX</v>
      </c>
      <c r="K9" s="7" t="str">
        <f t="shared" si="6"/>
        <v>A3</v>
      </c>
      <c r="L9" s="7">
        <v>0</v>
      </c>
      <c r="M9" s="7" t="s">
        <v>2609</v>
      </c>
      <c r="N9" s="7">
        <f>_xlfn.XLOOKUP(A9,[1]SKU!$A:$A,[1]SKU!$Z:$Z)</f>
        <v>5000000</v>
      </c>
    </row>
    <row r="10" spans="1:14" s="7" customFormat="1">
      <c r="A10" s="1" t="s">
        <v>15</v>
      </c>
      <c r="B10" s="3" t="s">
        <v>3</v>
      </c>
      <c r="C10" s="3" t="s">
        <v>16</v>
      </c>
      <c r="D10" s="1" t="s">
        <v>17</v>
      </c>
      <c r="E10" s="7" t="str">
        <f t="shared" si="0"/>
        <v>GOR</v>
      </c>
      <c r="F10" s="7" t="str">
        <f t="shared" si="1"/>
        <v>MEN</v>
      </c>
      <c r="G10" s="7" t="str">
        <f t="shared" si="2"/>
        <v>TSS</v>
      </c>
      <c r="H10" s="7" t="str">
        <f t="shared" si="3"/>
        <v>ONE</v>
      </c>
      <c r="I10" s="7" t="str">
        <f t="shared" si="4"/>
        <v>SMP</v>
      </c>
      <c r="J10" s="7" t="str">
        <f t="shared" si="5"/>
        <v>BLK</v>
      </c>
      <c r="K10" s="7" t="str">
        <f t="shared" si="6"/>
        <v>M</v>
      </c>
      <c r="L10" s="7" t="s">
        <v>2018</v>
      </c>
      <c r="M10" s="7" t="s">
        <v>4462</v>
      </c>
      <c r="N10" s="7">
        <f>_xlfn.XLOOKUP(A10,[1]SKU!$A:$A,[1]SKU!$Z:$Z)</f>
        <v>790000</v>
      </c>
    </row>
    <row r="11" spans="1:14" s="7" customFormat="1">
      <c r="A11" s="1" t="s">
        <v>18</v>
      </c>
      <c r="B11" s="3" t="s">
        <v>19</v>
      </c>
      <c r="C11" s="3" t="s">
        <v>20</v>
      </c>
      <c r="D11" s="1" t="s">
        <v>21</v>
      </c>
      <c r="E11" s="7" t="str">
        <f t="shared" si="0"/>
        <v>OTH</v>
      </c>
      <c r="F11" s="7" t="str">
        <f t="shared" si="1"/>
        <v>UNI</v>
      </c>
      <c r="G11" s="7" t="str">
        <f t="shared" si="2"/>
        <v>HWR</v>
      </c>
      <c r="H11" s="7" t="str">
        <f t="shared" si="3"/>
        <v>HEA</v>
      </c>
      <c r="I11" s="7" t="str">
        <f t="shared" si="4"/>
        <v>MIX</v>
      </c>
      <c r="J11" s="7" t="str">
        <f t="shared" si="5"/>
        <v>MIX</v>
      </c>
      <c r="K11" s="7" t="str">
        <f t="shared" si="6"/>
        <v>0</v>
      </c>
      <c r="L11" s="7">
        <v>0</v>
      </c>
      <c r="M11" s="7" t="s">
        <v>2609</v>
      </c>
      <c r="N11" s="7">
        <f>_xlfn.XLOOKUP(A11,[1]SKU!$A:$A,[1]SKU!$Z:$Z)</f>
        <v>105000</v>
      </c>
    </row>
    <row r="12" spans="1:14" s="7" customFormat="1">
      <c r="A12" s="1" t="s">
        <v>22</v>
      </c>
      <c r="B12" s="3" t="s">
        <v>3</v>
      </c>
      <c r="C12" s="3" t="s">
        <v>23</v>
      </c>
      <c r="D12" s="1" t="s">
        <v>24</v>
      </c>
      <c r="E12" s="7" t="str">
        <f t="shared" si="0"/>
        <v>GOR</v>
      </c>
      <c r="F12" s="7" t="str">
        <f t="shared" si="1"/>
        <v>MEN</v>
      </c>
      <c r="G12" s="7" t="str">
        <f t="shared" si="2"/>
        <v>TSS</v>
      </c>
      <c r="H12" s="7" t="str">
        <f t="shared" si="3"/>
        <v>ONE</v>
      </c>
      <c r="I12" s="7" t="str">
        <f t="shared" si="4"/>
        <v>URB</v>
      </c>
      <c r="J12" s="7" t="str">
        <f t="shared" si="5"/>
        <v>JBG</v>
      </c>
      <c r="K12" s="7" t="str">
        <f t="shared" si="6"/>
        <v>L</v>
      </c>
      <c r="L12" s="7" t="s">
        <v>2018</v>
      </c>
      <c r="M12" s="7" t="s">
        <v>4462</v>
      </c>
      <c r="N12" s="7">
        <f>_xlfn.XLOOKUP(A12,[1]SKU!$A:$A,[1]SKU!$Z:$Z)</f>
        <v>790000</v>
      </c>
    </row>
    <row r="13" spans="1:14" s="7" customFormat="1">
      <c r="A13" s="1" t="s">
        <v>4483</v>
      </c>
      <c r="B13" s="3" t="s">
        <v>4472</v>
      </c>
      <c r="C13" s="3" t="s">
        <v>4484</v>
      </c>
      <c r="D13" s="1" t="s">
        <v>4485</v>
      </c>
      <c r="E13" s="7" t="str">
        <f t="shared" si="0"/>
        <v>LAN</v>
      </c>
      <c r="F13" s="7" t="str">
        <f t="shared" si="1"/>
        <v>UNI</v>
      </c>
      <c r="G13" s="7" t="str">
        <f t="shared" si="2"/>
        <v>HWR</v>
      </c>
      <c r="H13" s="7" t="str">
        <f t="shared" si="3"/>
        <v>SC2</v>
      </c>
      <c r="I13" s="7" t="str">
        <f t="shared" si="4"/>
        <v>TKU</v>
      </c>
      <c r="J13" s="7" t="str">
        <f t="shared" si="5"/>
        <v>PIN</v>
      </c>
      <c r="K13" s="7" t="str">
        <f t="shared" si="6"/>
        <v>70x70</v>
      </c>
      <c r="L13" s="7">
        <v>0</v>
      </c>
      <c r="M13" s="7" t="s">
        <v>2609</v>
      </c>
      <c r="N13" s="7">
        <f>_xlfn.XLOOKUP(A13,[1]SKU!$A:$A,[1]SKU!$Z:$Z)</f>
        <v>749000</v>
      </c>
    </row>
    <row r="14" spans="1:14" s="7" customFormat="1">
      <c r="A14" s="1" t="s">
        <v>25</v>
      </c>
      <c r="B14" s="3" t="s">
        <v>3</v>
      </c>
      <c r="C14" s="3" t="s">
        <v>26</v>
      </c>
      <c r="D14" s="1" t="s">
        <v>27</v>
      </c>
      <c r="E14" s="7" t="str">
        <f t="shared" si="0"/>
        <v>GSL</v>
      </c>
      <c r="F14" s="7" t="str">
        <f t="shared" si="1"/>
        <v>KID</v>
      </c>
      <c r="G14" s="7" t="str">
        <f t="shared" si="2"/>
        <v>TSS</v>
      </c>
      <c r="H14" s="7" t="str">
        <f t="shared" si="3"/>
        <v>ONE</v>
      </c>
      <c r="I14" s="7" t="str">
        <f t="shared" si="4"/>
        <v>AUL</v>
      </c>
      <c r="J14" s="7" t="str">
        <f t="shared" si="5"/>
        <v>WHI</v>
      </c>
      <c r="K14" s="7" t="str">
        <f t="shared" si="6"/>
        <v>10</v>
      </c>
      <c r="L14" s="7" t="s">
        <v>2018</v>
      </c>
      <c r="M14" s="7" t="s">
        <v>4462</v>
      </c>
      <c r="N14" s="7">
        <f>_xlfn.XLOOKUP(A14,[1]SKU!$A:$A,[1]SKU!$Z:$Z)</f>
        <v>650000</v>
      </c>
    </row>
    <row r="15" spans="1:14" s="7" customFormat="1">
      <c r="A15" s="1" t="s">
        <v>28</v>
      </c>
      <c r="B15" s="3" t="s">
        <v>3</v>
      </c>
      <c r="C15" s="3" t="s">
        <v>29</v>
      </c>
      <c r="D15" s="1" t="s">
        <v>30</v>
      </c>
      <c r="E15" s="7" t="str">
        <f t="shared" si="0"/>
        <v>GSP</v>
      </c>
      <c r="F15" s="7" t="str">
        <f t="shared" si="1"/>
        <v>MEN</v>
      </c>
      <c r="G15" s="7" t="str">
        <f t="shared" si="2"/>
        <v>POL</v>
      </c>
      <c r="H15" s="7" t="str">
        <f t="shared" si="3"/>
        <v>MAN</v>
      </c>
      <c r="I15" s="7" t="str">
        <f t="shared" si="4"/>
        <v>SHU</v>
      </c>
      <c r="J15" s="7" t="str">
        <f t="shared" si="5"/>
        <v>NAV</v>
      </c>
      <c r="K15" s="7" t="str">
        <f t="shared" si="6"/>
        <v>S</v>
      </c>
      <c r="L15" s="7" t="s">
        <v>1995</v>
      </c>
      <c r="M15" s="7" t="s">
        <v>4468</v>
      </c>
      <c r="N15" s="7">
        <f>_xlfn.XLOOKUP(A15,[1]SKU!$A:$A,[1]SKU!$Z:$Z)</f>
        <v>1090000</v>
      </c>
    </row>
    <row r="16" spans="1:14" s="7" customFormat="1">
      <c r="A16" s="1" t="s">
        <v>4486</v>
      </c>
      <c r="B16" s="3" t="s">
        <v>4472</v>
      </c>
      <c r="C16" s="3" t="s">
        <v>31</v>
      </c>
      <c r="D16" s="1" t="s">
        <v>4487</v>
      </c>
      <c r="E16" s="7" t="str">
        <f t="shared" si="0"/>
        <v>VNE</v>
      </c>
      <c r="F16" s="7" t="str">
        <f t="shared" si="1"/>
        <v>UNI</v>
      </c>
      <c r="G16" s="7" t="str">
        <f t="shared" si="2"/>
        <v>SOU</v>
      </c>
      <c r="H16" s="7" t="str">
        <f t="shared" si="3"/>
        <v>DAS</v>
      </c>
      <c r="I16" s="7" t="str">
        <f t="shared" si="4"/>
        <v>SAN</v>
      </c>
      <c r="J16" s="7" t="str">
        <f t="shared" si="5"/>
        <v>SGR</v>
      </c>
      <c r="K16" s="7" t="str">
        <f t="shared" si="6"/>
        <v>18CM</v>
      </c>
      <c r="L16" s="7">
        <v>0</v>
      </c>
      <c r="M16" s="7" t="s">
        <v>2609</v>
      </c>
      <c r="N16" s="7">
        <f>_xlfn.XLOOKUP(A16,[1]SKU!$A:$A,[1]SKU!$Z:$Z)</f>
        <v>12500000</v>
      </c>
    </row>
    <row r="17" spans="1:14" s="7" customFormat="1">
      <c r="A17" s="1" t="s">
        <v>32</v>
      </c>
      <c r="B17" s="3" t="s">
        <v>3</v>
      </c>
      <c r="C17" s="3" t="s">
        <v>33</v>
      </c>
      <c r="D17" s="1" t="s">
        <v>34</v>
      </c>
      <c r="E17" s="7" t="str">
        <f t="shared" si="0"/>
        <v>GOR</v>
      </c>
      <c r="F17" s="7" t="str">
        <f t="shared" si="1"/>
        <v>MEN</v>
      </c>
      <c r="G17" s="7" t="str">
        <f t="shared" si="2"/>
        <v>TSS</v>
      </c>
      <c r="H17" s="7" t="str">
        <f t="shared" si="3"/>
        <v>ONE</v>
      </c>
      <c r="I17" s="7" t="str">
        <f t="shared" si="4"/>
        <v>VTM</v>
      </c>
      <c r="J17" s="7" t="str">
        <f t="shared" si="5"/>
        <v>GRE</v>
      </c>
      <c r="K17" s="7" t="str">
        <f t="shared" si="6"/>
        <v>XXL</v>
      </c>
      <c r="L17" s="7" t="s">
        <v>2018</v>
      </c>
      <c r="M17" s="7" t="s">
        <v>4462</v>
      </c>
      <c r="N17" s="7">
        <f>_xlfn.XLOOKUP(A17,[1]SKU!$A:$A,[1]SKU!$Z:$Z)</f>
        <v>790000</v>
      </c>
    </row>
    <row r="18" spans="1:14" s="7" customFormat="1">
      <c r="A18" s="1" t="s">
        <v>4488</v>
      </c>
      <c r="B18" s="3" t="s">
        <v>4481</v>
      </c>
      <c r="C18" s="3" t="s">
        <v>35</v>
      </c>
      <c r="D18" s="1" t="s">
        <v>4489</v>
      </c>
      <c r="E18" s="7" t="str">
        <f t="shared" si="0"/>
        <v>PAS</v>
      </c>
      <c r="F18" s="7" t="str">
        <f t="shared" si="1"/>
        <v>UNI</v>
      </c>
      <c r="G18" s="7" t="str">
        <f t="shared" si="2"/>
        <v>ART</v>
      </c>
      <c r="H18" s="7" t="str">
        <f t="shared" si="3"/>
        <v>ART</v>
      </c>
      <c r="I18" s="7" t="str">
        <f t="shared" si="4"/>
        <v>FRA</v>
      </c>
      <c r="J18" s="7" t="str">
        <f t="shared" si="5"/>
        <v>MIX</v>
      </c>
      <c r="K18" s="7" t="str">
        <f t="shared" si="6"/>
        <v>AG</v>
      </c>
      <c r="L18" s="7">
        <v>0</v>
      </c>
      <c r="M18" s="7" t="s">
        <v>2609</v>
      </c>
      <c r="N18" s="7">
        <f>_xlfn.XLOOKUP(A18,[1]SKU!$A:$A,[1]SKU!$Z:$Z)</f>
        <v>1000000</v>
      </c>
    </row>
    <row r="19" spans="1:14" s="7" customFormat="1">
      <c r="A19" s="1" t="s">
        <v>4490</v>
      </c>
      <c r="B19" s="3" t="s">
        <v>4472</v>
      </c>
      <c r="C19" s="3" t="s">
        <v>36</v>
      </c>
      <c r="D19" s="1" t="s">
        <v>4491</v>
      </c>
      <c r="E19" s="7" t="str">
        <f t="shared" si="0"/>
        <v>PSD</v>
      </c>
      <c r="F19" s="7" t="str">
        <f t="shared" si="1"/>
        <v>UNI</v>
      </c>
      <c r="G19" s="7" t="str">
        <f t="shared" si="2"/>
        <v>SOU</v>
      </c>
      <c r="H19" s="7" t="str">
        <f t="shared" si="3"/>
        <v>DEC</v>
      </c>
      <c r="I19" s="7" t="str">
        <f t="shared" si="4"/>
        <v>SIB</v>
      </c>
      <c r="J19" s="7" t="str">
        <f t="shared" si="5"/>
        <v>BRO</v>
      </c>
      <c r="K19" s="7" t="str">
        <f t="shared" si="6"/>
        <v>8</v>
      </c>
      <c r="L19" s="7">
        <v>0</v>
      </c>
      <c r="M19" s="7" t="s">
        <v>2609</v>
      </c>
      <c r="N19" s="7">
        <f>_xlfn.XLOOKUP(A19,[1]SKU!$A:$A,[1]SKU!$Z:$Z)</f>
        <v>290000</v>
      </c>
    </row>
    <row r="20" spans="1:14" s="7" customFormat="1">
      <c r="A20" s="1" t="s">
        <v>37</v>
      </c>
      <c r="B20" s="3" t="s">
        <v>3</v>
      </c>
      <c r="C20" s="3" t="s">
        <v>38</v>
      </c>
      <c r="D20" s="1" t="s">
        <v>39</v>
      </c>
      <c r="E20" s="7" t="str">
        <f t="shared" si="0"/>
        <v>GPI</v>
      </c>
      <c r="F20" s="7" t="str">
        <f t="shared" si="1"/>
        <v>MEN</v>
      </c>
      <c r="G20" s="7" t="str">
        <f t="shared" si="2"/>
        <v>POL</v>
      </c>
      <c r="H20" s="7" t="str">
        <f t="shared" si="3"/>
        <v>MAN</v>
      </c>
      <c r="I20" s="7" t="str">
        <f t="shared" si="4"/>
        <v>LOG</v>
      </c>
      <c r="J20" s="7" t="str">
        <f t="shared" si="5"/>
        <v>AGD</v>
      </c>
      <c r="K20" s="7" t="str">
        <f t="shared" si="6"/>
        <v>S</v>
      </c>
      <c r="L20" s="7" t="s">
        <v>1995</v>
      </c>
      <c r="M20" s="7" t="s">
        <v>4468</v>
      </c>
      <c r="N20" s="7">
        <f>_xlfn.XLOOKUP(A20,[1]SKU!$A:$A,[1]SKU!$Z:$Z)</f>
        <v>1190000</v>
      </c>
    </row>
    <row r="21" spans="1:14" s="7" customFormat="1">
      <c r="A21" s="1" t="s">
        <v>4492</v>
      </c>
      <c r="B21" s="3" t="s">
        <v>4472</v>
      </c>
      <c r="C21" s="3" t="s">
        <v>40</v>
      </c>
      <c r="D21" s="1" t="s">
        <v>4493</v>
      </c>
      <c r="E21" s="7" t="str">
        <f t="shared" si="0"/>
        <v>DSP</v>
      </c>
      <c r="F21" s="7" t="str">
        <f t="shared" si="1"/>
        <v>UNI</v>
      </c>
      <c r="G21" s="7" t="str">
        <f t="shared" si="2"/>
        <v>FWR</v>
      </c>
      <c r="H21" s="7" t="str">
        <f t="shared" si="3"/>
        <v>FLA</v>
      </c>
      <c r="I21" s="7" t="str">
        <f t="shared" si="4"/>
        <v>CO1</v>
      </c>
      <c r="J21" s="7" t="str">
        <f t="shared" si="5"/>
        <v>HOE</v>
      </c>
      <c r="K21" s="7" t="str">
        <f t="shared" si="6"/>
        <v>37</v>
      </c>
      <c r="L21" s="7">
        <v>0</v>
      </c>
      <c r="M21" s="7" t="s">
        <v>2609</v>
      </c>
      <c r="N21" s="7">
        <f>_xlfn.XLOOKUP(A21,[1]SKU!$A:$A,[1]SKU!$Z:$Z)</f>
        <v>5950000</v>
      </c>
    </row>
    <row r="22" spans="1:14" s="7" customFormat="1">
      <c r="A22" s="1" t="s">
        <v>41</v>
      </c>
      <c r="B22" s="3" t="s">
        <v>3</v>
      </c>
      <c r="C22" s="3" t="s">
        <v>42</v>
      </c>
      <c r="D22" s="1" t="s">
        <v>43</v>
      </c>
      <c r="E22" s="7" t="str">
        <f t="shared" si="0"/>
        <v>GSU</v>
      </c>
      <c r="F22" s="7" t="str">
        <f t="shared" si="1"/>
        <v>WOM</v>
      </c>
      <c r="G22" s="7" t="str">
        <f t="shared" si="2"/>
        <v>TTB</v>
      </c>
      <c r="H22" s="7" t="str">
        <f t="shared" si="3"/>
        <v>BNE</v>
      </c>
      <c r="I22" s="7" t="str">
        <f t="shared" si="4"/>
        <v>EHT</v>
      </c>
      <c r="J22" s="7" t="str">
        <f t="shared" si="5"/>
        <v>YEL</v>
      </c>
      <c r="K22" s="7" t="str">
        <f t="shared" si="6"/>
        <v>M</v>
      </c>
      <c r="L22" s="7" t="s">
        <v>2326</v>
      </c>
      <c r="M22" s="7" t="s">
        <v>4469</v>
      </c>
      <c r="N22" s="7">
        <f>_xlfn.XLOOKUP(A22,[1]SKU!$A:$A,[1]SKU!$Z:$Z)</f>
        <v>950000</v>
      </c>
    </row>
    <row r="23" spans="1:14" s="7" customFormat="1">
      <c r="A23" s="1" t="s">
        <v>44</v>
      </c>
      <c r="B23" s="3" t="s">
        <v>3</v>
      </c>
      <c r="C23" s="3" t="s">
        <v>45</v>
      </c>
      <c r="D23" s="1" t="s">
        <v>46</v>
      </c>
      <c r="E23" s="7" t="str">
        <f t="shared" si="0"/>
        <v>GOR</v>
      </c>
      <c r="F23" s="7" t="str">
        <f t="shared" si="1"/>
        <v>MEN</v>
      </c>
      <c r="G23" s="7" t="str">
        <f t="shared" si="2"/>
        <v>TSS</v>
      </c>
      <c r="H23" s="7" t="str">
        <f t="shared" si="3"/>
        <v>ONE</v>
      </c>
      <c r="I23" s="7" t="str">
        <f t="shared" si="4"/>
        <v>DDU</v>
      </c>
      <c r="J23" s="7" t="str">
        <f t="shared" si="5"/>
        <v>GRE</v>
      </c>
      <c r="K23" s="7" t="str">
        <f t="shared" si="6"/>
        <v>M</v>
      </c>
      <c r="L23" s="7" t="s">
        <v>2018</v>
      </c>
      <c r="M23" s="7" t="s">
        <v>4462</v>
      </c>
      <c r="N23" s="7">
        <f>_xlfn.XLOOKUP(A23,[1]SKU!$A:$A,[1]SKU!$Z:$Z)</f>
        <v>790000</v>
      </c>
    </row>
    <row r="24" spans="1:14" s="7" customFormat="1">
      <c r="A24" s="1" t="s">
        <v>4494</v>
      </c>
      <c r="B24" s="3" t="s">
        <v>4472</v>
      </c>
      <c r="C24" s="3" t="s">
        <v>4495</v>
      </c>
      <c r="D24" s="1" t="s">
        <v>4496</v>
      </c>
      <c r="E24" s="7" t="str">
        <f t="shared" si="0"/>
        <v>LAN</v>
      </c>
      <c r="F24" s="7" t="str">
        <f t="shared" si="1"/>
        <v>UNI</v>
      </c>
      <c r="G24" s="7" t="str">
        <f t="shared" si="2"/>
        <v>HWR</v>
      </c>
      <c r="H24" s="7" t="str">
        <f t="shared" si="3"/>
        <v>SC2</v>
      </c>
      <c r="I24" s="7" t="str">
        <f t="shared" si="4"/>
        <v>DTD</v>
      </c>
      <c r="J24" s="7" t="str">
        <f t="shared" si="5"/>
        <v>GRN</v>
      </c>
      <c r="K24" s="7" t="str">
        <f t="shared" si="6"/>
        <v>70x70</v>
      </c>
      <c r="L24" s="7">
        <v>0</v>
      </c>
      <c r="M24" s="7" t="s">
        <v>2609</v>
      </c>
      <c r="N24" s="7">
        <f>_xlfn.XLOOKUP(A24,[1]SKU!$A:$A,[1]SKU!$Z:$Z)</f>
        <v>749000</v>
      </c>
    </row>
    <row r="25" spans="1:14" s="7" customFormat="1">
      <c r="A25" s="1" t="s">
        <v>4497</v>
      </c>
      <c r="B25" s="3" t="s">
        <v>4472</v>
      </c>
      <c r="C25" s="3" t="s">
        <v>4498</v>
      </c>
      <c r="D25" s="1" t="s">
        <v>4499</v>
      </c>
      <c r="E25" s="7" t="str">
        <f t="shared" si="0"/>
        <v>HAM</v>
      </c>
      <c r="F25" s="7" t="str">
        <f t="shared" si="1"/>
        <v>UNI</v>
      </c>
      <c r="G25" s="7" t="str">
        <f t="shared" si="2"/>
        <v>JEW</v>
      </c>
      <c r="H25" s="7" t="str">
        <f t="shared" si="3"/>
        <v>NEC</v>
      </c>
      <c r="I25" s="7" t="str">
        <f t="shared" si="4"/>
        <v>142</v>
      </c>
      <c r="J25" s="7" t="str">
        <f t="shared" si="5"/>
        <v>MIX</v>
      </c>
      <c r="K25" s="7" t="str">
        <f t="shared" si="6"/>
        <v>0</v>
      </c>
      <c r="L25" s="7">
        <v>0</v>
      </c>
      <c r="M25" s="7" t="s">
        <v>2609</v>
      </c>
      <c r="N25" s="7">
        <f>_xlfn.XLOOKUP(A25,[1]SKU!$A:$A,[1]SKU!$Z:$Z)</f>
        <v>1800000</v>
      </c>
    </row>
    <row r="26" spans="1:14" s="7" customFormat="1">
      <c r="A26" s="1" t="s">
        <v>47</v>
      </c>
      <c r="B26" s="3" t="s">
        <v>3</v>
      </c>
      <c r="C26" s="3" t="s">
        <v>48</v>
      </c>
      <c r="D26" s="1" t="s">
        <v>49</v>
      </c>
      <c r="E26" s="7" t="str">
        <f t="shared" si="0"/>
        <v>GOR</v>
      </c>
      <c r="F26" s="7" t="str">
        <f t="shared" si="1"/>
        <v>MEN</v>
      </c>
      <c r="G26" s="7" t="str">
        <f t="shared" si="2"/>
        <v>TSS</v>
      </c>
      <c r="H26" s="7" t="str">
        <f t="shared" si="3"/>
        <v>HNE</v>
      </c>
      <c r="I26" s="7" t="str">
        <f t="shared" si="4"/>
        <v>GAO</v>
      </c>
      <c r="J26" s="7" t="str">
        <f t="shared" si="5"/>
        <v>BLK</v>
      </c>
      <c r="K26" s="7" t="str">
        <f t="shared" si="6"/>
        <v>L</v>
      </c>
      <c r="L26" s="7" t="s">
        <v>2018</v>
      </c>
      <c r="M26" s="7" t="s">
        <v>4462</v>
      </c>
      <c r="N26" s="7">
        <f>_xlfn.XLOOKUP(A26,[1]SKU!$A:$A,[1]SKU!$Z:$Z)</f>
        <v>1650000</v>
      </c>
    </row>
    <row r="27" spans="1:14" s="7" customFormat="1">
      <c r="A27" s="1" t="s">
        <v>4500</v>
      </c>
      <c r="B27" s="3" t="s">
        <v>4481</v>
      </c>
      <c r="C27" s="3" t="s">
        <v>35</v>
      </c>
      <c r="D27" s="1" t="s">
        <v>4501</v>
      </c>
      <c r="E27" s="7" t="str">
        <f t="shared" si="0"/>
        <v>PAS</v>
      </c>
      <c r="F27" s="7" t="str">
        <f t="shared" si="1"/>
        <v>UNI</v>
      </c>
      <c r="G27" s="7" t="str">
        <f t="shared" si="2"/>
        <v>ART</v>
      </c>
      <c r="H27" s="7" t="str">
        <f t="shared" si="3"/>
        <v>ART</v>
      </c>
      <c r="I27" s="7" t="str">
        <f t="shared" si="4"/>
        <v>FRA</v>
      </c>
      <c r="J27" s="7" t="str">
        <f t="shared" si="5"/>
        <v>MIX</v>
      </c>
      <c r="K27" s="7" t="str">
        <f t="shared" si="6"/>
        <v>A1</v>
      </c>
      <c r="L27" s="7">
        <v>0</v>
      </c>
      <c r="M27" s="7" t="s">
        <v>2609</v>
      </c>
      <c r="N27" s="7">
        <f>_xlfn.XLOOKUP(A27,[1]SKU!$A:$A,[1]SKU!$Z:$Z)</f>
        <v>2500000</v>
      </c>
    </row>
    <row r="28" spans="1:14" s="7" customFormat="1">
      <c r="A28" s="1" t="s">
        <v>4502</v>
      </c>
      <c r="B28" s="3" t="s">
        <v>4481</v>
      </c>
      <c r="C28" s="3" t="s">
        <v>50</v>
      </c>
      <c r="D28" s="1" t="s">
        <v>4503</v>
      </c>
      <c r="E28" s="7" t="str">
        <f t="shared" si="0"/>
        <v>PAS</v>
      </c>
      <c r="F28" s="7" t="str">
        <f t="shared" si="1"/>
        <v>UNI</v>
      </c>
      <c r="G28" s="7" t="str">
        <f t="shared" si="2"/>
        <v>ART</v>
      </c>
      <c r="H28" s="7" t="str">
        <f t="shared" si="3"/>
        <v>ART</v>
      </c>
      <c r="I28" s="7" t="str">
        <f t="shared" si="4"/>
        <v>HHR</v>
      </c>
      <c r="J28" s="7" t="str">
        <f t="shared" si="5"/>
        <v>MIX</v>
      </c>
      <c r="K28" s="7" t="str">
        <f t="shared" si="6"/>
        <v>A1</v>
      </c>
      <c r="L28" s="7">
        <v>0</v>
      </c>
      <c r="M28" s="7" t="s">
        <v>2609</v>
      </c>
      <c r="N28" s="7">
        <f>_xlfn.XLOOKUP(A28,[1]SKU!$A:$A,[1]SKU!$Z:$Z)</f>
        <v>7500000</v>
      </c>
    </row>
    <row r="29" spans="1:14" s="7" customFormat="1">
      <c r="A29" s="1" t="s">
        <v>4504</v>
      </c>
      <c r="B29" s="3" t="s">
        <v>4472</v>
      </c>
      <c r="C29" s="3" t="s">
        <v>51</v>
      </c>
      <c r="D29" s="1" t="s">
        <v>4505</v>
      </c>
      <c r="E29" s="7" t="str">
        <f t="shared" si="0"/>
        <v>DSP</v>
      </c>
      <c r="F29" s="7" t="str">
        <f t="shared" si="1"/>
        <v>UNI</v>
      </c>
      <c r="G29" s="7" t="str">
        <f t="shared" si="2"/>
        <v>BAG</v>
      </c>
      <c r="H29" s="7" t="str">
        <f t="shared" si="3"/>
        <v>CHR</v>
      </c>
      <c r="I29" s="7" t="str">
        <f t="shared" si="4"/>
        <v>SCH</v>
      </c>
      <c r="J29" s="7" t="str">
        <f t="shared" si="5"/>
        <v>BWH</v>
      </c>
      <c r="K29" s="7" t="str">
        <f t="shared" si="6"/>
        <v>0</v>
      </c>
      <c r="L29" s="7">
        <v>0</v>
      </c>
      <c r="M29" s="7" t="s">
        <v>2609</v>
      </c>
      <c r="N29" s="7">
        <f>_xlfn.XLOOKUP(A29,[1]SKU!$A:$A,[1]SKU!$Z:$Z)</f>
        <v>1150000</v>
      </c>
    </row>
    <row r="30" spans="1:14" s="7" customFormat="1">
      <c r="A30" s="1" t="s">
        <v>4506</v>
      </c>
      <c r="B30" s="3" t="s">
        <v>4472</v>
      </c>
      <c r="C30" s="3" t="s">
        <v>4507</v>
      </c>
      <c r="D30" s="1" t="s">
        <v>4508</v>
      </c>
      <c r="E30" s="7" t="str">
        <f t="shared" si="0"/>
        <v>HAM</v>
      </c>
      <c r="F30" s="7" t="str">
        <f t="shared" si="1"/>
        <v>UNI</v>
      </c>
      <c r="G30" s="7" t="str">
        <f t="shared" si="2"/>
        <v>JEW</v>
      </c>
      <c r="H30" s="7" t="str">
        <f t="shared" si="3"/>
        <v>NEC</v>
      </c>
      <c r="I30" s="7" t="str">
        <f t="shared" si="4"/>
        <v>A29</v>
      </c>
      <c r="J30" s="7" t="str">
        <f t="shared" si="5"/>
        <v>MIX</v>
      </c>
      <c r="K30" s="7" t="str">
        <f t="shared" si="6"/>
        <v>0</v>
      </c>
      <c r="L30" s="7">
        <v>0</v>
      </c>
      <c r="M30" s="7" t="s">
        <v>2609</v>
      </c>
      <c r="N30" s="7">
        <f>_xlfn.XLOOKUP(A30,[1]SKU!$A:$A,[1]SKU!$Z:$Z)</f>
        <v>1800000</v>
      </c>
    </row>
    <row r="31" spans="1:14" s="7" customFormat="1">
      <c r="A31" s="1" t="s">
        <v>4509</v>
      </c>
      <c r="B31" s="3" t="s">
        <v>4472</v>
      </c>
      <c r="C31" s="3" t="s">
        <v>4507</v>
      </c>
      <c r="D31" s="1" t="s">
        <v>4510</v>
      </c>
      <c r="E31" s="7" t="str">
        <f t="shared" si="0"/>
        <v>HAM</v>
      </c>
      <c r="F31" s="7" t="str">
        <f t="shared" si="1"/>
        <v>UNI</v>
      </c>
      <c r="G31" s="7" t="str">
        <f t="shared" si="2"/>
        <v>JEW</v>
      </c>
      <c r="H31" s="7" t="str">
        <f t="shared" si="3"/>
        <v>NEC</v>
      </c>
      <c r="I31" s="7" t="str">
        <f t="shared" si="4"/>
        <v>076</v>
      </c>
      <c r="J31" s="7" t="str">
        <f t="shared" si="5"/>
        <v>MIX</v>
      </c>
      <c r="K31" s="7" t="str">
        <f t="shared" si="6"/>
        <v>0</v>
      </c>
      <c r="L31" s="7">
        <v>0</v>
      </c>
      <c r="M31" s="7" t="s">
        <v>2609</v>
      </c>
      <c r="N31" s="7">
        <f>_xlfn.XLOOKUP(A31,[1]SKU!$A:$A,[1]SKU!$Z:$Z)</f>
        <v>1800000</v>
      </c>
    </row>
    <row r="32" spans="1:14" s="7" customFormat="1">
      <c r="A32" s="1" t="s">
        <v>54</v>
      </c>
      <c r="B32" s="3" t="s">
        <v>19</v>
      </c>
      <c r="C32" s="3" t="s">
        <v>55</v>
      </c>
      <c r="D32" s="1" t="s">
        <v>56</v>
      </c>
      <c r="E32" s="7" t="str">
        <f t="shared" si="0"/>
        <v>OTH</v>
      </c>
      <c r="F32" s="7" t="str">
        <f t="shared" si="1"/>
        <v>UNI</v>
      </c>
      <c r="G32" s="7" t="str">
        <f t="shared" si="2"/>
        <v>HWR</v>
      </c>
      <c r="H32" s="7" t="str">
        <f t="shared" si="3"/>
        <v>CAP</v>
      </c>
      <c r="I32" s="7" t="str">
        <f t="shared" si="4"/>
        <v>LPN</v>
      </c>
      <c r="J32" s="7" t="str">
        <f t="shared" si="5"/>
        <v>BOR</v>
      </c>
      <c r="K32" s="7" t="str">
        <f t="shared" si="6"/>
        <v>S</v>
      </c>
      <c r="L32" s="7">
        <v>0</v>
      </c>
      <c r="M32" s="7" t="s">
        <v>2609</v>
      </c>
      <c r="N32" s="7">
        <f>_xlfn.XLOOKUP(A32,[1]SKU!$A:$A,[1]SKU!$Z:$Z)</f>
        <v>370000</v>
      </c>
    </row>
    <row r="33" spans="1:14" s="7" customFormat="1">
      <c r="A33" s="1" t="s">
        <v>57</v>
      </c>
      <c r="B33" s="3" t="s">
        <v>3</v>
      </c>
      <c r="C33" s="3" t="s">
        <v>58</v>
      </c>
      <c r="D33" s="1" t="s">
        <v>59</v>
      </c>
      <c r="E33" s="7" t="str">
        <f t="shared" si="0"/>
        <v>GLI</v>
      </c>
      <c r="F33" s="7" t="str">
        <f t="shared" si="1"/>
        <v>MEN</v>
      </c>
      <c r="G33" s="7" t="str">
        <f t="shared" si="2"/>
        <v>PAF</v>
      </c>
      <c r="H33" s="7" t="str">
        <f t="shared" si="3"/>
        <v>BBT</v>
      </c>
      <c r="I33" s="7" t="str">
        <f t="shared" si="4"/>
        <v>LIN</v>
      </c>
      <c r="J33" s="7" t="str">
        <f t="shared" si="5"/>
        <v>WHI</v>
      </c>
      <c r="K33" s="7" t="str">
        <f t="shared" si="6"/>
        <v>XL</v>
      </c>
      <c r="L33" s="7" t="s">
        <v>2700</v>
      </c>
      <c r="M33" s="7" t="s">
        <v>4467</v>
      </c>
      <c r="N33" s="7">
        <f>_xlfn.XLOOKUP(A33,[1]SKU!$A:$A,[1]SKU!$Z:$Z)</f>
        <v>2690000</v>
      </c>
    </row>
    <row r="34" spans="1:14" s="7" customFormat="1">
      <c r="A34" s="1" t="s">
        <v>60</v>
      </c>
      <c r="B34" s="3" t="s">
        <v>3</v>
      </c>
      <c r="C34" s="3" t="s">
        <v>61</v>
      </c>
      <c r="D34" s="1" t="s">
        <v>62</v>
      </c>
      <c r="E34" s="7" t="str">
        <f t="shared" si="0"/>
        <v>GPI</v>
      </c>
      <c r="F34" s="7" t="str">
        <f t="shared" si="1"/>
        <v>MEN</v>
      </c>
      <c r="G34" s="7" t="str">
        <f t="shared" si="2"/>
        <v>POL</v>
      </c>
      <c r="H34" s="7" t="str">
        <f t="shared" si="3"/>
        <v>MAN</v>
      </c>
      <c r="I34" s="7" t="str">
        <f t="shared" si="4"/>
        <v>RLN</v>
      </c>
      <c r="J34" s="7" t="str">
        <f t="shared" si="5"/>
        <v>OLI</v>
      </c>
      <c r="K34" s="7" t="str">
        <f t="shared" si="6"/>
        <v>S</v>
      </c>
      <c r="L34" s="7" t="s">
        <v>1995</v>
      </c>
      <c r="M34" s="7" t="s">
        <v>4468</v>
      </c>
      <c r="N34" s="7">
        <f>_xlfn.XLOOKUP(A34,[1]SKU!$A:$A,[1]SKU!$Z:$Z)</f>
        <v>1190000</v>
      </c>
    </row>
    <row r="35" spans="1:14" s="7" customFormat="1">
      <c r="A35" s="1" t="s">
        <v>63</v>
      </c>
      <c r="B35" s="3" t="s">
        <v>19</v>
      </c>
      <c r="C35" s="3" t="s">
        <v>64</v>
      </c>
      <c r="D35" s="1" t="s">
        <v>65</v>
      </c>
      <c r="E35" s="7" t="str">
        <f t="shared" si="0"/>
        <v>OTH</v>
      </c>
      <c r="F35" s="7" t="str">
        <f t="shared" si="1"/>
        <v>UNI</v>
      </c>
      <c r="G35" s="7" t="str">
        <f t="shared" si="2"/>
        <v>SOU</v>
      </c>
      <c r="H35" s="7" t="str">
        <f t="shared" si="3"/>
        <v>NBI</v>
      </c>
      <c r="I35" s="7" t="str">
        <f t="shared" si="4"/>
        <v>HAI</v>
      </c>
      <c r="J35" s="7" t="str">
        <f t="shared" si="5"/>
        <v>MIX</v>
      </c>
      <c r="K35" s="7" t="str">
        <f t="shared" si="6"/>
        <v>A5</v>
      </c>
      <c r="L35" s="7">
        <v>0</v>
      </c>
      <c r="M35" s="7" t="s">
        <v>2609</v>
      </c>
      <c r="N35" s="7">
        <f>_xlfn.XLOOKUP(A35,[1]SKU!$A:$A,[1]SKU!$Z:$Z)</f>
        <v>210000</v>
      </c>
    </row>
    <row r="36" spans="1:14" s="7" customFormat="1">
      <c r="A36" s="1" t="s">
        <v>4511</v>
      </c>
      <c r="B36" s="3" t="s">
        <v>4472</v>
      </c>
      <c r="C36" s="3" t="s">
        <v>4507</v>
      </c>
      <c r="D36" s="1" t="s">
        <v>4512</v>
      </c>
      <c r="E36" s="7" t="str">
        <f t="shared" si="0"/>
        <v>HAM</v>
      </c>
      <c r="F36" s="7" t="str">
        <f t="shared" si="1"/>
        <v>UNI</v>
      </c>
      <c r="G36" s="7" t="str">
        <f t="shared" si="2"/>
        <v>JEW</v>
      </c>
      <c r="H36" s="7" t="str">
        <f t="shared" si="3"/>
        <v>NEC</v>
      </c>
      <c r="I36" s="7" t="str">
        <f t="shared" si="4"/>
        <v>140</v>
      </c>
      <c r="J36" s="7" t="str">
        <f t="shared" si="5"/>
        <v>MIX</v>
      </c>
      <c r="K36" s="7" t="str">
        <f t="shared" si="6"/>
        <v>0</v>
      </c>
      <c r="L36" s="7">
        <v>0</v>
      </c>
      <c r="M36" s="7" t="s">
        <v>2609</v>
      </c>
      <c r="N36" s="7">
        <f>_xlfn.XLOOKUP(A36,[1]SKU!$A:$A,[1]SKU!$Z:$Z)</f>
        <v>1800000</v>
      </c>
    </row>
    <row r="37" spans="1:14" s="7" customFormat="1">
      <c r="A37" s="1" t="s">
        <v>66</v>
      </c>
      <c r="B37" s="3" t="s">
        <v>3</v>
      </c>
      <c r="C37" s="3" t="s">
        <v>67</v>
      </c>
      <c r="D37" s="1" t="s">
        <v>68</v>
      </c>
      <c r="E37" s="7" t="str">
        <f t="shared" si="0"/>
        <v>GOR</v>
      </c>
      <c r="F37" s="7" t="str">
        <f t="shared" si="1"/>
        <v>WOM</v>
      </c>
      <c r="G37" s="7" t="str">
        <f t="shared" si="2"/>
        <v>TTB</v>
      </c>
      <c r="H37" s="7" t="str">
        <f t="shared" si="3"/>
        <v>BNE</v>
      </c>
      <c r="I37" s="7" t="str">
        <f t="shared" si="4"/>
        <v>WOL</v>
      </c>
      <c r="J37" s="7" t="str">
        <f t="shared" si="5"/>
        <v>GRE</v>
      </c>
      <c r="K37" s="7" t="str">
        <f t="shared" si="6"/>
        <v>S</v>
      </c>
      <c r="L37" s="7" t="s">
        <v>2326</v>
      </c>
      <c r="M37" s="7" t="s">
        <v>4469</v>
      </c>
      <c r="N37" s="7">
        <f>_xlfn.XLOOKUP(A37,[1]SKU!$A:$A,[1]SKU!$Z:$Z)</f>
        <v>790000</v>
      </c>
    </row>
    <row r="38" spans="1:14" s="7" customFormat="1">
      <c r="A38" s="1" t="s">
        <v>4513</v>
      </c>
      <c r="B38" s="3" t="s">
        <v>69</v>
      </c>
      <c r="C38" s="3" t="s">
        <v>70</v>
      </c>
      <c r="D38" s="1" t="s">
        <v>4514</v>
      </c>
      <c r="E38" s="7" t="str">
        <f t="shared" si="0"/>
        <v>GCF</v>
      </c>
      <c r="F38" s="7" t="str">
        <f t="shared" si="1"/>
        <v>UNI</v>
      </c>
      <c r="G38" s="7" t="str">
        <f t="shared" si="2"/>
        <v>FNB</v>
      </c>
      <c r="H38" s="7" t="str">
        <f t="shared" si="3"/>
        <v>CFO</v>
      </c>
      <c r="I38" s="7" t="str">
        <f t="shared" si="4"/>
        <v>RPT</v>
      </c>
      <c r="J38" s="7" t="str">
        <f t="shared" si="5"/>
        <v>MIX</v>
      </c>
      <c r="K38" s="7" t="str">
        <f t="shared" si="6"/>
        <v>0</v>
      </c>
      <c r="L38" s="7">
        <v>0</v>
      </c>
      <c r="M38" s="7" t="s">
        <v>2609</v>
      </c>
      <c r="N38" s="7">
        <f>_xlfn.XLOOKUP(A38,[1]SKU!$A:$A,[1]SKU!$Z:$Z)</f>
        <v>75000</v>
      </c>
    </row>
    <row r="39" spans="1:14" s="7" customFormat="1">
      <c r="A39" s="1" t="s">
        <v>4515</v>
      </c>
      <c r="B39" s="3" t="s">
        <v>4472</v>
      </c>
      <c r="C39" s="3" t="s">
        <v>4516</v>
      </c>
      <c r="D39" s="1" t="s">
        <v>4517</v>
      </c>
      <c r="E39" s="7" t="str">
        <f t="shared" si="0"/>
        <v>DSP</v>
      </c>
      <c r="F39" s="7" t="str">
        <f t="shared" si="1"/>
        <v>UNI</v>
      </c>
      <c r="G39" s="7" t="str">
        <f t="shared" si="2"/>
        <v>BAG</v>
      </c>
      <c r="H39" s="7" t="str">
        <f t="shared" si="3"/>
        <v>HDB</v>
      </c>
      <c r="I39" s="7" t="str">
        <f t="shared" si="4"/>
        <v>ABG</v>
      </c>
      <c r="J39" s="7" t="str">
        <f t="shared" si="5"/>
        <v>HGP</v>
      </c>
      <c r="K39" s="7" t="str">
        <f t="shared" si="6"/>
        <v>L</v>
      </c>
      <c r="L39" s="7">
        <v>0</v>
      </c>
      <c r="M39" s="7" t="s">
        <v>2609</v>
      </c>
      <c r="N39" s="7">
        <f>_xlfn.XLOOKUP(A39,[1]SKU!$A:$A,[1]SKU!$Z:$Z)</f>
        <v>4800000</v>
      </c>
    </row>
    <row r="40" spans="1:14" s="7" customFormat="1">
      <c r="A40" s="1" t="s">
        <v>4518</v>
      </c>
      <c r="B40" s="3" t="s">
        <v>4472</v>
      </c>
      <c r="C40" s="3" t="s">
        <v>71</v>
      </c>
      <c r="D40" s="1" t="s">
        <v>4519</v>
      </c>
      <c r="E40" s="7" t="str">
        <f t="shared" si="0"/>
        <v>DSP</v>
      </c>
      <c r="F40" s="7" t="str">
        <f t="shared" si="1"/>
        <v>UNI</v>
      </c>
      <c r="G40" s="7" t="str">
        <f t="shared" si="2"/>
        <v>BAG</v>
      </c>
      <c r="H40" s="7" t="str">
        <f t="shared" si="3"/>
        <v>CCR</v>
      </c>
      <c r="I40" s="7" t="str">
        <f t="shared" si="4"/>
        <v>AZ1</v>
      </c>
      <c r="J40" s="7" t="str">
        <f t="shared" si="5"/>
        <v>DBN</v>
      </c>
      <c r="K40" s="7" t="str">
        <f t="shared" si="6"/>
        <v>0</v>
      </c>
      <c r="L40" s="7">
        <v>0</v>
      </c>
      <c r="M40" s="7" t="s">
        <v>2609</v>
      </c>
      <c r="N40" s="7">
        <f>_xlfn.XLOOKUP(A40,[1]SKU!$A:$A,[1]SKU!$Z:$Z)</f>
        <v>2100000</v>
      </c>
    </row>
    <row r="41" spans="1:14" s="7" customFormat="1">
      <c r="A41" s="1" t="s">
        <v>4520</v>
      </c>
      <c r="B41" s="3" t="s">
        <v>4472</v>
      </c>
      <c r="C41" s="3" t="s">
        <v>72</v>
      </c>
      <c r="D41" s="1" t="s">
        <v>4521</v>
      </c>
      <c r="E41" s="7" t="str">
        <f t="shared" si="0"/>
        <v>DSP</v>
      </c>
      <c r="F41" s="7" t="str">
        <f t="shared" si="1"/>
        <v>UNI</v>
      </c>
      <c r="G41" s="7" t="str">
        <f t="shared" si="2"/>
        <v>FWR</v>
      </c>
      <c r="H41" s="7" t="str">
        <f t="shared" si="3"/>
        <v>LES</v>
      </c>
      <c r="I41" s="7" t="str">
        <f t="shared" si="4"/>
        <v>BL1</v>
      </c>
      <c r="J41" s="7" t="str">
        <f t="shared" si="5"/>
        <v>TOB</v>
      </c>
      <c r="K41" s="7" t="str">
        <f t="shared" si="6"/>
        <v>39</v>
      </c>
      <c r="L41" s="7">
        <v>0</v>
      </c>
      <c r="M41" s="7" t="s">
        <v>2609</v>
      </c>
      <c r="N41" s="7">
        <f>_xlfn.XLOOKUP(A41,[1]SKU!$A:$A,[1]SKU!$Z:$Z)</f>
        <v>5800000</v>
      </c>
    </row>
    <row r="42" spans="1:14" s="7" customFormat="1">
      <c r="A42" s="1" t="s">
        <v>4522</v>
      </c>
      <c r="B42" s="3" t="s">
        <v>4472</v>
      </c>
      <c r="C42" s="3" t="s">
        <v>73</v>
      </c>
      <c r="D42" s="1" t="s">
        <v>4523</v>
      </c>
      <c r="E42" s="7" t="str">
        <f t="shared" si="0"/>
        <v>DSP</v>
      </c>
      <c r="F42" s="7" t="str">
        <f t="shared" si="1"/>
        <v>UNI</v>
      </c>
      <c r="G42" s="7" t="str">
        <f t="shared" si="2"/>
        <v>BAG</v>
      </c>
      <c r="H42" s="7" t="str">
        <f t="shared" si="3"/>
        <v>WAL</v>
      </c>
      <c r="I42" s="7" t="str">
        <f t="shared" si="4"/>
        <v>SEU</v>
      </c>
      <c r="J42" s="7" t="str">
        <f t="shared" si="5"/>
        <v>OBO</v>
      </c>
      <c r="K42" s="7" t="str">
        <f t="shared" si="6"/>
        <v>0</v>
      </c>
      <c r="L42" s="7">
        <v>0</v>
      </c>
      <c r="M42" s="7" t="s">
        <v>2609</v>
      </c>
      <c r="N42" s="7">
        <f>_xlfn.XLOOKUP(A42,[1]SKU!$A:$A,[1]SKU!$Z:$Z)</f>
        <v>2900000</v>
      </c>
    </row>
    <row r="43" spans="1:14" s="7" customFormat="1">
      <c r="A43" s="1" t="s">
        <v>74</v>
      </c>
      <c r="B43" s="3" t="s">
        <v>3</v>
      </c>
      <c r="C43" s="3" t="s">
        <v>75</v>
      </c>
      <c r="D43" s="1" t="s">
        <v>76</v>
      </c>
      <c r="E43" s="7" t="str">
        <f t="shared" si="0"/>
        <v>GSL</v>
      </c>
      <c r="F43" s="7" t="str">
        <f t="shared" si="1"/>
        <v>WOM</v>
      </c>
      <c r="G43" s="7" t="str">
        <f t="shared" si="2"/>
        <v>APP</v>
      </c>
      <c r="H43" s="7" t="str">
        <f t="shared" si="3"/>
        <v>BNE</v>
      </c>
      <c r="I43" s="7" t="str">
        <f t="shared" si="4"/>
        <v>HOA</v>
      </c>
      <c r="J43" s="7" t="str">
        <f t="shared" si="5"/>
        <v>WHI</v>
      </c>
      <c r="K43" s="7" t="str">
        <f t="shared" si="6"/>
        <v>S</v>
      </c>
      <c r="L43" s="7" t="s">
        <v>2117</v>
      </c>
      <c r="M43" s="7" t="s">
        <v>2117</v>
      </c>
      <c r="N43" s="7">
        <f>_xlfn.XLOOKUP(A43,[1]SKU!$A:$A,[1]SKU!$Z:$Z)</f>
        <v>750000</v>
      </c>
    </row>
    <row r="44" spans="1:14" s="7" customFormat="1">
      <c r="A44" s="1" t="s">
        <v>77</v>
      </c>
      <c r="B44" s="3" t="s">
        <v>3</v>
      </c>
      <c r="C44" s="3" t="s">
        <v>78</v>
      </c>
      <c r="D44" s="1" t="s">
        <v>79</v>
      </c>
      <c r="E44" s="7" t="str">
        <f t="shared" si="0"/>
        <v>GBA</v>
      </c>
      <c r="F44" s="7" t="str">
        <f t="shared" si="1"/>
        <v>MEN</v>
      </c>
      <c r="G44" s="7" t="str">
        <f t="shared" si="2"/>
        <v>TSS</v>
      </c>
      <c r="H44" s="7" t="str">
        <f t="shared" si="3"/>
        <v>ONE</v>
      </c>
      <c r="I44" s="7" t="str">
        <f t="shared" si="4"/>
        <v>STE</v>
      </c>
      <c r="J44" s="7" t="str">
        <f t="shared" si="5"/>
        <v>WHI</v>
      </c>
      <c r="K44" s="7" t="str">
        <f t="shared" si="6"/>
        <v>M</v>
      </c>
      <c r="L44" s="7" t="s">
        <v>2018</v>
      </c>
      <c r="M44" s="7" t="s">
        <v>4462</v>
      </c>
      <c r="N44" s="7">
        <f>_xlfn.XLOOKUP(A44,[1]SKU!$A:$A,[1]SKU!$Z:$Z)</f>
        <v>710000</v>
      </c>
    </row>
    <row r="45" spans="1:14" s="7" customFormat="1">
      <c r="A45" s="1" t="s">
        <v>80</v>
      </c>
      <c r="B45" s="3" t="s">
        <v>3</v>
      </c>
      <c r="C45" s="3" t="s">
        <v>81</v>
      </c>
      <c r="D45" s="1" t="s">
        <v>82</v>
      </c>
      <c r="E45" s="7" t="str">
        <f t="shared" si="0"/>
        <v>GPI</v>
      </c>
      <c r="F45" s="7" t="str">
        <f t="shared" si="1"/>
        <v>MEN</v>
      </c>
      <c r="G45" s="7" t="str">
        <f t="shared" si="2"/>
        <v>POL</v>
      </c>
      <c r="H45" s="7" t="str">
        <f t="shared" si="3"/>
        <v>MAN</v>
      </c>
      <c r="I45" s="7" t="str">
        <f t="shared" si="4"/>
        <v>JUN</v>
      </c>
      <c r="J45" s="7" t="str">
        <f t="shared" si="5"/>
        <v>WHI</v>
      </c>
      <c r="K45" s="7" t="str">
        <f t="shared" si="6"/>
        <v>S</v>
      </c>
      <c r="L45" s="7" t="s">
        <v>1995</v>
      </c>
      <c r="M45" s="7" t="s">
        <v>4468</v>
      </c>
      <c r="N45" s="7">
        <f>_xlfn.XLOOKUP(A45,[1]SKU!$A:$A,[1]SKU!$Z:$Z)</f>
        <v>1190000</v>
      </c>
    </row>
    <row r="46" spans="1:14" s="7" customFormat="1">
      <c r="A46" s="1" t="s">
        <v>83</v>
      </c>
      <c r="B46" s="3" t="s">
        <v>3</v>
      </c>
      <c r="C46" s="3" t="s">
        <v>84</v>
      </c>
      <c r="D46" s="1" t="s">
        <v>85</v>
      </c>
      <c r="E46" s="7" t="str">
        <f t="shared" si="0"/>
        <v>GBA</v>
      </c>
      <c r="F46" s="7" t="str">
        <f t="shared" si="1"/>
        <v>MEN</v>
      </c>
      <c r="G46" s="7" t="str">
        <f t="shared" si="2"/>
        <v>TSS</v>
      </c>
      <c r="H46" s="7" t="str">
        <f t="shared" si="3"/>
        <v>ONE</v>
      </c>
      <c r="I46" s="7" t="str">
        <f t="shared" si="4"/>
        <v>HAI</v>
      </c>
      <c r="J46" s="7" t="str">
        <f t="shared" si="5"/>
        <v>BLK</v>
      </c>
      <c r="K46" s="7" t="str">
        <f t="shared" si="6"/>
        <v>M</v>
      </c>
      <c r="L46" s="7" t="s">
        <v>2018</v>
      </c>
      <c r="M46" s="7" t="s">
        <v>4462</v>
      </c>
      <c r="N46" s="7">
        <f>_xlfn.XLOOKUP(A46,[1]SKU!$A:$A,[1]SKU!$Z:$Z)</f>
        <v>710000</v>
      </c>
    </row>
    <row r="47" spans="1:14" s="7" customFormat="1">
      <c r="A47" s="1" t="s">
        <v>86</v>
      </c>
      <c r="B47" s="3" t="s">
        <v>3</v>
      </c>
      <c r="C47" s="3" t="s">
        <v>33</v>
      </c>
      <c r="D47" s="1" t="s">
        <v>87</v>
      </c>
      <c r="E47" s="7" t="str">
        <f t="shared" si="0"/>
        <v>GOR</v>
      </c>
      <c r="F47" s="7" t="str">
        <f t="shared" si="1"/>
        <v>MEN</v>
      </c>
      <c r="G47" s="7" t="str">
        <f t="shared" si="2"/>
        <v>TSS</v>
      </c>
      <c r="H47" s="7" t="str">
        <f t="shared" si="3"/>
        <v>ONE</v>
      </c>
      <c r="I47" s="7" t="str">
        <f t="shared" si="4"/>
        <v>VTM</v>
      </c>
      <c r="J47" s="7" t="str">
        <f t="shared" si="5"/>
        <v>GRE</v>
      </c>
      <c r="K47" s="7" t="str">
        <f t="shared" si="6"/>
        <v>M</v>
      </c>
      <c r="L47" s="7" t="s">
        <v>2018</v>
      </c>
      <c r="M47" s="7" t="s">
        <v>4462</v>
      </c>
      <c r="N47" s="7">
        <f>_xlfn.XLOOKUP(A47,[1]SKU!$A:$A,[1]SKU!$Z:$Z)</f>
        <v>790000</v>
      </c>
    </row>
    <row r="48" spans="1:14" s="7" customFormat="1">
      <c r="A48" s="1" t="s">
        <v>88</v>
      </c>
      <c r="B48" s="3" t="s">
        <v>3</v>
      </c>
      <c r="C48" s="3" t="s">
        <v>45</v>
      </c>
      <c r="D48" s="1" t="s">
        <v>89</v>
      </c>
      <c r="E48" s="7" t="str">
        <f t="shared" si="0"/>
        <v>GOR</v>
      </c>
      <c r="F48" s="7" t="str">
        <f t="shared" si="1"/>
        <v>MEN</v>
      </c>
      <c r="G48" s="7" t="str">
        <f t="shared" si="2"/>
        <v>TSS</v>
      </c>
      <c r="H48" s="7" t="str">
        <f t="shared" si="3"/>
        <v>ONE</v>
      </c>
      <c r="I48" s="7" t="str">
        <f t="shared" si="4"/>
        <v>DDU</v>
      </c>
      <c r="J48" s="7" t="str">
        <f t="shared" si="5"/>
        <v>GRE</v>
      </c>
      <c r="K48" s="7" t="str">
        <f t="shared" si="6"/>
        <v>S</v>
      </c>
      <c r="L48" s="7" t="s">
        <v>2018</v>
      </c>
      <c r="M48" s="7" t="s">
        <v>4462</v>
      </c>
      <c r="N48" s="7">
        <f>_xlfn.XLOOKUP(A48,[1]SKU!$A:$A,[1]SKU!$Z:$Z)</f>
        <v>790000</v>
      </c>
    </row>
    <row r="49" spans="1:14" s="7" customFormat="1">
      <c r="A49" s="1" t="s">
        <v>4524</v>
      </c>
      <c r="B49" s="3" t="s">
        <v>4472</v>
      </c>
      <c r="C49" s="3" t="s">
        <v>90</v>
      </c>
      <c r="D49" s="1" t="s">
        <v>4525</v>
      </c>
      <c r="E49" s="7" t="str">
        <f t="shared" si="0"/>
        <v>LTN</v>
      </c>
      <c r="F49" s="7" t="str">
        <f t="shared" si="1"/>
        <v>UNI</v>
      </c>
      <c r="G49" s="7" t="str">
        <f t="shared" si="2"/>
        <v>FNB</v>
      </c>
      <c r="H49" s="7" t="str">
        <f t="shared" si="3"/>
        <v>GIN</v>
      </c>
      <c r="I49" s="7" t="str">
        <f t="shared" si="4"/>
        <v>HAI</v>
      </c>
      <c r="J49" s="7" t="str">
        <f t="shared" si="5"/>
        <v>MIX</v>
      </c>
      <c r="K49" s="7" t="str">
        <f t="shared" si="6"/>
        <v>0</v>
      </c>
      <c r="L49" s="7">
        <v>0</v>
      </c>
      <c r="M49" s="7" t="s">
        <v>2609</v>
      </c>
      <c r="N49" s="7">
        <f>_xlfn.XLOOKUP(A49,[1]SKU!$A:$A,[1]SKU!$Z:$Z)</f>
        <v>459000</v>
      </c>
    </row>
    <row r="50" spans="1:14" s="7" customFormat="1">
      <c r="A50" s="1" t="s">
        <v>91</v>
      </c>
      <c r="B50" s="3" t="s">
        <v>3</v>
      </c>
      <c r="C50" s="3" t="s">
        <v>92</v>
      </c>
      <c r="D50" s="1" t="s">
        <v>93</v>
      </c>
      <c r="E50" s="7" t="str">
        <f t="shared" si="0"/>
        <v>GFI</v>
      </c>
      <c r="F50" s="7" t="str">
        <f t="shared" si="1"/>
        <v>MEN</v>
      </c>
      <c r="G50" s="7" t="str">
        <f t="shared" si="2"/>
        <v>HLS</v>
      </c>
      <c r="H50" s="7" t="str">
        <f t="shared" si="3"/>
        <v>ONE</v>
      </c>
      <c r="I50" s="7" t="str">
        <f t="shared" si="4"/>
        <v>SVR</v>
      </c>
      <c r="J50" s="7" t="str">
        <f t="shared" si="5"/>
        <v>WHI</v>
      </c>
      <c r="K50" s="7" t="str">
        <f t="shared" si="6"/>
        <v>XS</v>
      </c>
      <c r="L50" s="7" t="s">
        <v>2494</v>
      </c>
      <c r="M50" s="7" t="s">
        <v>4466</v>
      </c>
      <c r="N50" s="7">
        <f>_xlfn.XLOOKUP(A50,[1]SKU!$A:$A,[1]SKU!$Z:$Z)</f>
        <v>1590000</v>
      </c>
    </row>
    <row r="51" spans="1:14" s="7" customFormat="1">
      <c r="A51" s="1" t="s">
        <v>4526</v>
      </c>
      <c r="B51" s="3" t="s">
        <v>4472</v>
      </c>
      <c r="C51" s="3" t="s">
        <v>94</v>
      </c>
      <c r="D51" s="1" t="s">
        <v>4527</v>
      </c>
      <c r="E51" s="7" t="str">
        <f t="shared" si="0"/>
        <v>NGO</v>
      </c>
      <c r="F51" s="7" t="str">
        <f t="shared" si="1"/>
        <v>UNI</v>
      </c>
      <c r="G51" s="7" t="str">
        <f t="shared" si="2"/>
        <v>FWR</v>
      </c>
      <c r="H51" s="7" t="str">
        <f t="shared" si="3"/>
        <v>SNE</v>
      </c>
      <c r="I51" s="7" t="str">
        <f t="shared" si="4"/>
        <v>SGS</v>
      </c>
      <c r="J51" s="7" t="str">
        <f t="shared" si="5"/>
        <v>SAG</v>
      </c>
      <c r="K51" s="7" t="str">
        <f t="shared" si="6"/>
        <v>40</v>
      </c>
      <c r="L51" s="7">
        <v>0</v>
      </c>
      <c r="M51" s="7" t="s">
        <v>2609</v>
      </c>
      <c r="N51" s="7">
        <f>_xlfn.XLOOKUP(A51,[1]SKU!$A:$A,[1]SKU!$Z:$Z)</f>
        <v>3850000</v>
      </c>
    </row>
    <row r="52" spans="1:14" s="7" customFormat="1">
      <c r="A52" s="1" t="s">
        <v>95</v>
      </c>
      <c r="B52" s="3" t="s">
        <v>19</v>
      </c>
      <c r="C52" s="3" t="s">
        <v>96</v>
      </c>
      <c r="D52" s="1" t="s">
        <v>97</v>
      </c>
      <c r="E52" s="7" t="str">
        <f t="shared" si="0"/>
        <v>OTH</v>
      </c>
      <c r="F52" s="7" t="str">
        <f t="shared" si="1"/>
        <v>UNI</v>
      </c>
      <c r="G52" s="7" t="str">
        <f t="shared" si="2"/>
        <v>SOU</v>
      </c>
      <c r="H52" s="7" t="str">
        <f t="shared" si="3"/>
        <v>NBS</v>
      </c>
      <c r="I52" s="7" t="str">
        <f t="shared" si="4"/>
        <v>HNC</v>
      </c>
      <c r="J52" s="7" t="str">
        <f t="shared" si="5"/>
        <v>NAV</v>
      </c>
      <c r="K52" s="7" t="str">
        <f t="shared" si="6"/>
        <v>A6</v>
      </c>
      <c r="L52" s="7">
        <v>0</v>
      </c>
      <c r="M52" s="7" t="s">
        <v>2609</v>
      </c>
      <c r="N52" s="7">
        <f>_xlfn.XLOOKUP(A52,[1]SKU!$A:$A,[1]SKU!$Z:$Z)</f>
        <v>65000</v>
      </c>
    </row>
    <row r="53" spans="1:14" s="7" customFormat="1">
      <c r="A53" s="1" t="s">
        <v>4528</v>
      </c>
      <c r="B53" s="3" t="s">
        <v>4472</v>
      </c>
      <c r="C53" s="3" t="s">
        <v>4529</v>
      </c>
      <c r="D53" s="1" t="s">
        <v>4530</v>
      </c>
      <c r="E53" s="7" t="str">
        <f t="shared" si="0"/>
        <v>LAN</v>
      </c>
      <c r="F53" s="7" t="str">
        <f t="shared" si="1"/>
        <v>UNI</v>
      </c>
      <c r="G53" s="7" t="str">
        <f t="shared" si="2"/>
        <v>HWR</v>
      </c>
      <c r="H53" s="7" t="str">
        <f t="shared" si="3"/>
        <v>SC2</v>
      </c>
      <c r="I53" s="7" t="str">
        <f t="shared" si="4"/>
        <v>NPG</v>
      </c>
      <c r="J53" s="7" t="str">
        <f t="shared" si="5"/>
        <v>PUR</v>
      </c>
      <c r="K53" s="7" t="str">
        <f t="shared" si="6"/>
        <v>6x130</v>
      </c>
      <c r="L53" s="7">
        <v>0</v>
      </c>
      <c r="M53" s="7" t="s">
        <v>2609</v>
      </c>
      <c r="N53" s="7">
        <f>_xlfn.XLOOKUP(A53,[1]SKU!$A:$A,[1]SKU!$Z:$Z)</f>
        <v>365000</v>
      </c>
    </row>
    <row r="54" spans="1:14" s="7" customFormat="1">
      <c r="A54" s="1" t="s">
        <v>4531</v>
      </c>
      <c r="B54" s="3" t="s">
        <v>4472</v>
      </c>
      <c r="C54" s="3" t="s">
        <v>98</v>
      </c>
      <c r="D54" s="1" t="s">
        <v>4532</v>
      </c>
      <c r="E54" s="7" t="str">
        <f t="shared" si="0"/>
        <v>MAZ</v>
      </c>
      <c r="F54" s="7" t="str">
        <f t="shared" si="1"/>
        <v>UNI</v>
      </c>
      <c r="G54" s="7" t="str">
        <f t="shared" si="2"/>
        <v>SOU</v>
      </c>
      <c r="H54" s="7" t="str">
        <f t="shared" si="3"/>
        <v>GAM</v>
      </c>
      <c r="I54" s="7" t="str">
        <f t="shared" si="4"/>
        <v>HNL</v>
      </c>
      <c r="J54" s="7" t="str">
        <f t="shared" si="5"/>
        <v>LUM</v>
      </c>
      <c r="K54" s="7" t="str">
        <f t="shared" si="6"/>
        <v>0</v>
      </c>
      <c r="L54" s="7">
        <v>0</v>
      </c>
      <c r="M54" s="7" t="s">
        <v>2609</v>
      </c>
      <c r="N54" s="7">
        <f>_xlfn.XLOOKUP(A54,[1]SKU!$A:$A,[1]SKU!$Z:$Z)</f>
        <v>2450000</v>
      </c>
    </row>
    <row r="55" spans="1:14" s="7" customFormat="1">
      <c r="A55" s="1" t="s">
        <v>4533</v>
      </c>
      <c r="B55" s="3" t="s">
        <v>4472</v>
      </c>
      <c r="C55" s="3" t="s">
        <v>99</v>
      </c>
      <c r="D55" s="1" t="s">
        <v>4534</v>
      </c>
      <c r="E55" s="7" t="str">
        <f t="shared" si="0"/>
        <v>DSP</v>
      </c>
      <c r="F55" s="7" t="str">
        <f t="shared" si="1"/>
        <v>UNI</v>
      </c>
      <c r="G55" s="7" t="str">
        <f t="shared" si="2"/>
        <v>FWR</v>
      </c>
      <c r="H55" s="7" t="str">
        <f t="shared" si="3"/>
        <v>LES</v>
      </c>
      <c r="I55" s="7" t="str">
        <f t="shared" si="4"/>
        <v>PHD</v>
      </c>
      <c r="J55" s="7" t="str">
        <f t="shared" si="5"/>
        <v>BUR</v>
      </c>
      <c r="K55" s="7" t="str">
        <f t="shared" si="6"/>
        <v>45</v>
      </c>
      <c r="L55" s="7">
        <v>0</v>
      </c>
      <c r="M55" s="7" t="s">
        <v>2609</v>
      </c>
      <c r="N55" s="7">
        <f>_xlfn.XLOOKUP(A55,[1]SKU!$A:$A,[1]SKU!$Z:$Z)</f>
        <v>7500000</v>
      </c>
    </row>
    <row r="56" spans="1:14" s="7" customFormat="1">
      <c r="A56" s="1" t="s">
        <v>4535</v>
      </c>
      <c r="B56" s="3" t="s">
        <v>4472</v>
      </c>
      <c r="C56" s="3" t="s">
        <v>4536</v>
      </c>
      <c r="D56" s="1" t="s">
        <v>4537</v>
      </c>
      <c r="E56" s="7" t="str">
        <f t="shared" si="0"/>
        <v>EDE</v>
      </c>
      <c r="F56" s="7" t="str">
        <f t="shared" si="1"/>
        <v>UNI</v>
      </c>
      <c r="G56" s="7" t="str">
        <f t="shared" si="2"/>
        <v>BAG</v>
      </c>
      <c r="H56" s="7" t="str">
        <f t="shared" si="3"/>
        <v>TTB</v>
      </c>
      <c r="I56" s="7" t="str">
        <f t="shared" si="4"/>
        <v>KIM</v>
      </c>
      <c r="J56" s="7" t="str">
        <f t="shared" si="5"/>
        <v>BLU</v>
      </c>
      <c r="K56" s="7" t="str">
        <f t="shared" si="6"/>
        <v>0</v>
      </c>
      <c r="L56" s="7">
        <v>0</v>
      </c>
      <c r="M56" s="7" t="s">
        <v>2609</v>
      </c>
      <c r="N56" s="7">
        <f>_xlfn.XLOOKUP(A56,[1]SKU!$A:$A,[1]SKU!$Z:$Z)</f>
        <v>470000</v>
      </c>
    </row>
    <row r="57" spans="1:14" s="7" customFormat="1">
      <c r="A57" s="1" t="s">
        <v>4538</v>
      </c>
      <c r="B57" s="3" t="s">
        <v>4472</v>
      </c>
      <c r="C57" s="3" t="s">
        <v>100</v>
      </c>
      <c r="D57" s="1" t="s">
        <v>4539</v>
      </c>
      <c r="E57" s="7" t="str">
        <f t="shared" si="0"/>
        <v>PSD</v>
      </c>
      <c r="F57" s="7" t="str">
        <f t="shared" si="1"/>
        <v>UNI</v>
      </c>
      <c r="G57" s="7" t="str">
        <f t="shared" si="2"/>
        <v>SOU</v>
      </c>
      <c r="H57" s="7" t="str">
        <f t="shared" si="3"/>
        <v>DEC</v>
      </c>
      <c r="I57" s="7" t="str">
        <f t="shared" si="4"/>
        <v>LBA</v>
      </c>
      <c r="J57" s="7" t="str">
        <f t="shared" si="5"/>
        <v>BSR</v>
      </c>
      <c r="K57" s="7" t="str">
        <f t="shared" si="6"/>
        <v>56</v>
      </c>
      <c r="L57" s="7">
        <v>0</v>
      </c>
      <c r="M57" s="7" t="s">
        <v>2609</v>
      </c>
      <c r="N57" s="7">
        <f>_xlfn.XLOOKUP(A57,[1]SKU!$A:$A,[1]SKU!$Z:$Z)</f>
        <v>3650000</v>
      </c>
    </row>
    <row r="58" spans="1:14" s="7" customFormat="1">
      <c r="A58" s="1" t="s">
        <v>4540</v>
      </c>
      <c r="B58" s="3" t="s">
        <v>4472</v>
      </c>
      <c r="C58" s="3" t="s">
        <v>102</v>
      </c>
      <c r="D58" s="1" t="s">
        <v>4541</v>
      </c>
      <c r="E58" s="7" t="str">
        <f t="shared" si="0"/>
        <v>GAR</v>
      </c>
      <c r="F58" s="7" t="str">
        <f t="shared" si="1"/>
        <v>UNI</v>
      </c>
      <c r="G58" s="7" t="str">
        <f t="shared" si="2"/>
        <v>SOU</v>
      </c>
      <c r="H58" s="7" t="str">
        <f t="shared" si="3"/>
        <v>LBS</v>
      </c>
      <c r="I58" s="7" t="str">
        <f t="shared" si="4"/>
        <v>LB1</v>
      </c>
      <c r="J58" s="7" t="str">
        <f t="shared" si="5"/>
        <v>MIX</v>
      </c>
      <c r="K58" s="7" t="str">
        <f t="shared" si="6"/>
        <v>0</v>
      </c>
      <c r="L58" s="7">
        <v>0</v>
      </c>
      <c r="M58" s="7" t="s">
        <v>2609</v>
      </c>
      <c r="N58" s="7">
        <f>_xlfn.XLOOKUP(A58,[1]SKU!$A:$A,[1]SKU!$Z:$Z)</f>
        <v>135000</v>
      </c>
    </row>
    <row r="59" spans="1:14" s="7" customFormat="1">
      <c r="A59" s="1" t="s">
        <v>103</v>
      </c>
      <c r="B59" s="3" t="s">
        <v>3</v>
      </c>
      <c r="C59" s="3" t="s">
        <v>29</v>
      </c>
      <c r="D59" s="1" t="s">
        <v>104</v>
      </c>
      <c r="E59" s="7" t="str">
        <f t="shared" si="0"/>
        <v>GSP</v>
      </c>
      <c r="F59" s="7" t="str">
        <f t="shared" si="1"/>
        <v>MEN</v>
      </c>
      <c r="G59" s="7" t="str">
        <f t="shared" si="2"/>
        <v>POL</v>
      </c>
      <c r="H59" s="7" t="str">
        <f t="shared" si="3"/>
        <v>MAN</v>
      </c>
      <c r="I59" s="7" t="str">
        <f t="shared" si="4"/>
        <v>SHU</v>
      </c>
      <c r="J59" s="7" t="str">
        <f t="shared" si="5"/>
        <v>BLK</v>
      </c>
      <c r="K59" s="7" t="str">
        <f t="shared" si="6"/>
        <v>M</v>
      </c>
      <c r="L59" s="7" t="s">
        <v>1995</v>
      </c>
      <c r="M59" s="7" t="s">
        <v>4468</v>
      </c>
      <c r="N59" s="7">
        <f>_xlfn.XLOOKUP(A59,[1]SKU!$A:$A,[1]SKU!$Z:$Z)</f>
        <v>1090000</v>
      </c>
    </row>
    <row r="60" spans="1:14" s="7" customFormat="1">
      <c r="A60" s="1" t="s">
        <v>4542</v>
      </c>
      <c r="B60" s="3" t="s">
        <v>4472</v>
      </c>
      <c r="C60" s="3" t="s">
        <v>105</v>
      </c>
      <c r="D60" s="1" t="s">
        <v>4543</v>
      </c>
      <c r="E60" s="7" t="str">
        <f t="shared" si="0"/>
        <v>PSD</v>
      </c>
      <c r="F60" s="7" t="str">
        <f t="shared" si="1"/>
        <v>UNI</v>
      </c>
      <c r="G60" s="7" t="str">
        <f t="shared" si="2"/>
        <v>SOU</v>
      </c>
      <c r="H60" s="7" t="str">
        <f t="shared" si="3"/>
        <v>DEC</v>
      </c>
      <c r="I60" s="7" t="str">
        <f t="shared" si="4"/>
        <v>SBA</v>
      </c>
      <c r="J60" s="7" t="str">
        <f t="shared" si="5"/>
        <v>YEL</v>
      </c>
      <c r="K60" s="7" t="str">
        <f t="shared" si="6"/>
        <v>18</v>
      </c>
      <c r="L60" s="7">
        <v>0</v>
      </c>
      <c r="M60" s="7" t="s">
        <v>2609</v>
      </c>
      <c r="N60" s="7">
        <f>_xlfn.XLOOKUP(A60,[1]SKU!$A:$A,[1]SKU!$Z:$Z)</f>
        <v>550000</v>
      </c>
    </row>
    <row r="61" spans="1:14" s="7" customFormat="1">
      <c r="A61" s="1" t="s">
        <v>106</v>
      </c>
      <c r="B61" s="3" t="s">
        <v>19</v>
      </c>
      <c r="C61" s="3" t="s">
        <v>107</v>
      </c>
      <c r="D61" s="1" t="s">
        <v>108</v>
      </c>
      <c r="E61" s="7" t="str">
        <f t="shared" si="0"/>
        <v>OTH</v>
      </c>
      <c r="F61" s="7" t="str">
        <f t="shared" si="1"/>
        <v>UNI</v>
      </c>
      <c r="G61" s="7" t="str">
        <f t="shared" si="2"/>
        <v>BAG</v>
      </c>
      <c r="H61" s="7" t="str">
        <f t="shared" si="3"/>
        <v>CRB</v>
      </c>
      <c r="I61" s="7" t="str">
        <f t="shared" si="4"/>
        <v>LOG</v>
      </c>
      <c r="J61" s="7" t="str">
        <f t="shared" si="5"/>
        <v>YEO</v>
      </c>
      <c r="K61" s="7" t="str">
        <f t="shared" si="6"/>
        <v>0</v>
      </c>
      <c r="L61" s="7">
        <v>0</v>
      </c>
      <c r="M61" s="7" t="s">
        <v>2609</v>
      </c>
      <c r="N61" s="7">
        <f>_xlfn.XLOOKUP(A61,[1]SKU!$A:$A,[1]SKU!$Z:$Z)</f>
        <v>3650000</v>
      </c>
    </row>
    <row r="62" spans="1:14" s="7" customFormat="1">
      <c r="A62" s="1" t="s">
        <v>109</v>
      </c>
      <c r="B62" s="3" t="s">
        <v>3</v>
      </c>
      <c r="C62" s="3" t="s">
        <v>110</v>
      </c>
      <c r="D62" s="1" t="s">
        <v>111</v>
      </c>
      <c r="E62" s="7" t="str">
        <f t="shared" si="0"/>
        <v>GSL</v>
      </c>
      <c r="F62" s="7" t="str">
        <f t="shared" si="1"/>
        <v>KID</v>
      </c>
      <c r="G62" s="7" t="str">
        <f t="shared" si="2"/>
        <v>TSS</v>
      </c>
      <c r="H62" s="7" t="str">
        <f t="shared" si="3"/>
        <v>ONE</v>
      </c>
      <c r="I62" s="7" t="str">
        <f t="shared" si="4"/>
        <v>TLT</v>
      </c>
      <c r="J62" s="7" t="str">
        <f t="shared" si="5"/>
        <v>BLK</v>
      </c>
      <c r="K62" s="7" t="str">
        <f t="shared" si="6"/>
        <v>2</v>
      </c>
      <c r="L62" s="7" t="s">
        <v>2018</v>
      </c>
      <c r="M62" s="7" t="s">
        <v>4462</v>
      </c>
      <c r="N62" s="7">
        <f>_xlfn.XLOOKUP(A62,[1]SKU!$A:$A,[1]SKU!$Z:$Z)</f>
        <v>550000</v>
      </c>
    </row>
    <row r="63" spans="1:14" s="7" customFormat="1">
      <c r="A63" s="1" t="s">
        <v>112</v>
      </c>
      <c r="B63" s="3" t="s">
        <v>3</v>
      </c>
      <c r="C63" s="3" t="s">
        <v>113</v>
      </c>
      <c r="D63" s="1" t="s">
        <v>114</v>
      </c>
      <c r="E63" s="7" t="str">
        <f t="shared" si="0"/>
        <v>GOR</v>
      </c>
      <c r="F63" s="7" t="str">
        <f t="shared" si="1"/>
        <v>MEN</v>
      </c>
      <c r="G63" s="7" t="str">
        <f t="shared" si="2"/>
        <v>TSS</v>
      </c>
      <c r="H63" s="7" t="str">
        <f t="shared" si="3"/>
        <v>HNE</v>
      </c>
      <c r="I63" s="7" t="str">
        <f t="shared" si="4"/>
        <v>TCS</v>
      </c>
      <c r="J63" s="7" t="str">
        <f t="shared" si="5"/>
        <v>WHI</v>
      </c>
      <c r="K63" s="7" t="str">
        <f t="shared" si="6"/>
        <v>XXL</v>
      </c>
      <c r="L63" s="7" t="s">
        <v>2018</v>
      </c>
      <c r="M63" s="7" t="s">
        <v>4462</v>
      </c>
      <c r="N63" s="7">
        <f>_xlfn.XLOOKUP(A63,[1]SKU!$A:$A,[1]SKU!$Z:$Z)</f>
        <v>1390000</v>
      </c>
    </row>
    <row r="64" spans="1:14" s="7" customFormat="1">
      <c r="A64" s="1" t="s">
        <v>4544</v>
      </c>
      <c r="B64" s="3" t="s">
        <v>4472</v>
      </c>
      <c r="C64" s="3" t="s">
        <v>115</v>
      </c>
      <c r="D64" s="1" t="s">
        <v>4545</v>
      </c>
      <c r="E64" s="7" t="str">
        <f t="shared" si="0"/>
        <v>DSP</v>
      </c>
      <c r="F64" s="7" t="str">
        <f t="shared" si="1"/>
        <v>UNI</v>
      </c>
      <c r="G64" s="7" t="str">
        <f t="shared" si="2"/>
        <v>BAG</v>
      </c>
      <c r="H64" s="7" t="str">
        <f t="shared" si="3"/>
        <v>HDB</v>
      </c>
      <c r="I64" s="7" t="str">
        <f t="shared" si="4"/>
        <v>GA1</v>
      </c>
      <c r="J64" s="7" t="str">
        <f t="shared" si="5"/>
        <v>DAH</v>
      </c>
      <c r="K64" s="7" t="str">
        <f t="shared" si="6"/>
        <v>0</v>
      </c>
      <c r="L64" s="7">
        <v>0</v>
      </c>
      <c r="M64" s="7" t="s">
        <v>2609</v>
      </c>
      <c r="N64" s="7">
        <f>_xlfn.XLOOKUP(A64,[1]SKU!$A:$A,[1]SKU!$Z:$Z)</f>
        <v>8690000</v>
      </c>
    </row>
    <row r="65" spans="1:14" s="7" customFormat="1">
      <c r="A65" s="1" t="s">
        <v>116</v>
      </c>
      <c r="B65" s="3" t="s">
        <v>3</v>
      </c>
      <c r="C65" s="3" t="s">
        <v>81</v>
      </c>
      <c r="D65" s="1" t="s">
        <v>117</v>
      </c>
      <c r="E65" s="7" t="str">
        <f t="shared" si="0"/>
        <v>GOR</v>
      </c>
      <c r="F65" s="7" t="str">
        <f t="shared" si="1"/>
        <v>MEN</v>
      </c>
      <c r="G65" s="7" t="str">
        <f t="shared" si="2"/>
        <v>TSP</v>
      </c>
      <c r="H65" s="7" t="str">
        <f t="shared" si="3"/>
        <v>ONE</v>
      </c>
      <c r="I65" s="7" t="str">
        <f t="shared" si="4"/>
        <v>JUN</v>
      </c>
      <c r="J65" s="7" t="str">
        <f t="shared" si="5"/>
        <v>JBG</v>
      </c>
      <c r="K65" s="7" t="str">
        <f t="shared" si="6"/>
        <v>S</v>
      </c>
      <c r="L65" s="7" t="s">
        <v>2085</v>
      </c>
      <c r="M65" s="7" t="s">
        <v>4462</v>
      </c>
      <c r="N65" s="7">
        <f>_xlfn.XLOOKUP(A65,[1]SKU!$A:$A,[1]SKU!$Z:$Z)</f>
        <v>990000</v>
      </c>
    </row>
    <row r="66" spans="1:14" s="7" customFormat="1">
      <c r="A66" s="1" t="s">
        <v>118</v>
      </c>
      <c r="B66" s="3" t="s">
        <v>3</v>
      </c>
      <c r="C66" s="3" t="s">
        <v>119</v>
      </c>
      <c r="D66" s="1" t="s">
        <v>120</v>
      </c>
      <c r="E66" s="7" t="str">
        <f t="shared" si="0"/>
        <v>GBA</v>
      </c>
      <c r="F66" s="7" t="str">
        <f t="shared" si="1"/>
        <v>MEN</v>
      </c>
      <c r="G66" s="7" t="str">
        <f t="shared" si="2"/>
        <v>TSS</v>
      </c>
      <c r="H66" s="7" t="str">
        <f t="shared" si="3"/>
        <v>ONE</v>
      </c>
      <c r="I66" s="7" t="str">
        <f t="shared" si="4"/>
        <v>VNW</v>
      </c>
      <c r="J66" s="7" t="str">
        <f t="shared" si="5"/>
        <v>WHI</v>
      </c>
      <c r="K66" s="7" t="str">
        <f t="shared" si="6"/>
        <v>S</v>
      </c>
      <c r="L66" s="7" t="s">
        <v>2018</v>
      </c>
      <c r="M66" s="7" t="s">
        <v>4462</v>
      </c>
      <c r="N66" s="7">
        <f>_xlfn.XLOOKUP(A66,[1]SKU!$A:$A,[1]SKU!$Z:$Z)</f>
        <v>1590000</v>
      </c>
    </row>
    <row r="67" spans="1:14" s="7" customFormat="1">
      <c r="A67" s="1" t="s">
        <v>121</v>
      </c>
      <c r="B67" s="3" t="s">
        <v>3</v>
      </c>
      <c r="C67" s="3" t="s">
        <v>58</v>
      </c>
      <c r="D67" s="1" t="s">
        <v>122</v>
      </c>
      <c r="E67" s="7" t="str">
        <f t="shared" ref="E67:E130" si="7">_xlfn.TEXTBEFORE(_xlfn.TEXTAFTER(D67,"-"),"-")</f>
        <v>GLI</v>
      </c>
      <c r="F67" s="7" t="str">
        <f t="shared" ref="F67:F130" si="8">_xlfn.TEXTBEFORE(_xlfn.TEXTAFTER(D67,"-",2),"-")</f>
        <v>MEN</v>
      </c>
      <c r="G67" s="7" t="str">
        <f t="shared" ref="G67:G130" si="9">_xlfn.TEXTBEFORE(_xlfn.TEXTAFTER(D67,"-",3),"-")</f>
        <v>PAF</v>
      </c>
      <c r="H67" s="7" t="str">
        <f t="shared" ref="H67:H130" si="10">_xlfn.TEXTBEFORE(_xlfn.TEXTAFTER(D67,"-",4),"-")</f>
        <v>BBT</v>
      </c>
      <c r="I67" s="7" t="str">
        <f t="shared" ref="I67:I130" si="11">_xlfn.TEXTBEFORE(_xlfn.TEXTAFTER(D67,"-",5),"-")</f>
        <v>LIN</v>
      </c>
      <c r="J67" s="7" t="str">
        <f t="shared" ref="J67:J130" si="12">_xlfn.TEXTBEFORE(_xlfn.TEXTAFTER(D67,"-",6),"-")</f>
        <v>NAV</v>
      </c>
      <c r="K67" s="7" t="str">
        <f t="shared" ref="K67:K130" si="13">_xlfn.TEXTAFTER(D67,"-",7)</f>
        <v>S</v>
      </c>
      <c r="L67" s="7" t="s">
        <v>2700</v>
      </c>
      <c r="M67" s="7" t="s">
        <v>4467</v>
      </c>
      <c r="N67" s="7">
        <f>_xlfn.XLOOKUP(A67,[1]SKU!$A:$A,[1]SKU!$Z:$Z)</f>
        <v>2690000</v>
      </c>
    </row>
    <row r="68" spans="1:14" s="7" customFormat="1">
      <c r="A68" s="1" t="s">
        <v>4546</v>
      </c>
      <c r="B68" s="3" t="s">
        <v>4472</v>
      </c>
      <c r="C68" s="3" t="s">
        <v>4547</v>
      </c>
      <c r="D68" s="1" t="s">
        <v>4548</v>
      </c>
      <c r="E68" s="7" t="str">
        <f t="shared" si="7"/>
        <v>HAM</v>
      </c>
      <c r="F68" s="7" t="str">
        <f t="shared" si="8"/>
        <v>UNI</v>
      </c>
      <c r="G68" s="7" t="str">
        <f t="shared" si="9"/>
        <v>JEW</v>
      </c>
      <c r="H68" s="7" t="str">
        <f t="shared" si="10"/>
        <v>EAR</v>
      </c>
      <c r="I68" s="7" t="str">
        <f t="shared" si="11"/>
        <v>32R</v>
      </c>
      <c r="J68" s="7" t="str">
        <f t="shared" si="12"/>
        <v>MIX</v>
      </c>
      <c r="K68" s="7" t="str">
        <f t="shared" si="13"/>
        <v>0</v>
      </c>
      <c r="L68" s="7">
        <v>0</v>
      </c>
      <c r="M68" s="7" t="s">
        <v>2609</v>
      </c>
      <c r="N68" s="7">
        <f>_xlfn.XLOOKUP(A68,[1]SKU!$A:$A,[1]SKU!$Z:$Z)</f>
        <v>600000</v>
      </c>
    </row>
    <row r="69" spans="1:14" s="7" customFormat="1">
      <c r="A69" s="1" t="s">
        <v>4549</v>
      </c>
      <c r="B69" s="3" t="s">
        <v>4472</v>
      </c>
      <c r="C69" s="3" t="s">
        <v>4550</v>
      </c>
      <c r="D69" s="1" t="s">
        <v>4548</v>
      </c>
      <c r="E69" s="7" t="str">
        <f t="shared" si="7"/>
        <v>HAM</v>
      </c>
      <c r="F69" s="7" t="str">
        <f t="shared" si="8"/>
        <v>UNI</v>
      </c>
      <c r="G69" s="7" t="str">
        <f t="shared" si="9"/>
        <v>JEW</v>
      </c>
      <c r="H69" s="7" t="str">
        <f t="shared" si="10"/>
        <v>EAR</v>
      </c>
      <c r="I69" s="7" t="str">
        <f t="shared" si="11"/>
        <v>32R</v>
      </c>
      <c r="J69" s="7" t="str">
        <f t="shared" si="12"/>
        <v>MIX</v>
      </c>
      <c r="K69" s="7" t="str">
        <f t="shared" si="13"/>
        <v>0</v>
      </c>
      <c r="L69" s="7">
        <v>0</v>
      </c>
      <c r="M69" s="7" t="s">
        <v>2609</v>
      </c>
      <c r="N69" s="7">
        <f>_xlfn.XLOOKUP(A69,[1]SKU!$A:$A,[1]SKU!$Z:$Z)</f>
        <v>600000</v>
      </c>
    </row>
    <row r="70" spans="1:14" s="7" customFormat="1">
      <c r="A70" s="1" t="s">
        <v>4551</v>
      </c>
      <c r="B70" s="3" t="s">
        <v>4472</v>
      </c>
      <c r="C70" s="3" t="s">
        <v>124</v>
      </c>
      <c r="D70" s="1" t="s">
        <v>4552</v>
      </c>
      <c r="E70" s="7" t="str">
        <f t="shared" si="7"/>
        <v>DSP</v>
      </c>
      <c r="F70" s="7" t="str">
        <f t="shared" si="8"/>
        <v>UNI</v>
      </c>
      <c r="G70" s="7" t="str">
        <f t="shared" si="9"/>
        <v>FWR</v>
      </c>
      <c r="H70" s="7" t="str">
        <f t="shared" si="10"/>
        <v>SLI</v>
      </c>
      <c r="I70" s="7" t="str">
        <f t="shared" si="11"/>
        <v>SLN</v>
      </c>
      <c r="J70" s="7" t="str">
        <f t="shared" si="12"/>
        <v>TAN</v>
      </c>
      <c r="K70" s="7" t="str">
        <f t="shared" si="13"/>
        <v>40</v>
      </c>
      <c r="L70" s="7">
        <v>0</v>
      </c>
      <c r="M70" s="7" t="s">
        <v>2609</v>
      </c>
      <c r="N70" s="7">
        <f>_xlfn.XLOOKUP(A70,[1]SKU!$A:$A,[1]SKU!$Z:$Z)</f>
        <v>7500000</v>
      </c>
    </row>
    <row r="71" spans="1:14" s="7" customFormat="1">
      <c r="A71" s="1" t="s">
        <v>125</v>
      </c>
      <c r="B71" s="3" t="s">
        <v>19</v>
      </c>
      <c r="C71" s="3" t="s">
        <v>23</v>
      </c>
      <c r="D71" s="1" t="s">
        <v>126</v>
      </c>
      <c r="E71" s="7" t="str">
        <f t="shared" si="7"/>
        <v>OTH</v>
      </c>
      <c r="F71" s="7" t="str">
        <f t="shared" si="8"/>
        <v>UNI</v>
      </c>
      <c r="G71" s="7" t="str">
        <f t="shared" si="9"/>
        <v>FWR</v>
      </c>
      <c r="H71" s="7" t="str">
        <f t="shared" si="10"/>
        <v>SLI</v>
      </c>
      <c r="I71" s="7" t="str">
        <f t="shared" si="11"/>
        <v>URB</v>
      </c>
      <c r="J71" s="7" t="str">
        <f t="shared" si="12"/>
        <v>ORA</v>
      </c>
      <c r="K71" s="7" t="str">
        <f t="shared" si="13"/>
        <v>38</v>
      </c>
      <c r="L71" s="7">
        <v>0</v>
      </c>
      <c r="M71" s="7" t="s">
        <v>2609</v>
      </c>
      <c r="N71" s="7">
        <f>_xlfn.XLOOKUP(A71,[1]SKU!$A:$A,[1]SKU!$Z:$Z)</f>
        <v>395000</v>
      </c>
    </row>
    <row r="72" spans="1:14" s="7" customFormat="1">
      <c r="A72" s="1" t="s">
        <v>4553</v>
      </c>
      <c r="B72" s="3" t="s">
        <v>4472</v>
      </c>
      <c r="C72" s="3" t="s">
        <v>51</v>
      </c>
      <c r="D72" s="1" t="s">
        <v>4554</v>
      </c>
      <c r="E72" s="7" t="str">
        <f t="shared" si="7"/>
        <v>DSP</v>
      </c>
      <c r="F72" s="7" t="str">
        <f t="shared" si="8"/>
        <v>UNI</v>
      </c>
      <c r="G72" s="7" t="str">
        <f t="shared" si="9"/>
        <v>BAG</v>
      </c>
      <c r="H72" s="7" t="str">
        <f t="shared" si="10"/>
        <v>CHR</v>
      </c>
      <c r="I72" s="7" t="str">
        <f t="shared" si="11"/>
        <v>SCH</v>
      </c>
      <c r="J72" s="7" t="str">
        <f t="shared" si="12"/>
        <v>LGN</v>
      </c>
      <c r="K72" s="7" t="str">
        <f t="shared" si="13"/>
        <v>0</v>
      </c>
      <c r="L72" s="7">
        <v>0</v>
      </c>
      <c r="M72" s="7" t="s">
        <v>2609</v>
      </c>
      <c r="N72" s="7">
        <f>_xlfn.XLOOKUP(A72,[1]SKU!$A:$A,[1]SKU!$Z:$Z)</f>
        <v>1150000</v>
      </c>
    </row>
    <row r="73" spans="1:14" s="7" customFormat="1">
      <c r="A73" s="1" t="s">
        <v>4555</v>
      </c>
      <c r="B73" s="3" t="s">
        <v>4472</v>
      </c>
      <c r="C73" s="3" t="s">
        <v>51</v>
      </c>
      <c r="D73" s="1" t="s">
        <v>4554</v>
      </c>
      <c r="E73" s="7" t="str">
        <f t="shared" si="7"/>
        <v>DSP</v>
      </c>
      <c r="F73" s="7" t="str">
        <f t="shared" si="8"/>
        <v>UNI</v>
      </c>
      <c r="G73" s="7" t="str">
        <f t="shared" si="9"/>
        <v>BAG</v>
      </c>
      <c r="H73" s="7" t="str">
        <f t="shared" si="10"/>
        <v>CHR</v>
      </c>
      <c r="I73" s="7" t="str">
        <f t="shared" si="11"/>
        <v>SCH</v>
      </c>
      <c r="J73" s="7" t="str">
        <f t="shared" si="12"/>
        <v>LGN</v>
      </c>
      <c r="K73" s="7" t="str">
        <f t="shared" si="13"/>
        <v>0</v>
      </c>
      <c r="L73" s="7">
        <v>0</v>
      </c>
      <c r="M73" s="7" t="s">
        <v>2609</v>
      </c>
      <c r="N73" s="7">
        <f>_xlfn.XLOOKUP(A73,[1]SKU!$A:$A,[1]SKU!$Z:$Z)</f>
        <v>1150000</v>
      </c>
    </row>
    <row r="74" spans="1:14" s="7" customFormat="1">
      <c r="A74" s="1" t="s">
        <v>4556</v>
      </c>
      <c r="B74" s="3" t="s">
        <v>4472</v>
      </c>
      <c r="C74" s="3" t="s">
        <v>127</v>
      </c>
      <c r="D74" s="1" t="s">
        <v>4557</v>
      </c>
      <c r="E74" s="7" t="str">
        <f t="shared" si="7"/>
        <v>DSP</v>
      </c>
      <c r="F74" s="7" t="str">
        <f t="shared" si="8"/>
        <v>UNI</v>
      </c>
      <c r="G74" s="7" t="str">
        <f t="shared" si="9"/>
        <v>BAG</v>
      </c>
      <c r="H74" s="7" t="str">
        <f t="shared" si="10"/>
        <v>HDB</v>
      </c>
      <c r="I74" s="7" t="str">
        <f t="shared" si="11"/>
        <v>BRO</v>
      </c>
      <c r="J74" s="7" t="str">
        <f t="shared" si="12"/>
        <v>TMB</v>
      </c>
      <c r="K74" s="7" t="str">
        <f t="shared" si="13"/>
        <v>0</v>
      </c>
      <c r="L74" s="7">
        <v>0</v>
      </c>
      <c r="M74" s="7" t="s">
        <v>2609</v>
      </c>
      <c r="N74" s="7">
        <f>_xlfn.XLOOKUP(A74,[1]SKU!$A:$A,[1]SKU!$Z:$Z)</f>
        <v>6190000</v>
      </c>
    </row>
    <row r="75" spans="1:14" s="7" customFormat="1">
      <c r="A75" s="1" t="s">
        <v>128</v>
      </c>
      <c r="B75" s="3" t="s">
        <v>3</v>
      </c>
      <c r="C75" s="3" t="s">
        <v>129</v>
      </c>
      <c r="D75" s="1" t="s">
        <v>130</v>
      </c>
      <c r="E75" s="7" t="str">
        <f t="shared" si="7"/>
        <v>GBA</v>
      </c>
      <c r="F75" s="7" t="str">
        <f t="shared" si="8"/>
        <v>MEN</v>
      </c>
      <c r="G75" s="7" t="str">
        <f t="shared" si="9"/>
        <v>TSP</v>
      </c>
      <c r="H75" s="7" t="str">
        <f t="shared" si="10"/>
        <v>ONE</v>
      </c>
      <c r="I75" s="7" t="str">
        <f t="shared" si="11"/>
        <v>TJM</v>
      </c>
      <c r="J75" s="7" t="str">
        <f t="shared" si="12"/>
        <v>OLI</v>
      </c>
      <c r="K75" s="7" t="str">
        <f t="shared" si="13"/>
        <v>XXL</v>
      </c>
      <c r="L75" s="7" t="s">
        <v>2085</v>
      </c>
      <c r="M75" s="7" t="s">
        <v>4462</v>
      </c>
      <c r="N75" s="7">
        <f>_xlfn.XLOOKUP(A75,[1]SKU!$A:$A,[1]SKU!$Z:$Z)</f>
        <v>710000</v>
      </c>
    </row>
    <row r="76" spans="1:14" s="7" customFormat="1">
      <c r="A76" s="1" t="s">
        <v>4558</v>
      </c>
      <c r="B76" s="3" t="s">
        <v>4472</v>
      </c>
      <c r="C76" s="3" t="s">
        <v>4559</v>
      </c>
      <c r="D76" s="1" t="s">
        <v>4560</v>
      </c>
      <c r="E76" s="7" t="str">
        <f t="shared" si="7"/>
        <v>HAM</v>
      </c>
      <c r="F76" s="7" t="str">
        <f t="shared" si="8"/>
        <v>UNI</v>
      </c>
      <c r="G76" s="7" t="str">
        <f t="shared" si="9"/>
        <v>JEW</v>
      </c>
      <c r="H76" s="7" t="str">
        <f t="shared" si="10"/>
        <v>BRA</v>
      </c>
      <c r="I76" s="7" t="str">
        <f t="shared" si="11"/>
        <v>M10</v>
      </c>
      <c r="J76" s="7" t="str">
        <f t="shared" si="12"/>
        <v>MIX</v>
      </c>
      <c r="K76" s="7" t="str">
        <f t="shared" si="13"/>
        <v>0</v>
      </c>
      <c r="L76" s="7">
        <v>0</v>
      </c>
      <c r="M76" s="7" t="s">
        <v>2609</v>
      </c>
      <c r="N76" s="7">
        <f>_xlfn.XLOOKUP(A76,[1]SKU!$A:$A,[1]SKU!$Z:$Z)</f>
        <v>900000</v>
      </c>
    </row>
    <row r="77" spans="1:14" s="7" customFormat="1">
      <c r="A77" s="1" t="s">
        <v>4561</v>
      </c>
      <c r="B77" s="3" t="s">
        <v>4472</v>
      </c>
      <c r="C77" s="3" t="s">
        <v>4562</v>
      </c>
      <c r="D77" s="1" t="s">
        <v>4563</v>
      </c>
      <c r="E77" s="7" t="str">
        <f t="shared" si="7"/>
        <v>LAN</v>
      </c>
      <c r="F77" s="7" t="str">
        <f t="shared" si="8"/>
        <v>UNI</v>
      </c>
      <c r="G77" s="7" t="str">
        <f t="shared" si="9"/>
        <v>HWR</v>
      </c>
      <c r="H77" s="7" t="str">
        <f t="shared" si="10"/>
        <v>SC1</v>
      </c>
      <c r="I77" s="7" t="str">
        <f t="shared" si="11"/>
        <v>NHH</v>
      </c>
      <c r="J77" s="7" t="str">
        <f t="shared" si="12"/>
        <v>GRN</v>
      </c>
      <c r="K77" s="7" t="str">
        <f t="shared" si="13"/>
        <v>90x90</v>
      </c>
      <c r="L77" s="7">
        <v>0</v>
      </c>
      <c r="M77" s="7" t="s">
        <v>2609</v>
      </c>
      <c r="N77" s="7">
        <f>_xlfn.XLOOKUP(A77,[1]SKU!$A:$A,[1]SKU!$Z:$Z)</f>
        <v>849000</v>
      </c>
    </row>
    <row r="78" spans="1:14" s="7" customFormat="1">
      <c r="A78" s="1" t="s">
        <v>4564</v>
      </c>
      <c r="B78" s="3" t="s">
        <v>4472</v>
      </c>
      <c r="C78" s="3" t="s">
        <v>4565</v>
      </c>
      <c r="D78" s="1" t="s">
        <v>4566</v>
      </c>
      <c r="E78" s="7" t="str">
        <f t="shared" si="7"/>
        <v>EDE</v>
      </c>
      <c r="F78" s="7" t="str">
        <f t="shared" si="8"/>
        <v>UNI</v>
      </c>
      <c r="G78" s="7" t="str">
        <f t="shared" si="9"/>
        <v>BAG</v>
      </c>
      <c r="H78" s="7" t="str">
        <f t="shared" si="10"/>
        <v>TTB</v>
      </c>
      <c r="I78" s="7" t="str">
        <f t="shared" si="11"/>
        <v>KIE</v>
      </c>
      <c r="J78" s="7" t="str">
        <f t="shared" si="12"/>
        <v>PIN</v>
      </c>
      <c r="K78" s="7" t="str">
        <f t="shared" si="13"/>
        <v>0</v>
      </c>
      <c r="L78" s="7">
        <v>0</v>
      </c>
      <c r="M78" s="7" t="s">
        <v>2609</v>
      </c>
      <c r="N78" s="7">
        <f>_xlfn.XLOOKUP(A78,[1]SKU!$A:$A,[1]SKU!$Z:$Z)</f>
        <v>470000</v>
      </c>
    </row>
    <row r="79" spans="1:14" s="7" customFormat="1">
      <c r="A79" s="1" t="s">
        <v>4567</v>
      </c>
      <c r="B79" s="3" t="s">
        <v>4472</v>
      </c>
      <c r="C79" s="3" t="s">
        <v>4568</v>
      </c>
      <c r="D79" s="1" t="s">
        <v>4569</v>
      </c>
      <c r="E79" s="7" t="str">
        <f t="shared" si="7"/>
        <v>HAM</v>
      </c>
      <c r="F79" s="7" t="str">
        <f t="shared" si="8"/>
        <v>UNI</v>
      </c>
      <c r="G79" s="7" t="str">
        <f t="shared" si="9"/>
        <v>JEW</v>
      </c>
      <c r="H79" s="7" t="str">
        <f t="shared" si="10"/>
        <v>NEC</v>
      </c>
      <c r="I79" s="7" t="str">
        <f t="shared" si="11"/>
        <v>110</v>
      </c>
      <c r="J79" s="7" t="str">
        <f t="shared" si="12"/>
        <v>MIX</v>
      </c>
      <c r="K79" s="7" t="str">
        <f t="shared" si="13"/>
        <v>0</v>
      </c>
      <c r="L79" s="7">
        <v>0</v>
      </c>
      <c r="M79" s="7" t="s">
        <v>2609</v>
      </c>
      <c r="N79" s="7">
        <f>_xlfn.XLOOKUP(A79,[1]SKU!$A:$A,[1]SKU!$Z:$Z)</f>
        <v>5500000</v>
      </c>
    </row>
    <row r="80" spans="1:14" s="7" customFormat="1">
      <c r="A80" s="1" t="s">
        <v>4570</v>
      </c>
      <c r="B80" s="3" t="s">
        <v>4472</v>
      </c>
      <c r="C80" s="3" t="s">
        <v>133</v>
      </c>
      <c r="D80" s="1" t="s">
        <v>4571</v>
      </c>
      <c r="E80" s="7" t="str">
        <f t="shared" si="7"/>
        <v>SHI</v>
      </c>
      <c r="F80" s="7" t="str">
        <f t="shared" si="8"/>
        <v>UNI</v>
      </c>
      <c r="G80" s="7" t="str">
        <f t="shared" si="9"/>
        <v>FNB</v>
      </c>
      <c r="H80" s="7" t="str">
        <f t="shared" si="10"/>
        <v>CFB</v>
      </c>
      <c r="I80" s="7" t="str">
        <f t="shared" si="11"/>
        <v>SLB</v>
      </c>
      <c r="J80" s="7" t="str">
        <f t="shared" si="12"/>
        <v>WHI</v>
      </c>
      <c r="K80" s="7" t="str">
        <f t="shared" si="13"/>
        <v>CAN</v>
      </c>
      <c r="L80" s="7">
        <v>0</v>
      </c>
      <c r="M80" s="7" t="s">
        <v>2609</v>
      </c>
      <c r="N80" s="7">
        <f>_xlfn.XLOOKUP(A80,[1]SKU!$A:$A,[1]SKU!$Z:$Z)</f>
        <v>250000</v>
      </c>
    </row>
    <row r="81" spans="1:14" s="7" customFormat="1">
      <c r="A81" s="1" t="s">
        <v>4572</v>
      </c>
      <c r="B81" s="3" t="s">
        <v>4472</v>
      </c>
      <c r="C81" s="3" t="s">
        <v>100</v>
      </c>
      <c r="D81" s="1" t="s">
        <v>4573</v>
      </c>
      <c r="E81" s="7" t="str">
        <f t="shared" si="7"/>
        <v>PSD</v>
      </c>
      <c r="F81" s="7" t="str">
        <f t="shared" si="8"/>
        <v>UNI</v>
      </c>
      <c r="G81" s="7" t="str">
        <f t="shared" si="9"/>
        <v>SOU</v>
      </c>
      <c r="H81" s="7" t="str">
        <f t="shared" si="10"/>
        <v>DEC</v>
      </c>
      <c r="I81" s="7" t="str">
        <f t="shared" si="11"/>
        <v>LBA</v>
      </c>
      <c r="J81" s="7" t="str">
        <f t="shared" si="12"/>
        <v>BRO</v>
      </c>
      <c r="K81" s="7" t="str">
        <f t="shared" si="13"/>
        <v>8</v>
      </c>
      <c r="L81" s="7">
        <v>0</v>
      </c>
      <c r="M81" s="7" t="s">
        <v>2609</v>
      </c>
      <c r="N81" s="7">
        <f>_xlfn.XLOOKUP(A81,[1]SKU!$A:$A,[1]SKU!$Z:$Z)</f>
        <v>290000</v>
      </c>
    </row>
    <row r="82" spans="1:14" s="7" customFormat="1">
      <c r="A82" s="1" t="s">
        <v>4574</v>
      </c>
      <c r="B82" s="3" t="s">
        <v>4472</v>
      </c>
      <c r="C82" s="3" t="s">
        <v>4575</v>
      </c>
      <c r="D82" s="1" t="s">
        <v>4576</v>
      </c>
      <c r="E82" s="7" t="str">
        <f t="shared" si="7"/>
        <v>HAM</v>
      </c>
      <c r="F82" s="7" t="str">
        <f t="shared" si="8"/>
        <v>UNI</v>
      </c>
      <c r="G82" s="7" t="str">
        <f t="shared" si="9"/>
        <v>JEW</v>
      </c>
      <c r="H82" s="7" t="str">
        <f t="shared" si="10"/>
        <v>NEC</v>
      </c>
      <c r="I82" s="7" t="str">
        <f t="shared" si="11"/>
        <v>117</v>
      </c>
      <c r="J82" s="7" t="str">
        <f t="shared" si="12"/>
        <v>MIX</v>
      </c>
      <c r="K82" s="7" t="str">
        <f t="shared" si="13"/>
        <v>0</v>
      </c>
      <c r="L82" s="7">
        <v>0</v>
      </c>
      <c r="M82" s="7" t="s">
        <v>2609</v>
      </c>
      <c r="N82" s="7">
        <f>_xlfn.XLOOKUP(A82,[1]SKU!$A:$A,[1]SKU!$Z:$Z)</f>
        <v>2800000</v>
      </c>
    </row>
    <row r="83" spans="1:14" s="7" customFormat="1">
      <c r="A83" s="1" t="s">
        <v>4577</v>
      </c>
      <c r="B83" s="3" t="s">
        <v>4472</v>
      </c>
      <c r="C83" s="3" t="s">
        <v>135</v>
      </c>
      <c r="D83" s="1" t="s">
        <v>4578</v>
      </c>
      <c r="E83" s="7" t="str">
        <f t="shared" si="7"/>
        <v>ODE</v>
      </c>
      <c r="F83" s="7" t="str">
        <f t="shared" si="8"/>
        <v>UNI</v>
      </c>
      <c r="G83" s="7" t="str">
        <f t="shared" si="9"/>
        <v>COS</v>
      </c>
      <c r="H83" s="7" t="str">
        <f t="shared" si="10"/>
        <v>BCE</v>
      </c>
      <c r="I83" s="7" t="str">
        <f t="shared" si="11"/>
        <v>D01</v>
      </c>
      <c r="J83" s="7" t="str">
        <f t="shared" si="12"/>
        <v>NON</v>
      </c>
      <c r="K83" s="7" t="str">
        <f t="shared" si="13"/>
        <v>0</v>
      </c>
      <c r="L83" s="7">
        <v>0</v>
      </c>
      <c r="M83" s="7" t="s">
        <v>2609</v>
      </c>
      <c r="N83" s="7">
        <f>_xlfn.XLOOKUP(A83,[1]SKU!$A:$A,[1]SKU!$Z:$Z)</f>
        <v>215000</v>
      </c>
    </row>
    <row r="84" spans="1:14" s="7" customFormat="1">
      <c r="A84" s="1" t="s">
        <v>136</v>
      </c>
      <c r="B84" s="3" t="s">
        <v>3</v>
      </c>
      <c r="C84" s="3" t="s">
        <v>137</v>
      </c>
      <c r="D84" s="1" t="s">
        <v>138</v>
      </c>
      <c r="E84" s="7" t="str">
        <f t="shared" si="7"/>
        <v>GBA</v>
      </c>
      <c r="F84" s="7" t="str">
        <f t="shared" si="8"/>
        <v>WOM</v>
      </c>
      <c r="G84" s="7" t="str">
        <f t="shared" si="9"/>
        <v>PZE</v>
      </c>
      <c r="H84" s="7" t="str">
        <f t="shared" si="10"/>
        <v>ONE</v>
      </c>
      <c r="I84" s="7" t="str">
        <f t="shared" si="11"/>
        <v>HHA</v>
      </c>
      <c r="J84" s="7" t="str">
        <f t="shared" si="12"/>
        <v>WHI</v>
      </c>
      <c r="K84" s="7" t="str">
        <f t="shared" si="13"/>
        <v>L</v>
      </c>
      <c r="L84" s="7" t="s">
        <v>2167</v>
      </c>
      <c r="M84" s="7" t="s">
        <v>2167</v>
      </c>
      <c r="N84" s="7">
        <f>_xlfn.XLOOKUP(A84,[1]SKU!$A:$A,[1]SKU!$Z:$Z)</f>
        <v>890000</v>
      </c>
    </row>
    <row r="85" spans="1:14" s="7" customFormat="1">
      <c r="A85" s="1" t="s">
        <v>139</v>
      </c>
      <c r="B85" s="3" t="s">
        <v>3</v>
      </c>
      <c r="C85" s="3" t="s">
        <v>23</v>
      </c>
      <c r="D85" s="1" t="s">
        <v>140</v>
      </c>
      <c r="E85" s="7" t="str">
        <f t="shared" si="7"/>
        <v>GBA</v>
      </c>
      <c r="F85" s="7" t="str">
        <f t="shared" si="8"/>
        <v>MEN</v>
      </c>
      <c r="G85" s="7" t="str">
        <f t="shared" si="9"/>
        <v>TSS</v>
      </c>
      <c r="H85" s="7" t="str">
        <f t="shared" si="10"/>
        <v>ONE</v>
      </c>
      <c r="I85" s="7" t="str">
        <f t="shared" si="11"/>
        <v>URB</v>
      </c>
      <c r="J85" s="7" t="str">
        <f t="shared" si="12"/>
        <v>GRE</v>
      </c>
      <c r="K85" s="7" t="str">
        <f t="shared" si="13"/>
        <v>S</v>
      </c>
      <c r="L85" s="7" t="s">
        <v>2018</v>
      </c>
      <c r="M85" s="7" t="s">
        <v>4462</v>
      </c>
      <c r="N85" s="7">
        <f>_xlfn.XLOOKUP(A85,[1]SKU!$A:$A,[1]SKU!$Z:$Z)</f>
        <v>710000</v>
      </c>
    </row>
    <row r="86" spans="1:14" s="7" customFormat="1">
      <c r="A86" s="1" t="s">
        <v>4579</v>
      </c>
      <c r="B86" s="3" t="s">
        <v>4472</v>
      </c>
      <c r="C86" s="3" t="s">
        <v>141</v>
      </c>
      <c r="D86" s="1" t="s">
        <v>4580</v>
      </c>
      <c r="E86" s="7" t="str">
        <f t="shared" si="7"/>
        <v>DSP</v>
      </c>
      <c r="F86" s="7" t="str">
        <f t="shared" si="8"/>
        <v>UNI</v>
      </c>
      <c r="G86" s="7" t="str">
        <f t="shared" si="9"/>
        <v>BAG</v>
      </c>
      <c r="H86" s="7" t="str">
        <f t="shared" si="10"/>
        <v>CLU</v>
      </c>
      <c r="I86" s="7" t="str">
        <f t="shared" si="11"/>
        <v>CEZ</v>
      </c>
      <c r="J86" s="7" t="str">
        <f t="shared" si="12"/>
        <v>CME</v>
      </c>
      <c r="K86" s="7" t="str">
        <f t="shared" si="13"/>
        <v>0</v>
      </c>
      <c r="L86" s="7">
        <v>0</v>
      </c>
      <c r="M86" s="7" t="s">
        <v>2609</v>
      </c>
      <c r="N86" s="7">
        <f>_xlfn.XLOOKUP(A86,[1]SKU!$A:$A,[1]SKU!$Z:$Z)</f>
        <v>2850000</v>
      </c>
    </row>
    <row r="87" spans="1:14" s="7" customFormat="1">
      <c r="A87" s="1" t="s">
        <v>142</v>
      </c>
      <c r="B87" s="3" t="s">
        <v>3</v>
      </c>
      <c r="C87" s="3" t="s">
        <v>143</v>
      </c>
      <c r="D87" s="1" t="s">
        <v>144</v>
      </c>
      <c r="E87" s="7" t="str">
        <f t="shared" si="7"/>
        <v>GOR</v>
      </c>
      <c r="F87" s="7" t="str">
        <f t="shared" si="8"/>
        <v>KID</v>
      </c>
      <c r="G87" s="7" t="str">
        <f t="shared" si="9"/>
        <v>TSS</v>
      </c>
      <c r="H87" s="7" t="str">
        <f t="shared" si="10"/>
        <v>ONE</v>
      </c>
      <c r="I87" s="7" t="str">
        <f t="shared" si="11"/>
        <v>MOX</v>
      </c>
      <c r="J87" s="7" t="str">
        <f t="shared" si="12"/>
        <v>PPA</v>
      </c>
      <c r="K87" s="7" t="str">
        <f t="shared" si="13"/>
        <v>6</v>
      </c>
      <c r="L87" s="7" t="s">
        <v>2018</v>
      </c>
      <c r="M87" s="7" t="s">
        <v>4462</v>
      </c>
      <c r="N87" s="7">
        <f>_xlfn.XLOOKUP(A87,[1]SKU!$A:$A,[1]SKU!$Z:$Z)</f>
        <v>590000</v>
      </c>
    </row>
    <row r="88" spans="1:14" s="7" customFormat="1">
      <c r="A88" s="1" t="s">
        <v>145</v>
      </c>
      <c r="B88" s="3" t="s">
        <v>3</v>
      </c>
      <c r="C88" s="3" t="s">
        <v>146</v>
      </c>
      <c r="D88" s="1" t="s">
        <v>147</v>
      </c>
      <c r="E88" s="7" t="str">
        <f t="shared" si="7"/>
        <v>GBA</v>
      </c>
      <c r="F88" s="7" t="str">
        <f t="shared" si="8"/>
        <v>MEN</v>
      </c>
      <c r="G88" s="7" t="str">
        <f t="shared" si="9"/>
        <v>TSS</v>
      </c>
      <c r="H88" s="7" t="str">
        <f t="shared" si="10"/>
        <v>ONE</v>
      </c>
      <c r="I88" s="7" t="str">
        <f t="shared" si="11"/>
        <v>BPP</v>
      </c>
      <c r="J88" s="7" t="str">
        <f t="shared" si="12"/>
        <v>BLK</v>
      </c>
      <c r="K88" s="7" t="str">
        <f t="shared" si="13"/>
        <v>S</v>
      </c>
      <c r="L88" s="7" t="s">
        <v>2018</v>
      </c>
      <c r="M88" s="7" t="s">
        <v>4462</v>
      </c>
      <c r="N88" s="7">
        <f>_xlfn.XLOOKUP(A88,[1]SKU!$A:$A,[1]SKU!$Z:$Z)</f>
        <v>710000</v>
      </c>
    </row>
    <row r="89" spans="1:14" s="7" customFormat="1">
      <c r="A89" s="1" t="s">
        <v>148</v>
      </c>
      <c r="B89" s="3" t="s">
        <v>3</v>
      </c>
      <c r="C89" s="3" t="s">
        <v>149</v>
      </c>
      <c r="D89" s="1" t="s">
        <v>150</v>
      </c>
      <c r="E89" s="7" t="str">
        <f t="shared" si="7"/>
        <v>GOR</v>
      </c>
      <c r="F89" s="7" t="str">
        <f t="shared" si="8"/>
        <v>MEN</v>
      </c>
      <c r="G89" s="7" t="str">
        <f t="shared" si="9"/>
        <v>TSS</v>
      </c>
      <c r="H89" s="7" t="str">
        <f t="shared" si="10"/>
        <v>ONE</v>
      </c>
      <c r="I89" s="7" t="str">
        <f t="shared" si="11"/>
        <v>OQR</v>
      </c>
      <c r="J89" s="7" t="str">
        <f t="shared" si="12"/>
        <v>GRE</v>
      </c>
      <c r="K89" s="7" t="str">
        <f t="shared" si="13"/>
        <v>M</v>
      </c>
      <c r="L89" s="7" t="s">
        <v>2018</v>
      </c>
      <c r="M89" s="7" t="s">
        <v>4462</v>
      </c>
      <c r="N89" s="7">
        <f>_xlfn.XLOOKUP(A89,[1]SKU!$A:$A,[1]SKU!$Z:$Z)</f>
        <v>790000</v>
      </c>
    </row>
    <row r="90" spans="1:14" s="7" customFormat="1">
      <c r="A90" s="1" t="s">
        <v>4581</v>
      </c>
      <c r="B90" s="3" t="s">
        <v>4472</v>
      </c>
      <c r="C90" s="3" t="s">
        <v>105</v>
      </c>
      <c r="D90" s="1" t="s">
        <v>4582</v>
      </c>
      <c r="E90" s="7" t="str">
        <f t="shared" si="7"/>
        <v>PSD</v>
      </c>
      <c r="F90" s="7" t="str">
        <f t="shared" si="8"/>
        <v>UNI</v>
      </c>
      <c r="G90" s="7" t="str">
        <f t="shared" si="9"/>
        <v>SOU</v>
      </c>
      <c r="H90" s="7" t="str">
        <f t="shared" si="10"/>
        <v>DEC</v>
      </c>
      <c r="I90" s="7" t="str">
        <f t="shared" si="11"/>
        <v>SBA</v>
      </c>
      <c r="J90" s="7" t="str">
        <f t="shared" si="12"/>
        <v>YEL</v>
      </c>
      <c r="K90" s="7" t="str">
        <f t="shared" si="13"/>
        <v>8</v>
      </c>
      <c r="L90" s="7">
        <v>0</v>
      </c>
      <c r="M90" s="7" t="s">
        <v>2609</v>
      </c>
      <c r="N90" s="7">
        <f>_xlfn.XLOOKUP(A90,[1]SKU!$A:$A,[1]SKU!$Z:$Z)</f>
        <v>290000</v>
      </c>
    </row>
    <row r="91" spans="1:14" s="7" customFormat="1">
      <c r="A91" s="1" t="s">
        <v>4583</v>
      </c>
      <c r="B91" s="3" t="s">
        <v>4472</v>
      </c>
      <c r="C91" s="3" t="s">
        <v>115</v>
      </c>
      <c r="D91" s="1" t="s">
        <v>4584</v>
      </c>
      <c r="E91" s="7" t="str">
        <f t="shared" si="7"/>
        <v>DSP</v>
      </c>
      <c r="F91" s="7" t="str">
        <f t="shared" si="8"/>
        <v>UNI</v>
      </c>
      <c r="G91" s="7" t="str">
        <f t="shared" si="9"/>
        <v>BAG</v>
      </c>
      <c r="H91" s="7" t="str">
        <f t="shared" si="10"/>
        <v>HDB</v>
      </c>
      <c r="I91" s="7" t="str">
        <f t="shared" si="11"/>
        <v>GA1</v>
      </c>
      <c r="J91" s="7" t="str">
        <f t="shared" si="12"/>
        <v>GRE</v>
      </c>
      <c r="K91" s="7" t="str">
        <f t="shared" si="13"/>
        <v>0</v>
      </c>
      <c r="L91" s="7">
        <v>0</v>
      </c>
      <c r="M91" s="7" t="s">
        <v>2609</v>
      </c>
      <c r="N91" s="7">
        <f>_xlfn.XLOOKUP(A91,[1]SKU!$A:$A,[1]SKU!$Z:$Z)</f>
        <v>8690000</v>
      </c>
    </row>
    <row r="92" spans="1:14" s="7" customFormat="1">
      <c r="A92" s="1" t="s">
        <v>151</v>
      </c>
      <c r="B92" s="3" t="s">
        <v>3</v>
      </c>
      <c r="C92" s="3" t="s">
        <v>96</v>
      </c>
      <c r="D92" s="1" t="s">
        <v>152</v>
      </c>
      <c r="E92" s="7" t="str">
        <f t="shared" si="7"/>
        <v>GOR</v>
      </c>
      <c r="F92" s="7" t="str">
        <f t="shared" si="8"/>
        <v>MEN</v>
      </c>
      <c r="G92" s="7" t="str">
        <f t="shared" si="9"/>
        <v>TSS</v>
      </c>
      <c r="H92" s="7" t="str">
        <f t="shared" si="10"/>
        <v>ONE</v>
      </c>
      <c r="I92" s="7" t="str">
        <f t="shared" si="11"/>
        <v>HNC</v>
      </c>
      <c r="J92" s="7" t="str">
        <f t="shared" si="12"/>
        <v>WHI</v>
      </c>
      <c r="K92" s="7" t="str">
        <f t="shared" si="13"/>
        <v>XL</v>
      </c>
      <c r="L92" s="7" t="s">
        <v>2018</v>
      </c>
      <c r="M92" s="7" t="s">
        <v>4462</v>
      </c>
      <c r="N92" s="7">
        <f>_xlfn.XLOOKUP(A92,[1]SKU!$A:$A,[1]SKU!$Z:$Z)</f>
        <v>1090000</v>
      </c>
    </row>
    <row r="93" spans="1:14" s="7" customFormat="1">
      <c r="A93" s="1" t="s">
        <v>153</v>
      </c>
      <c r="B93" s="3" t="s">
        <v>3</v>
      </c>
      <c r="C93" s="3" t="s">
        <v>154</v>
      </c>
      <c r="D93" s="1" t="s">
        <v>155</v>
      </c>
      <c r="E93" s="7" t="str">
        <f t="shared" si="7"/>
        <v>GCL</v>
      </c>
      <c r="F93" s="7" t="str">
        <f t="shared" si="8"/>
        <v>MEN</v>
      </c>
      <c r="G93" s="7" t="str">
        <f t="shared" si="9"/>
        <v>TSO</v>
      </c>
      <c r="H93" s="7" t="str">
        <f t="shared" si="10"/>
        <v>ONE</v>
      </c>
      <c r="I93" s="7" t="str">
        <f t="shared" si="11"/>
        <v>TNT</v>
      </c>
      <c r="J93" s="7" t="str">
        <f t="shared" si="12"/>
        <v>WHI</v>
      </c>
      <c r="K93" s="7" t="str">
        <f t="shared" si="13"/>
        <v>S</v>
      </c>
      <c r="L93" s="7" t="s">
        <v>2071</v>
      </c>
      <c r="M93" s="7" t="s">
        <v>4462</v>
      </c>
      <c r="N93" s="7">
        <f>_xlfn.XLOOKUP(A93,[1]SKU!$A:$A,[1]SKU!$Z:$Z)</f>
        <v>1390000</v>
      </c>
    </row>
    <row r="94" spans="1:14" s="7" customFormat="1">
      <c r="A94" s="1" t="s">
        <v>4585</v>
      </c>
      <c r="B94" s="3" t="s">
        <v>4472</v>
      </c>
      <c r="C94" s="3" t="s">
        <v>4586</v>
      </c>
      <c r="D94" s="1" t="s">
        <v>4587</v>
      </c>
      <c r="E94" s="7" t="str">
        <f t="shared" si="7"/>
        <v>HAM</v>
      </c>
      <c r="F94" s="7" t="str">
        <f t="shared" si="8"/>
        <v>UNI</v>
      </c>
      <c r="G94" s="7" t="str">
        <f t="shared" si="9"/>
        <v>JEW</v>
      </c>
      <c r="H94" s="7" t="str">
        <f t="shared" si="10"/>
        <v>NEC</v>
      </c>
      <c r="I94" s="7" t="str">
        <f t="shared" si="11"/>
        <v>D73</v>
      </c>
      <c r="J94" s="7" t="str">
        <f t="shared" si="12"/>
        <v>MIX</v>
      </c>
      <c r="K94" s="7" t="str">
        <f t="shared" si="13"/>
        <v>0</v>
      </c>
      <c r="L94" s="7">
        <v>0</v>
      </c>
      <c r="M94" s="7" t="s">
        <v>2609</v>
      </c>
      <c r="N94" s="7">
        <f>_xlfn.XLOOKUP(A94,[1]SKU!$A:$A,[1]SKU!$Z:$Z)</f>
        <v>1800000</v>
      </c>
    </row>
    <row r="95" spans="1:14" s="7" customFormat="1">
      <c r="A95" s="1" t="s">
        <v>4588</v>
      </c>
      <c r="B95" s="3" t="s">
        <v>4472</v>
      </c>
      <c r="C95" s="3" t="s">
        <v>4498</v>
      </c>
      <c r="D95" s="1" t="s">
        <v>4589</v>
      </c>
      <c r="E95" s="7" t="str">
        <f t="shared" si="7"/>
        <v>HAM</v>
      </c>
      <c r="F95" s="7" t="str">
        <f t="shared" si="8"/>
        <v>UNI</v>
      </c>
      <c r="G95" s="7" t="str">
        <f t="shared" si="9"/>
        <v>JEW</v>
      </c>
      <c r="H95" s="7" t="str">
        <f t="shared" si="10"/>
        <v>NEC</v>
      </c>
      <c r="I95" s="7" t="str">
        <f t="shared" si="11"/>
        <v>136</v>
      </c>
      <c r="J95" s="7" t="str">
        <f t="shared" si="12"/>
        <v>MIX</v>
      </c>
      <c r="K95" s="7" t="str">
        <f t="shared" si="13"/>
        <v>0</v>
      </c>
      <c r="L95" s="7">
        <v>0</v>
      </c>
      <c r="M95" s="7" t="s">
        <v>2609</v>
      </c>
      <c r="N95" s="7">
        <f>_xlfn.XLOOKUP(A95,[1]SKU!$A:$A,[1]SKU!$Z:$Z)</f>
        <v>1800000</v>
      </c>
    </row>
    <row r="96" spans="1:14" s="7" customFormat="1">
      <c r="A96" s="1" t="s">
        <v>4590</v>
      </c>
      <c r="B96" s="3" t="s">
        <v>4472</v>
      </c>
      <c r="C96" s="3" t="s">
        <v>157</v>
      </c>
      <c r="D96" s="1" t="s">
        <v>4591</v>
      </c>
      <c r="E96" s="7" t="str">
        <f t="shared" si="7"/>
        <v>DSP</v>
      </c>
      <c r="F96" s="7" t="str">
        <f t="shared" si="8"/>
        <v>UNI</v>
      </c>
      <c r="G96" s="7" t="str">
        <f t="shared" si="9"/>
        <v>FWR</v>
      </c>
      <c r="H96" s="7" t="str">
        <f t="shared" si="10"/>
        <v>SNE</v>
      </c>
      <c r="I96" s="7" t="str">
        <f t="shared" si="11"/>
        <v>SBA</v>
      </c>
      <c r="J96" s="7" t="str">
        <f t="shared" si="12"/>
        <v>LDP</v>
      </c>
      <c r="K96" s="7" t="str">
        <f t="shared" si="13"/>
        <v>42</v>
      </c>
      <c r="L96" s="7">
        <v>0</v>
      </c>
      <c r="M96" s="7" t="s">
        <v>2609</v>
      </c>
      <c r="N96" s="7">
        <f>_xlfn.XLOOKUP(A96,[1]SKU!$A:$A,[1]SKU!$Z:$Z)</f>
        <v>7500000</v>
      </c>
    </row>
    <row r="97" spans="1:14" s="7" customFormat="1">
      <c r="A97" s="1" t="s">
        <v>158</v>
      </c>
      <c r="B97" s="3" t="s">
        <v>3</v>
      </c>
      <c r="C97" s="3" t="s">
        <v>23</v>
      </c>
      <c r="D97" s="1" t="s">
        <v>159</v>
      </c>
      <c r="E97" s="7" t="str">
        <f t="shared" si="7"/>
        <v>GBA</v>
      </c>
      <c r="F97" s="7" t="str">
        <f t="shared" si="8"/>
        <v>MEN</v>
      </c>
      <c r="G97" s="7" t="str">
        <f t="shared" si="9"/>
        <v>TSS</v>
      </c>
      <c r="H97" s="7" t="str">
        <f t="shared" si="10"/>
        <v>ONE</v>
      </c>
      <c r="I97" s="7" t="str">
        <f t="shared" si="11"/>
        <v>URB</v>
      </c>
      <c r="J97" s="7" t="str">
        <f t="shared" si="12"/>
        <v>GRE</v>
      </c>
      <c r="K97" s="7" t="str">
        <f t="shared" si="13"/>
        <v>XXL</v>
      </c>
      <c r="L97" s="7" t="s">
        <v>2018</v>
      </c>
      <c r="M97" s="7" t="s">
        <v>4462</v>
      </c>
      <c r="N97" s="7">
        <f>_xlfn.XLOOKUP(A97,[1]SKU!$A:$A,[1]SKU!$Z:$Z)</f>
        <v>710000</v>
      </c>
    </row>
    <row r="98" spans="1:14" s="7" customFormat="1">
      <c r="A98" s="1" t="s">
        <v>160</v>
      </c>
      <c r="B98" s="3" t="s">
        <v>3</v>
      </c>
      <c r="C98" s="3" t="s">
        <v>81</v>
      </c>
      <c r="D98" s="1" t="s">
        <v>161</v>
      </c>
      <c r="E98" s="7" t="str">
        <f t="shared" si="7"/>
        <v>GBA</v>
      </c>
      <c r="F98" s="7" t="str">
        <f t="shared" si="8"/>
        <v>MEN</v>
      </c>
      <c r="G98" s="7" t="str">
        <f t="shared" si="9"/>
        <v>TSP</v>
      </c>
      <c r="H98" s="7" t="str">
        <f t="shared" si="10"/>
        <v>ONE</v>
      </c>
      <c r="I98" s="7" t="str">
        <f t="shared" si="11"/>
        <v>JUN</v>
      </c>
      <c r="J98" s="7" t="str">
        <f t="shared" si="12"/>
        <v>JBG</v>
      </c>
      <c r="K98" s="7" t="str">
        <f t="shared" si="13"/>
        <v>L</v>
      </c>
      <c r="L98" s="7" t="s">
        <v>2085</v>
      </c>
      <c r="M98" s="7" t="s">
        <v>4462</v>
      </c>
      <c r="N98" s="7">
        <f>_xlfn.XLOOKUP(A98,[1]SKU!$A:$A,[1]SKU!$Z:$Z)</f>
        <v>890000</v>
      </c>
    </row>
    <row r="99" spans="1:14" s="7" customFormat="1">
      <c r="A99" s="1" t="s">
        <v>4592</v>
      </c>
      <c r="B99" s="3" t="s">
        <v>4472</v>
      </c>
      <c r="C99" s="3" t="s">
        <v>141</v>
      </c>
      <c r="D99" s="1" t="s">
        <v>4593</v>
      </c>
      <c r="E99" s="7" t="str">
        <f t="shared" si="7"/>
        <v>DSP</v>
      </c>
      <c r="F99" s="7" t="str">
        <f t="shared" si="8"/>
        <v>UNI</v>
      </c>
      <c r="G99" s="7" t="str">
        <f t="shared" si="9"/>
        <v>BAG</v>
      </c>
      <c r="H99" s="7" t="str">
        <f t="shared" si="10"/>
        <v>CLU</v>
      </c>
      <c r="I99" s="7" t="str">
        <f t="shared" si="11"/>
        <v>CEZ</v>
      </c>
      <c r="J99" s="7" t="str">
        <f t="shared" si="12"/>
        <v>BWR</v>
      </c>
      <c r="K99" s="7" t="str">
        <f t="shared" si="13"/>
        <v>0</v>
      </c>
      <c r="L99" s="7">
        <v>0</v>
      </c>
      <c r="M99" s="7" t="s">
        <v>2609</v>
      </c>
      <c r="N99" s="7">
        <f>_xlfn.XLOOKUP(A99,[1]SKU!$A:$A,[1]SKU!$Z:$Z)</f>
        <v>2850000</v>
      </c>
    </row>
    <row r="100" spans="1:14" s="7" customFormat="1">
      <c r="A100" s="1" t="s">
        <v>4594</v>
      </c>
      <c r="B100" s="3" t="s">
        <v>4472</v>
      </c>
      <c r="C100" s="3" t="s">
        <v>162</v>
      </c>
      <c r="D100" s="1" t="s">
        <v>4595</v>
      </c>
      <c r="E100" s="7" t="str">
        <f t="shared" si="7"/>
        <v>DSP</v>
      </c>
      <c r="F100" s="7" t="str">
        <f t="shared" si="8"/>
        <v>UNI</v>
      </c>
      <c r="G100" s="7" t="str">
        <f t="shared" si="9"/>
        <v>BAG</v>
      </c>
      <c r="H100" s="7" t="str">
        <f t="shared" si="10"/>
        <v>CLU</v>
      </c>
      <c r="I100" s="7" t="str">
        <f t="shared" si="11"/>
        <v>SIS</v>
      </c>
      <c r="J100" s="7" t="str">
        <f t="shared" si="12"/>
        <v>SLR</v>
      </c>
      <c r="K100" s="7" t="str">
        <f t="shared" si="13"/>
        <v>0</v>
      </c>
      <c r="L100" s="7">
        <v>0</v>
      </c>
      <c r="M100" s="7" t="s">
        <v>2609</v>
      </c>
      <c r="N100" s="7">
        <f>_xlfn.XLOOKUP(A100,[1]SKU!$A:$A,[1]SKU!$Z:$Z)</f>
        <v>3800000</v>
      </c>
    </row>
    <row r="101" spans="1:14" s="7" customFormat="1">
      <c r="A101" s="1" t="s">
        <v>4596</v>
      </c>
      <c r="B101" s="3" t="s">
        <v>4472</v>
      </c>
      <c r="C101" s="3" t="s">
        <v>4507</v>
      </c>
      <c r="D101" s="1" t="s">
        <v>4597</v>
      </c>
      <c r="E101" s="7" t="str">
        <f t="shared" si="7"/>
        <v>HAM</v>
      </c>
      <c r="F101" s="7" t="str">
        <f t="shared" si="8"/>
        <v>UNI</v>
      </c>
      <c r="G101" s="7" t="str">
        <f t="shared" si="9"/>
        <v>JEW</v>
      </c>
      <c r="H101" s="7" t="str">
        <f t="shared" si="10"/>
        <v>NEC</v>
      </c>
      <c r="I101" s="7" t="str">
        <f t="shared" si="11"/>
        <v>133</v>
      </c>
      <c r="J101" s="7" t="str">
        <f t="shared" si="12"/>
        <v>MIX</v>
      </c>
      <c r="K101" s="7" t="str">
        <f t="shared" si="13"/>
        <v>0</v>
      </c>
      <c r="L101" s="7">
        <v>0</v>
      </c>
      <c r="M101" s="7" t="s">
        <v>2609</v>
      </c>
      <c r="N101" s="7">
        <f>_xlfn.XLOOKUP(A101,[1]SKU!$A:$A,[1]SKU!$Z:$Z)</f>
        <v>1800000</v>
      </c>
    </row>
    <row r="102" spans="1:14" s="7" customFormat="1">
      <c r="A102" s="1" t="s">
        <v>4598</v>
      </c>
      <c r="B102" s="3" t="s">
        <v>4472</v>
      </c>
      <c r="C102" s="3" t="s">
        <v>163</v>
      </c>
      <c r="D102" s="1" t="s">
        <v>4599</v>
      </c>
      <c r="E102" s="7" t="str">
        <f t="shared" si="7"/>
        <v>DSP</v>
      </c>
      <c r="F102" s="7" t="str">
        <f t="shared" si="8"/>
        <v>UNI</v>
      </c>
      <c r="G102" s="7" t="str">
        <f t="shared" si="9"/>
        <v>BAG</v>
      </c>
      <c r="H102" s="7" t="str">
        <f t="shared" si="10"/>
        <v>CLU</v>
      </c>
      <c r="I102" s="7" t="str">
        <f t="shared" si="11"/>
        <v>FOU</v>
      </c>
      <c r="J102" s="7" t="str">
        <f t="shared" si="12"/>
        <v>LDP</v>
      </c>
      <c r="K102" s="7" t="str">
        <f t="shared" si="13"/>
        <v>0</v>
      </c>
      <c r="L102" s="7">
        <v>0</v>
      </c>
      <c r="M102" s="7" t="s">
        <v>2609</v>
      </c>
      <c r="N102" s="7">
        <f>_xlfn.XLOOKUP(A102,[1]SKU!$A:$A,[1]SKU!$Z:$Z)</f>
        <v>1500000</v>
      </c>
    </row>
    <row r="103" spans="1:14" s="7" customFormat="1">
      <c r="A103" s="1" t="s">
        <v>4600</v>
      </c>
      <c r="B103" s="3" t="s">
        <v>4472</v>
      </c>
      <c r="C103" s="3" t="s">
        <v>4601</v>
      </c>
      <c r="D103" s="1" t="s">
        <v>4602</v>
      </c>
      <c r="E103" s="7" t="str">
        <f t="shared" si="7"/>
        <v>DSP</v>
      </c>
      <c r="F103" s="7" t="str">
        <f t="shared" si="8"/>
        <v>UNI</v>
      </c>
      <c r="G103" s="7" t="str">
        <f t="shared" si="9"/>
        <v>BAG</v>
      </c>
      <c r="H103" s="7" t="str">
        <f t="shared" si="10"/>
        <v>CLU</v>
      </c>
      <c r="I103" s="7" t="str">
        <f t="shared" si="11"/>
        <v>Ml1</v>
      </c>
      <c r="J103" s="7" t="str">
        <f t="shared" si="12"/>
        <v>REP</v>
      </c>
      <c r="K103" s="7" t="str">
        <f t="shared" si="13"/>
        <v>0</v>
      </c>
      <c r="L103" s="7">
        <v>0</v>
      </c>
      <c r="M103" s="7" t="s">
        <v>2609</v>
      </c>
      <c r="N103" s="7">
        <f>_xlfn.XLOOKUP(A103,[1]SKU!$A:$A,[1]SKU!$Z:$Z)</f>
        <v>5200000</v>
      </c>
    </row>
    <row r="104" spans="1:14" s="7" customFormat="1">
      <c r="A104" s="1" t="s">
        <v>164</v>
      </c>
      <c r="B104" s="3" t="s">
        <v>19</v>
      </c>
      <c r="C104" s="3" t="s">
        <v>107</v>
      </c>
      <c r="D104" s="1" t="s">
        <v>165</v>
      </c>
      <c r="E104" s="7" t="str">
        <f t="shared" si="7"/>
        <v>OTH</v>
      </c>
      <c r="F104" s="7" t="str">
        <f t="shared" si="8"/>
        <v>UNI</v>
      </c>
      <c r="G104" s="7" t="str">
        <f t="shared" si="9"/>
        <v>BAG</v>
      </c>
      <c r="H104" s="7" t="str">
        <f t="shared" si="10"/>
        <v>CRB</v>
      </c>
      <c r="I104" s="7" t="str">
        <f t="shared" si="11"/>
        <v>LOG</v>
      </c>
      <c r="J104" s="7" t="str">
        <f t="shared" si="12"/>
        <v>COB</v>
      </c>
      <c r="K104" s="7" t="str">
        <f t="shared" si="13"/>
        <v>0</v>
      </c>
      <c r="L104" s="7">
        <v>0</v>
      </c>
      <c r="M104" s="7" t="s">
        <v>2609</v>
      </c>
      <c r="N104" s="7">
        <f>_xlfn.XLOOKUP(A104,[1]SKU!$A:$A,[1]SKU!$Z:$Z)</f>
        <v>3650000</v>
      </c>
    </row>
    <row r="105" spans="1:14" s="7" customFormat="1">
      <c r="A105" s="1" t="s">
        <v>166</v>
      </c>
      <c r="B105" s="3" t="s">
        <v>3</v>
      </c>
      <c r="C105" s="3" t="s">
        <v>167</v>
      </c>
      <c r="D105" s="1" t="s">
        <v>168</v>
      </c>
      <c r="E105" s="7" t="str">
        <f t="shared" si="7"/>
        <v>GKK</v>
      </c>
      <c r="F105" s="7" t="str">
        <f t="shared" si="8"/>
        <v>WOM</v>
      </c>
      <c r="G105" s="7" t="str">
        <f t="shared" si="9"/>
        <v>SHH</v>
      </c>
      <c r="H105" s="7" t="str">
        <f t="shared" si="10"/>
        <v>FBT</v>
      </c>
      <c r="I105" s="7" t="str">
        <f t="shared" si="11"/>
        <v>TJM</v>
      </c>
      <c r="J105" s="7" t="str">
        <f t="shared" si="12"/>
        <v>BLK</v>
      </c>
      <c r="K105" s="7" t="str">
        <f t="shared" si="13"/>
        <v>M</v>
      </c>
      <c r="L105" s="7" t="s">
        <v>2784</v>
      </c>
      <c r="M105" s="7" t="s">
        <v>4463</v>
      </c>
      <c r="N105" s="7">
        <f>_xlfn.XLOOKUP(A105,[1]SKU!$A:$A,[1]SKU!$Z:$Z)</f>
        <v>1550000</v>
      </c>
    </row>
    <row r="106" spans="1:14" s="7" customFormat="1">
      <c r="A106" s="1" t="s">
        <v>4603</v>
      </c>
      <c r="B106" s="3" t="s">
        <v>4472</v>
      </c>
      <c r="C106" s="3" t="s">
        <v>4604</v>
      </c>
      <c r="D106" s="1" t="s">
        <v>4605</v>
      </c>
      <c r="E106" s="7" t="str">
        <f t="shared" si="7"/>
        <v>PSD</v>
      </c>
      <c r="F106" s="7" t="str">
        <f t="shared" si="8"/>
        <v>UNI</v>
      </c>
      <c r="G106" s="7" t="str">
        <f t="shared" si="9"/>
        <v>SOU</v>
      </c>
      <c r="H106" s="7" t="str">
        <f t="shared" si="10"/>
        <v>DEC</v>
      </c>
      <c r="I106" s="7" t="str">
        <f t="shared" si="11"/>
        <v>UNI</v>
      </c>
      <c r="J106" s="7" t="str">
        <f t="shared" si="12"/>
        <v>YEL</v>
      </c>
      <c r="K106" s="7" t="str">
        <f t="shared" si="13"/>
        <v>L</v>
      </c>
      <c r="L106" s="7">
        <v>0</v>
      </c>
      <c r="M106" s="7" t="s">
        <v>2609</v>
      </c>
      <c r="N106" s="7">
        <f>_xlfn.XLOOKUP(A106,[1]SKU!$A:$A,[1]SKU!$Z:$Z)</f>
        <v>0</v>
      </c>
    </row>
    <row r="107" spans="1:14" s="7" customFormat="1">
      <c r="A107" s="1" t="s">
        <v>169</v>
      </c>
      <c r="B107" s="3" t="s">
        <v>3</v>
      </c>
      <c r="C107" s="3" t="s">
        <v>23</v>
      </c>
      <c r="D107" s="1" t="s">
        <v>170</v>
      </c>
      <c r="E107" s="7" t="str">
        <f t="shared" si="7"/>
        <v>GSL</v>
      </c>
      <c r="F107" s="7" t="str">
        <f t="shared" si="8"/>
        <v>KID</v>
      </c>
      <c r="G107" s="7" t="str">
        <f t="shared" si="9"/>
        <v>TSS</v>
      </c>
      <c r="H107" s="7" t="str">
        <f t="shared" si="10"/>
        <v>ONE</v>
      </c>
      <c r="I107" s="7" t="str">
        <f t="shared" si="11"/>
        <v>URB</v>
      </c>
      <c r="J107" s="7" t="str">
        <f t="shared" si="12"/>
        <v>ORA</v>
      </c>
      <c r="K107" s="7" t="str">
        <f t="shared" si="13"/>
        <v>2</v>
      </c>
      <c r="L107" s="7" t="s">
        <v>2018</v>
      </c>
      <c r="M107" s="7" t="s">
        <v>4462</v>
      </c>
      <c r="N107" s="7">
        <f>_xlfn.XLOOKUP(A107,[1]SKU!$A:$A,[1]SKU!$Z:$Z)</f>
        <v>550000</v>
      </c>
    </row>
    <row r="108" spans="1:14" s="7" customFormat="1">
      <c r="A108" s="1" t="s">
        <v>4606</v>
      </c>
      <c r="B108" s="3" t="s">
        <v>4472</v>
      </c>
      <c r="C108" s="3" t="s">
        <v>171</v>
      </c>
      <c r="D108" s="1" t="s">
        <v>4607</v>
      </c>
      <c r="E108" s="7" t="str">
        <f t="shared" si="7"/>
        <v>DSP</v>
      </c>
      <c r="F108" s="7" t="str">
        <f t="shared" si="8"/>
        <v>UNI</v>
      </c>
      <c r="G108" s="7" t="str">
        <f t="shared" si="9"/>
        <v>FWR</v>
      </c>
      <c r="H108" s="7" t="str">
        <f t="shared" si="10"/>
        <v>SLI</v>
      </c>
      <c r="I108" s="7" t="str">
        <f t="shared" si="11"/>
        <v>MAS</v>
      </c>
      <c r="J108" s="7" t="str">
        <f t="shared" si="12"/>
        <v>RED</v>
      </c>
      <c r="K108" s="7" t="str">
        <f t="shared" si="13"/>
        <v>40</v>
      </c>
      <c r="L108" s="7">
        <v>0</v>
      </c>
      <c r="M108" s="7" t="s">
        <v>2609</v>
      </c>
      <c r="N108" s="7">
        <f>_xlfn.XLOOKUP(A108,[1]SKU!$A:$A,[1]SKU!$Z:$Z)</f>
        <v>6200000</v>
      </c>
    </row>
    <row r="109" spans="1:14" s="7" customFormat="1">
      <c r="A109" s="1" t="s">
        <v>4608</v>
      </c>
      <c r="B109" s="3" t="s">
        <v>4472</v>
      </c>
      <c r="C109" s="3" t="s">
        <v>172</v>
      </c>
      <c r="D109" s="1" t="s">
        <v>4609</v>
      </c>
      <c r="E109" s="7" t="str">
        <f t="shared" si="7"/>
        <v>DSP</v>
      </c>
      <c r="F109" s="7" t="str">
        <f t="shared" si="8"/>
        <v>UNI</v>
      </c>
      <c r="G109" s="7" t="str">
        <f t="shared" si="9"/>
        <v>FWR</v>
      </c>
      <c r="H109" s="7" t="str">
        <f t="shared" si="10"/>
        <v>LES</v>
      </c>
      <c r="I109" s="7" t="str">
        <f t="shared" si="11"/>
        <v>ALF</v>
      </c>
      <c r="J109" s="7" t="str">
        <f t="shared" si="12"/>
        <v>DBP</v>
      </c>
      <c r="K109" s="7" t="str">
        <f t="shared" si="13"/>
        <v>36</v>
      </c>
      <c r="L109" s="7">
        <v>0</v>
      </c>
      <c r="M109" s="7" t="s">
        <v>2609</v>
      </c>
      <c r="N109" s="7">
        <f>_xlfn.XLOOKUP(A109,[1]SKU!$A:$A,[1]SKU!$Z:$Z)</f>
        <v>7800000</v>
      </c>
    </row>
    <row r="110" spans="1:14" s="7" customFormat="1">
      <c r="A110" s="1" t="s">
        <v>173</v>
      </c>
      <c r="B110" s="3" t="s">
        <v>3</v>
      </c>
      <c r="C110" s="3" t="s">
        <v>38</v>
      </c>
      <c r="D110" s="1" t="s">
        <v>174</v>
      </c>
      <c r="E110" s="7" t="str">
        <f t="shared" si="7"/>
        <v>GPI</v>
      </c>
      <c r="F110" s="7" t="str">
        <f t="shared" si="8"/>
        <v>MEN</v>
      </c>
      <c r="G110" s="7" t="str">
        <f t="shared" si="9"/>
        <v>POL</v>
      </c>
      <c r="H110" s="7" t="str">
        <f t="shared" si="10"/>
        <v>RIB</v>
      </c>
      <c r="I110" s="7" t="str">
        <f t="shared" si="11"/>
        <v>LOG</v>
      </c>
      <c r="J110" s="7" t="str">
        <f t="shared" si="12"/>
        <v>OLI</v>
      </c>
      <c r="K110" s="7" t="str">
        <f t="shared" si="13"/>
        <v>L</v>
      </c>
      <c r="L110" s="7" t="s">
        <v>1995</v>
      </c>
      <c r="M110" s="7" t="s">
        <v>4468</v>
      </c>
      <c r="N110" s="7">
        <f>_xlfn.XLOOKUP(A110,[1]SKU!$A:$A,[1]SKU!$Z:$Z)</f>
        <v>1390000</v>
      </c>
    </row>
    <row r="111" spans="1:14" s="7" customFormat="1">
      <c r="A111" s="1" t="s">
        <v>4610</v>
      </c>
      <c r="B111" s="3" t="s">
        <v>4472</v>
      </c>
      <c r="C111" s="3" t="s">
        <v>4611</v>
      </c>
      <c r="D111" s="1" t="s">
        <v>4612</v>
      </c>
      <c r="E111" s="7" t="str">
        <f t="shared" si="7"/>
        <v>EDE</v>
      </c>
      <c r="F111" s="7" t="str">
        <f t="shared" si="8"/>
        <v>UNI</v>
      </c>
      <c r="G111" s="7" t="str">
        <f t="shared" si="9"/>
        <v>HDR</v>
      </c>
      <c r="H111" s="7" t="str">
        <f t="shared" si="10"/>
        <v>CUS</v>
      </c>
      <c r="I111" s="7" t="str">
        <f t="shared" si="11"/>
        <v>THU</v>
      </c>
      <c r="J111" s="7" t="str">
        <f t="shared" si="12"/>
        <v>BLU</v>
      </c>
      <c r="K111" s="7" t="str">
        <f t="shared" si="13"/>
        <v>0</v>
      </c>
      <c r="L111" s="7">
        <v>0</v>
      </c>
      <c r="M111" s="7" t="s">
        <v>2609</v>
      </c>
      <c r="N111" s="7">
        <f>_xlfn.XLOOKUP(A111,[1]SKU!$A:$A,[1]SKU!$Z:$Z)</f>
        <v>480000</v>
      </c>
    </row>
    <row r="112" spans="1:14" s="7" customFormat="1">
      <c r="A112" s="1" t="s">
        <v>175</v>
      </c>
      <c r="B112" s="3" t="s">
        <v>3</v>
      </c>
      <c r="C112" s="3" t="s">
        <v>176</v>
      </c>
      <c r="D112" s="1" t="s">
        <v>177</v>
      </c>
      <c r="E112" s="7" t="str">
        <f t="shared" si="7"/>
        <v>GSL</v>
      </c>
      <c r="F112" s="7" t="str">
        <f t="shared" si="8"/>
        <v>WOM</v>
      </c>
      <c r="G112" s="7" t="str">
        <f t="shared" si="9"/>
        <v>TSB</v>
      </c>
      <c r="H112" s="7" t="str">
        <f t="shared" si="10"/>
        <v>ONE</v>
      </c>
      <c r="I112" s="7" t="str">
        <f t="shared" si="11"/>
        <v>APH</v>
      </c>
      <c r="J112" s="7" t="str">
        <f t="shared" si="12"/>
        <v>CRE</v>
      </c>
      <c r="K112" s="7" t="str">
        <f t="shared" si="13"/>
        <v>L</v>
      </c>
      <c r="L112" s="7" t="s">
        <v>2101</v>
      </c>
      <c r="M112" s="7" t="s">
        <v>4462</v>
      </c>
      <c r="N112" s="7">
        <f>_xlfn.XLOOKUP(A112,[1]SKU!$A:$A,[1]SKU!$Z:$Z)</f>
        <v>810000</v>
      </c>
    </row>
    <row r="113" spans="1:14" s="7" customFormat="1">
      <c r="A113" s="1" t="s">
        <v>178</v>
      </c>
      <c r="B113" s="3" t="s">
        <v>3</v>
      </c>
      <c r="C113" s="3" t="s">
        <v>81</v>
      </c>
      <c r="D113" s="1" t="s">
        <v>179</v>
      </c>
      <c r="E113" s="7" t="str">
        <f t="shared" si="7"/>
        <v>GBA</v>
      </c>
      <c r="F113" s="7" t="str">
        <f t="shared" si="8"/>
        <v>MEN</v>
      </c>
      <c r="G113" s="7" t="str">
        <f t="shared" si="9"/>
        <v>TSP</v>
      </c>
      <c r="H113" s="7" t="str">
        <f t="shared" si="10"/>
        <v>ONE</v>
      </c>
      <c r="I113" s="7" t="str">
        <f t="shared" si="11"/>
        <v>JUN</v>
      </c>
      <c r="J113" s="7" t="str">
        <f t="shared" si="12"/>
        <v>JBG</v>
      </c>
      <c r="K113" s="7" t="str">
        <f t="shared" si="13"/>
        <v>S</v>
      </c>
      <c r="L113" s="7" t="s">
        <v>2085</v>
      </c>
      <c r="M113" s="7" t="s">
        <v>4462</v>
      </c>
      <c r="N113" s="7">
        <f>_xlfn.XLOOKUP(A113,[1]SKU!$A:$A,[1]SKU!$Z:$Z)</f>
        <v>890000</v>
      </c>
    </row>
    <row r="114" spans="1:14" s="7" customFormat="1">
      <c r="A114" s="1" t="s">
        <v>4613</v>
      </c>
      <c r="B114" s="3" t="s">
        <v>4472</v>
      </c>
      <c r="C114" s="3" t="s">
        <v>4498</v>
      </c>
      <c r="D114" s="1" t="s">
        <v>4614</v>
      </c>
      <c r="E114" s="7" t="str">
        <f t="shared" si="7"/>
        <v>HAM</v>
      </c>
      <c r="F114" s="7" t="str">
        <f t="shared" si="8"/>
        <v>UNI</v>
      </c>
      <c r="G114" s="7" t="str">
        <f t="shared" si="9"/>
        <v>JEW</v>
      </c>
      <c r="H114" s="7" t="str">
        <f t="shared" si="10"/>
        <v>NEC</v>
      </c>
      <c r="I114" s="7" t="str">
        <f t="shared" si="11"/>
        <v>134</v>
      </c>
      <c r="J114" s="7" t="str">
        <f t="shared" si="12"/>
        <v>MIX</v>
      </c>
      <c r="K114" s="7" t="str">
        <f t="shared" si="13"/>
        <v>0</v>
      </c>
      <c r="L114" s="7">
        <v>0</v>
      </c>
      <c r="M114" s="7" t="s">
        <v>2609</v>
      </c>
      <c r="N114" s="7">
        <f>_xlfn.XLOOKUP(A114,[1]SKU!$A:$A,[1]SKU!$Z:$Z)</f>
        <v>1800000</v>
      </c>
    </row>
    <row r="115" spans="1:14" s="7" customFormat="1">
      <c r="A115" s="1" t="s">
        <v>180</v>
      </c>
      <c r="B115" s="3" t="s">
        <v>19</v>
      </c>
      <c r="C115" s="3" t="s">
        <v>181</v>
      </c>
      <c r="D115" s="1" t="s">
        <v>182</v>
      </c>
      <c r="E115" s="7" t="str">
        <f t="shared" si="7"/>
        <v>OTH</v>
      </c>
      <c r="F115" s="7" t="str">
        <f t="shared" si="8"/>
        <v>UNI</v>
      </c>
      <c r="G115" s="7" t="str">
        <f t="shared" si="9"/>
        <v>SOU</v>
      </c>
      <c r="H115" s="7" t="str">
        <f t="shared" si="10"/>
        <v>HFS</v>
      </c>
      <c r="I115" s="7" t="str">
        <f t="shared" si="11"/>
        <v>STE</v>
      </c>
      <c r="J115" s="7" t="str">
        <f t="shared" si="12"/>
        <v>BLU</v>
      </c>
      <c r="K115" s="7" t="str">
        <f t="shared" si="13"/>
        <v>0</v>
      </c>
      <c r="L115" s="7">
        <v>0</v>
      </c>
      <c r="M115" s="7" t="s">
        <v>2609</v>
      </c>
      <c r="N115" s="7">
        <f>_xlfn.XLOOKUP(A115,[1]SKU!$A:$A,[1]SKU!$Z:$Z)</f>
        <v>355000</v>
      </c>
    </row>
    <row r="116" spans="1:14" s="7" customFormat="1">
      <c r="A116" s="1" t="s">
        <v>4615</v>
      </c>
      <c r="B116" s="3" t="s">
        <v>4472</v>
      </c>
      <c r="C116" s="3" t="s">
        <v>172</v>
      </c>
      <c r="D116" s="1" t="s">
        <v>4616</v>
      </c>
      <c r="E116" s="7" t="str">
        <f t="shared" si="7"/>
        <v>DSP</v>
      </c>
      <c r="F116" s="7" t="str">
        <f t="shared" si="8"/>
        <v>UNI</v>
      </c>
      <c r="G116" s="7" t="str">
        <f t="shared" si="9"/>
        <v>FWR</v>
      </c>
      <c r="H116" s="7" t="str">
        <f t="shared" si="10"/>
        <v>LES</v>
      </c>
      <c r="I116" s="7" t="str">
        <f t="shared" si="11"/>
        <v>ALF</v>
      </c>
      <c r="J116" s="7" t="str">
        <f t="shared" si="12"/>
        <v>RBK</v>
      </c>
      <c r="K116" s="7" t="str">
        <f t="shared" si="13"/>
        <v>40</v>
      </c>
      <c r="L116" s="7">
        <v>0</v>
      </c>
      <c r="M116" s="7" t="s">
        <v>2609</v>
      </c>
      <c r="N116" s="7">
        <f>_xlfn.XLOOKUP(A116,[1]SKU!$A:$A,[1]SKU!$Z:$Z)</f>
        <v>7800000</v>
      </c>
    </row>
    <row r="117" spans="1:14" s="7" customFormat="1">
      <c r="A117" s="1" t="s">
        <v>4617</v>
      </c>
      <c r="B117" s="3" t="s">
        <v>4472</v>
      </c>
      <c r="C117" s="3" t="s">
        <v>4618</v>
      </c>
      <c r="D117" s="1" t="s">
        <v>4619</v>
      </c>
      <c r="E117" s="7" t="str">
        <f t="shared" si="7"/>
        <v>EDE</v>
      </c>
      <c r="F117" s="7" t="str">
        <f t="shared" si="8"/>
        <v>UNI</v>
      </c>
      <c r="G117" s="7" t="str">
        <f t="shared" si="9"/>
        <v>BAG</v>
      </c>
      <c r="H117" s="7" t="str">
        <f t="shared" si="10"/>
        <v>ETB</v>
      </c>
      <c r="I117" s="7" t="str">
        <f t="shared" si="11"/>
        <v>MCU</v>
      </c>
      <c r="J117" s="7" t="str">
        <f t="shared" si="12"/>
        <v>MIX</v>
      </c>
      <c r="K117" s="7" t="str">
        <f t="shared" si="13"/>
        <v>0</v>
      </c>
      <c r="L117" s="7">
        <v>0</v>
      </c>
      <c r="M117" s="7" t="s">
        <v>2609</v>
      </c>
      <c r="N117" s="7">
        <f>_xlfn.XLOOKUP(A117,[1]SKU!$A:$A,[1]SKU!$Z:$Z)</f>
        <v>495000</v>
      </c>
    </row>
    <row r="118" spans="1:14" s="7" customFormat="1">
      <c r="A118" s="1" t="s">
        <v>4620</v>
      </c>
      <c r="B118" s="3" t="s">
        <v>4472</v>
      </c>
      <c r="C118" s="3" t="s">
        <v>4621</v>
      </c>
      <c r="D118" s="1" t="s">
        <v>4622</v>
      </c>
      <c r="E118" s="7" t="str">
        <f t="shared" si="7"/>
        <v>HAM</v>
      </c>
      <c r="F118" s="7" t="str">
        <f t="shared" si="8"/>
        <v>UNI</v>
      </c>
      <c r="G118" s="7" t="str">
        <f t="shared" si="9"/>
        <v>JEW</v>
      </c>
      <c r="H118" s="7" t="str">
        <f t="shared" si="10"/>
        <v>NEC</v>
      </c>
      <c r="I118" s="7" t="str">
        <f t="shared" si="11"/>
        <v>001</v>
      </c>
      <c r="J118" s="7" t="str">
        <f t="shared" si="12"/>
        <v>MIX</v>
      </c>
      <c r="K118" s="7" t="str">
        <f t="shared" si="13"/>
        <v>0</v>
      </c>
      <c r="L118" s="7">
        <v>0</v>
      </c>
      <c r="M118" s="7" t="s">
        <v>2609</v>
      </c>
      <c r="N118" s="7">
        <f>_xlfn.XLOOKUP(A118,[1]SKU!$A:$A,[1]SKU!$Z:$Z)</f>
        <v>7600000</v>
      </c>
    </row>
    <row r="119" spans="1:14" s="7" customFormat="1">
      <c r="A119" s="1" t="s">
        <v>4623</v>
      </c>
      <c r="B119" s="3" t="s">
        <v>4472</v>
      </c>
      <c r="C119" s="3" t="s">
        <v>94</v>
      </c>
      <c r="D119" s="1" t="s">
        <v>4624</v>
      </c>
      <c r="E119" s="7" t="str">
        <f t="shared" si="7"/>
        <v>NGO</v>
      </c>
      <c r="F119" s="7" t="str">
        <f t="shared" si="8"/>
        <v>UNI</v>
      </c>
      <c r="G119" s="7" t="str">
        <f t="shared" si="9"/>
        <v>FWR</v>
      </c>
      <c r="H119" s="7" t="str">
        <f t="shared" si="10"/>
        <v>SNE</v>
      </c>
      <c r="I119" s="7" t="str">
        <f t="shared" si="11"/>
        <v>SGS</v>
      </c>
      <c r="J119" s="7" t="str">
        <f t="shared" si="12"/>
        <v>PEA</v>
      </c>
      <c r="K119" s="7" t="str">
        <f t="shared" si="13"/>
        <v>43</v>
      </c>
      <c r="L119" s="7">
        <v>0</v>
      </c>
      <c r="M119" s="7" t="s">
        <v>2609</v>
      </c>
      <c r="N119" s="7">
        <f>_xlfn.XLOOKUP(A119,[1]SKU!$A:$A,[1]SKU!$Z:$Z)</f>
        <v>3850000</v>
      </c>
    </row>
    <row r="120" spans="1:14" s="7" customFormat="1">
      <c r="A120" s="1" t="s">
        <v>4625</v>
      </c>
      <c r="B120" s="3" t="s">
        <v>4472</v>
      </c>
      <c r="C120" s="3" t="s">
        <v>184</v>
      </c>
      <c r="D120" s="1" t="s">
        <v>4626</v>
      </c>
      <c r="E120" s="7" t="str">
        <f t="shared" si="7"/>
        <v>RUN</v>
      </c>
      <c r="F120" s="7" t="str">
        <f t="shared" si="8"/>
        <v>UNI</v>
      </c>
      <c r="G120" s="7" t="str">
        <f t="shared" si="9"/>
        <v>HDR</v>
      </c>
      <c r="H120" s="7" t="str">
        <f t="shared" si="10"/>
        <v>FBA</v>
      </c>
      <c r="I120" s="7" t="str">
        <f t="shared" si="11"/>
        <v>THG</v>
      </c>
      <c r="J120" s="7" t="str">
        <f t="shared" si="12"/>
        <v>MIX</v>
      </c>
      <c r="K120" s="7" t="str">
        <f t="shared" si="13"/>
        <v>0</v>
      </c>
      <c r="L120" s="7">
        <v>0</v>
      </c>
      <c r="M120" s="7" t="s">
        <v>2609</v>
      </c>
      <c r="N120" s="7">
        <f>_xlfn.XLOOKUP(A120,[1]SKU!$A:$A,[1]SKU!$Z:$Z)</f>
        <v>6372000</v>
      </c>
    </row>
    <row r="121" spans="1:14" s="7" customFormat="1">
      <c r="A121" s="1" t="s">
        <v>185</v>
      </c>
      <c r="B121" s="3" t="s">
        <v>3</v>
      </c>
      <c r="C121" s="3" t="s">
        <v>84</v>
      </c>
      <c r="D121" s="1" t="s">
        <v>186</v>
      </c>
      <c r="E121" s="7" t="str">
        <f t="shared" si="7"/>
        <v>GOR</v>
      </c>
      <c r="F121" s="7" t="str">
        <f t="shared" si="8"/>
        <v>MEN</v>
      </c>
      <c r="G121" s="7" t="str">
        <f t="shared" si="9"/>
        <v>TSS</v>
      </c>
      <c r="H121" s="7" t="str">
        <f t="shared" si="10"/>
        <v>ONE</v>
      </c>
      <c r="I121" s="7" t="str">
        <f t="shared" si="11"/>
        <v>HAI</v>
      </c>
      <c r="J121" s="7" t="str">
        <f t="shared" si="12"/>
        <v>BLK</v>
      </c>
      <c r="K121" s="7" t="str">
        <f t="shared" si="13"/>
        <v>M</v>
      </c>
      <c r="L121" s="7" t="s">
        <v>2018</v>
      </c>
      <c r="M121" s="7" t="s">
        <v>4462</v>
      </c>
      <c r="N121" s="7">
        <f>_xlfn.XLOOKUP(A121,[1]SKU!$A:$A,[1]SKU!$Z:$Z)</f>
        <v>790000</v>
      </c>
    </row>
    <row r="122" spans="1:14" s="7" customFormat="1">
      <c r="A122" s="1" t="s">
        <v>187</v>
      </c>
      <c r="B122" s="3" t="s">
        <v>3</v>
      </c>
      <c r="C122" s="3" t="s">
        <v>188</v>
      </c>
      <c r="D122" s="1" t="s">
        <v>189</v>
      </c>
      <c r="E122" s="7" t="str">
        <f t="shared" si="7"/>
        <v>GOR</v>
      </c>
      <c r="F122" s="7" t="str">
        <f t="shared" si="8"/>
        <v>MEN</v>
      </c>
      <c r="G122" s="7" t="str">
        <f t="shared" si="9"/>
        <v>TSS</v>
      </c>
      <c r="H122" s="7" t="str">
        <f t="shared" si="10"/>
        <v>ONE</v>
      </c>
      <c r="I122" s="7" t="str">
        <f t="shared" si="11"/>
        <v>MOT</v>
      </c>
      <c r="J122" s="7" t="str">
        <f t="shared" si="12"/>
        <v>WHI</v>
      </c>
      <c r="K122" s="7" t="str">
        <f t="shared" si="13"/>
        <v>S</v>
      </c>
      <c r="L122" s="7" t="s">
        <v>2018</v>
      </c>
      <c r="M122" s="7" t="s">
        <v>4462</v>
      </c>
      <c r="N122" s="7">
        <f>_xlfn.XLOOKUP(A122,[1]SKU!$A:$A,[1]SKU!$Z:$Z)</f>
        <v>890000</v>
      </c>
    </row>
    <row r="123" spans="1:14" s="7" customFormat="1">
      <c r="A123" s="1" t="s">
        <v>4627</v>
      </c>
      <c r="B123" s="3" t="s">
        <v>4472</v>
      </c>
      <c r="C123" s="3" t="s">
        <v>4628</v>
      </c>
      <c r="D123" s="1" t="s">
        <v>4629</v>
      </c>
      <c r="E123" s="7" t="str">
        <f t="shared" si="7"/>
        <v>HAM</v>
      </c>
      <c r="F123" s="7" t="str">
        <f t="shared" si="8"/>
        <v>UNI</v>
      </c>
      <c r="G123" s="7" t="str">
        <f t="shared" si="9"/>
        <v>JEW</v>
      </c>
      <c r="H123" s="7" t="str">
        <f t="shared" si="10"/>
        <v>NEC</v>
      </c>
      <c r="I123" s="7" t="str">
        <f t="shared" si="11"/>
        <v>D70</v>
      </c>
      <c r="J123" s="7" t="str">
        <f t="shared" si="12"/>
        <v>MIX</v>
      </c>
      <c r="K123" s="7" t="str">
        <f t="shared" si="13"/>
        <v>0</v>
      </c>
      <c r="L123" s="7">
        <v>0</v>
      </c>
      <c r="M123" s="7" t="s">
        <v>2609</v>
      </c>
      <c r="N123" s="7">
        <f>_xlfn.XLOOKUP(A123,[1]SKU!$A:$A,[1]SKU!$Z:$Z)</f>
        <v>1800000</v>
      </c>
    </row>
    <row r="124" spans="1:14" s="7" customFormat="1">
      <c r="A124" s="1" t="s">
        <v>191</v>
      </c>
      <c r="B124" s="3" t="s">
        <v>19</v>
      </c>
      <c r="C124" s="3" t="s">
        <v>192</v>
      </c>
      <c r="D124" s="1" t="s">
        <v>193</v>
      </c>
      <c r="E124" s="7" t="str">
        <f t="shared" si="7"/>
        <v>OTH</v>
      </c>
      <c r="F124" s="7" t="str">
        <f t="shared" si="8"/>
        <v>UNI</v>
      </c>
      <c r="G124" s="7" t="str">
        <f t="shared" si="9"/>
        <v>HDR</v>
      </c>
      <c r="H124" s="7" t="str">
        <f t="shared" si="10"/>
        <v>CUS</v>
      </c>
      <c r="I124" s="7" t="str">
        <f t="shared" si="11"/>
        <v>VNM</v>
      </c>
      <c r="J124" s="7" t="str">
        <f t="shared" si="12"/>
        <v>BLK</v>
      </c>
      <c r="K124" s="7" t="str">
        <f t="shared" si="13"/>
        <v>0</v>
      </c>
      <c r="L124" s="7">
        <v>0</v>
      </c>
      <c r="M124" s="7" t="s">
        <v>2609</v>
      </c>
      <c r="N124" s="7">
        <f>_xlfn.XLOOKUP(A124,[1]SKU!$A:$A,[1]SKU!$Z:$Z)</f>
        <v>580000</v>
      </c>
    </row>
    <row r="125" spans="1:14" s="7" customFormat="1">
      <c r="A125" s="1" t="s">
        <v>194</v>
      </c>
      <c r="B125" s="3" t="s">
        <v>3</v>
      </c>
      <c r="C125" s="3" t="s">
        <v>58</v>
      </c>
      <c r="D125" s="1" t="s">
        <v>195</v>
      </c>
      <c r="E125" s="7" t="str">
        <f t="shared" si="7"/>
        <v>GLI</v>
      </c>
      <c r="F125" s="7" t="str">
        <f t="shared" si="8"/>
        <v>MEN</v>
      </c>
      <c r="G125" s="7" t="str">
        <f t="shared" si="9"/>
        <v>PAF</v>
      </c>
      <c r="H125" s="7" t="str">
        <f t="shared" si="10"/>
        <v>BBT</v>
      </c>
      <c r="I125" s="7" t="str">
        <f t="shared" si="11"/>
        <v>LIN</v>
      </c>
      <c r="J125" s="7" t="str">
        <f t="shared" si="12"/>
        <v>NAV</v>
      </c>
      <c r="K125" s="7" t="str">
        <f t="shared" si="13"/>
        <v>L</v>
      </c>
      <c r="L125" s="7" t="s">
        <v>2700</v>
      </c>
      <c r="M125" s="7" t="s">
        <v>4467</v>
      </c>
      <c r="N125" s="7">
        <f>_xlfn.XLOOKUP(A125,[1]SKU!$A:$A,[1]SKU!$Z:$Z)</f>
        <v>2690000</v>
      </c>
    </row>
    <row r="126" spans="1:14" s="7" customFormat="1">
      <c r="A126" s="1" t="s">
        <v>4630</v>
      </c>
      <c r="B126" s="3" t="s">
        <v>4472</v>
      </c>
      <c r="C126" s="3" t="s">
        <v>4631</v>
      </c>
      <c r="D126" s="1" t="s">
        <v>4632</v>
      </c>
      <c r="E126" s="7" t="str">
        <f t="shared" si="7"/>
        <v>EDE</v>
      </c>
      <c r="F126" s="7" t="str">
        <f t="shared" si="8"/>
        <v>UNI</v>
      </c>
      <c r="G126" s="7" t="str">
        <f t="shared" si="9"/>
        <v>HDR</v>
      </c>
      <c r="H126" s="7" t="str">
        <f t="shared" si="10"/>
        <v>CUS</v>
      </c>
      <c r="I126" s="7" t="str">
        <f t="shared" si="11"/>
        <v>KIE</v>
      </c>
      <c r="J126" s="7" t="str">
        <f t="shared" si="12"/>
        <v>RED</v>
      </c>
      <c r="K126" s="7" t="str">
        <f t="shared" si="13"/>
        <v>0</v>
      </c>
      <c r="L126" s="7">
        <v>0</v>
      </c>
      <c r="M126" s="7" t="s">
        <v>2609</v>
      </c>
      <c r="N126" s="7">
        <f>_xlfn.XLOOKUP(A126,[1]SKU!$A:$A,[1]SKU!$Z:$Z)</f>
        <v>480000</v>
      </c>
    </row>
    <row r="127" spans="1:14" s="7" customFormat="1">
      <c r="A127" s="1" t="s">
        <v>4633</v>
      </c>
      <c r="B127" s="3" t="s">
        <v>4472</v>
      </c>
      <c r="C127" s="3" t="s">
        <v>196</v>
      </c>
      <c r="D127" s="1" t="s">
        <v>4634</v>
      </c>
      <c r="E127" s="7" t="str">
        <f t="shared" si="7"/>
        <v>DSP</v>
      </c>
      <c r="F127" s="7" t="str">
        <f t="shared" si="8"/>
        <v>UNI</v>
      </c>
      <c r="G127" s="7" t="str">
        <f t="shared" si="9"/>
        <v>BAG</v>
      </c>
      <c r="H127" s="7" t="str">
        <f t="shared" si="10"/>
        <v>CCR</v>
      </c>
      <c r="I127" s="7" t="str">
        <f t="shared" si="11"/>
        <v>AZP</v>
      </c>
      <c r="J127" s="7" t="str">
        <f t="shared" si="12"/>
        <v>BLK</v>
      </c>
      <c r="K127" s="7" t="str">
        <f t="shared" si="13"/>
        <v>0</v>
      </c>
      <c r="L127" s="7">
        <v>0</v>
      </c>
      <c r="M127" s="7" t="s">
        <v>2609</v>
      </c>
      <c r="N127" s="7">
        <f>_xlfn.XLOOKUP(A127,[1]SKU!$A:$A,[1]SKU!$Z:$Z)</f>
        <v>2300000</v>
      </c>
    </row>
    <row r="128" spans="1:14" s="7" customFormat="1">
      <c r="A128" s="1" t="s">
        <v>4635</v>
      </c>
      <c r="B128" s="3" t="s">
        <v>69</v>
      </c>
      <c r="C128" s="3" t="s">
        <v>197</v>
      </c>
      <c r="D128" s="1" t="s">
        <v>4636</v>
      </c>
      <c r="E128" s="7" t="str">
        <f t="shared" si="7"/>
        <v>GCF</v>
      </c>
      <c r="F128" s="7" t="str">
        <f t="shared" si="8"/>
        <v>UNI</v>
      </c>
      <c r="G128" s="7" t="str">
        <f t="shared" si="9"/>
        <v>FNB</v>
      </c>
      <c r="H128" s="7" t="str">
        <f t="shared" si="10"/>
        <v>CFO</v>
      </c>
      <c r="I128" s="7" t="str">
        <f t="shared" si="11"/>
        <v>COC</v>
      </c>
      <c r="J128" s="7" t="str">
        <f t="shared" si="12"/>
        <v>MIX</v>
      </c>
      <c r="K128" s="7" t="str">
        <f t="shared" si="13"/>
        <v>0</v>
      </c>
      <c r="L128" s="7">
        <v>0</v>
      </c>
      <c r="M128" s="7" t="s">
        <v>2609</v>
      </c>
      <c r="N128" s="7">
        <f>_xlfn.XLOOKUP(A128,[1]SKU!$A:$A,[1]SKU!$Z:$Z)</f>
        <v>75000</v>
      </c>
    </row>
    <row r="129" spans="1:14" s="7" customFormat="1">
      <c r="A129" s="1" t="s">
        <v>4637</v>
      </c>
      <c r="B129" s="3" t="s">
        <v>4472</v>
      </c>
      <c r="C129" s="3" t="s">
        <v>198</v>
      </c>
      <c r="D129" s="1" t="s">
        <v>4638</v>
      </c>
      <c r="E129" s="7" t="str">
        <f t="shared" si="7"/>
        <v>DSP</v>
      </c>
      <c r="F129" s="7" t="str">
        <f t="shared" si="8"/>
        <v>UNI</v>
      </c>
      <c r="G129" s="7" t="str">
        <f t="shared" si="9"/>
        <v>FWR</v>
      </c>
      <c r="H129" s="7" t="str">
        <f t="shared" si="10"/>
        <v>LES</v>
      </c>
      <c r="I129" s="7" t="str">
        <f t="shared" si="11"/>
        <v>EL1</v>
      </c>
      <c r="J129" s="7" t="str">
        <f t="shared" si="12"/>
        <v>CHO</v>
      </c>
      <c r="K129" s="7" t="str">
        <f t="shared" si="13"/>
        <v>41</v>
      </c>
      <c r="L129" s="7">
        <v>0</v>
      </c>
      <c r="M129" s="7" t="s">
        <v>2609</v>
      </c>
      <c r="N129" s="7">
        <f>_xlfn.XLOOKUP(A129,[1]SKU!$A:$A,[1]SKU!$Z:$Z)</f>
        <v>6200000</v>
      </c>
    </row>
    <row r="130" spans="1:14" s="7" customFormat="1">
      <c r="A130" s="1" t="s">
        <v>199</v>
      </c>
      <c r="B130" s="3" t="s">
        <v>3</v>
      </c>
      <c r="C130" s="3" t="s">
        <v>38</v>
      </c>
      <c r="D130" s="1" t="s">
        <v>200</v>
      </c>
      <c r="E130" s="7" t="str">
        <f t="shared" si="7"/>
        <v>GBA</v>
      </c>
      <c r="F130" s="7" t="str">
        <f t="shared" si="8"/>
        <v>MEN</v>
      </c>
      <c r="G130" s="7" t="str">
        <f t="shared" si="9"/>
        <v>TSS</v>
      </c>
      <c r="H130" s="7" t="str">
        <f t="shared" si="10"/>
        <v>ONE</v>
      </c>
      <c r="I130" s="7" t="str">
        <f t="shared" si="11"/>
        <v>LOG</v>
      </c>
      <c r="J130" s="7" t="str">
        <f t="shared" si="12"/>
        <v>JBG</v>
      </c>
      <c r="K130" s="7" t="str">
        <f t="shared" si="13"/>
        <v>XXL</v>
      </c>
      <c r="L130" s="7" t="s">
        <v>2018</v>
      </c>
      <c r="M130" s="7" t="s">
        <v>4462</v>
      </c>
      <c r="N130" s="7">
        <f>_xlfn.XLOOKUP(A130,[1]SKU!$A:$A,[1]SKU!$Z:$Z)</f>
        <v>710000</v>
      </c>
    </row>
    <row r="131" spans="1:14" s="7" customFormat="1">
      <c r="A131" s="1" t="s">
        <v>201</v>
      </c>
      <c r="B131" s="3" t="s">
        <v>3</v>
      </c>
      <c r="C131" s="3" t="s">
        <v>23</v>
      </c>
      <c r="D131" s="1" t="s">
        <v>202</v>
      </c>
      <c r="E131" s="7" t="str">
        <f t="shared" ref="E131:E194" si="14">_xlfn.TEXTBEFORE(_xlfn.TEXTAFTER(D131,"-"),"-")</f>
        <v>GSL</v>
      </c>
      <c r="F131" s="7" t="str">
        <f t="shared" ref="F131:F194" si="15">_xlfn.TEXTBEFORE(_xlfn.TEXTAFTER(D131,"-",2),"-")</f>
        <v>MEN</v>
      </c>
      <c r="G131" s="7" t="str">
        <f t="shared" ref="G131:G194" si="16">_xlfn.TEXTBEFORE(_xlfn.TEXTAFTER(D131,"-",3),"-")</f>
        <v>TTS</v>
      </c>
      <c r="H131" s="7" t="str">
        <f t="shared" ref="H131:H194" si="17">_xlfn.TEXTBEFORE(_xlfn.TEXTAFTER(D131,"-",4),"-")</f>
        <v>ONE</v>
      </c>
      <c r="I131" s="7" t="str">
        <f t="shared" ref="I131:I194" si="18">_xlfn.TEXTBEFORE(_xlfn.TEXTAFTER(D131,"-",5),"-")</f>
        <v>URB</v>
      </c>
      <c r="J131" s="7" t="str">
        <f t="shared" ref="J131:J194" si="19">_xlfn.TEXTBEFORE(_xlfn.TEXTAFTER(D131,"-",6),"-")</f>
        <v>WHI</v>
      </c>
      <c r="K131" s="7" t="str">
        <f t="shared" ref="K131:K194" si="20">_xlfn.TEXTAFTER(D131,"-",7)</f>
        <v>L</v>
      </c>
      <c r="L131" s="7" t="s">
        <v>2310</v>
      </c>
      <c r="M131" s="7" t="s">
        <v>4469</v>
      </c>
      <c r="N131" s="7">
        <f>_xlfn.XLOOKUP(A131,[1]SKU!$A:$A,[1]SKU!$Z:$Z)</f>
        <v>750000</v>
      </c>
    </row>
    <row r="132" spans="1:14" s="7" customFormat="1">
      <c r="A132" s="1" t="s">
        <v>4639</v>
      </c>
      <c r="B132" s="3" t="s">
        <v>4472</v>
      </c>
      <c r="C132" s="3" t="s">
        <v>100</v>
      </c>
      <c r="D132" s="1" t="s">
        <v>4640</v>
      </c>
      <c r="E132" s="7" t="str">
        <f t="shared" si="14"/>
        <v>PSD</v>
      </c>
      <c r="F132" s="7" t="str">
        <f t="shared" si="15"/>
        <v>UNI</v>
      </c>
      <c r="G132" s="7" t="str">
        <f t="shared" si="16"/>
        <v>SOU</v>
      </c>
      <c r="H132" s="7" t="str">
        <f t="shared" si="17"/>
        <v>DEC</v>
      </c>
      <c r="I132" s="7" t="str">
        <f t="shared" si="18"/>
        <v>LBA</v>
      </c>
      <c r="J132" s="7" t="str">
        <f t="shared" si="19"/>
        <v>GRN</v>
      </c>
      <c r="K132" s="7" t="str">
        <f t="shared" si="20"/>
        <v>18</v>
      </c>
      <c r="L132" s="7">
        <v>0</v>
      </c>
      <c r="M132" s="7" t="s">
        <v>2609</v>
      </c>
      <c r="N132" s="7">
        <f>_xlfn.XLOOKUP(A132,[1]SKU!$A:$A,[1]SKU!$Z:$Z)</f>
        <v>550000</v>
      </c>
    </row>
    <row r="133" spans="1:14" s="7" customFormat="1">
      <c r="A133" s="1" t="s">
        <v>4641</v>
      </c>
      <c r="B133" s="3" t="s">
        <v>4472</v>
      </c>
      <c r="C133" s="3" t="s">
        <v>4642</v>
      </c>
      <c r="D133" s="1" t="s">
        <v>4643</v>
      </c>
      <c r="E133" s="7" t="str">
        <f t="shared" si="14"/>
        <v>BLS</v>
      </c>
      <c r="F133" s="7" t="str">
        <f t="shared" si="15"/>
        <v>UNI</v>
      </c>
      <c r="G133" s="7" t="str">
        <f t="shared" si="16"/>
        <v>FNB</v>
      </c>
      <c r="H133" s="7" t="str">
        <f t="shared" si="17"/>
        <v>SAL</v>
      </c>
      <c r="I133" s="7" t="str">
        <f t="shared" si="18"/>
        <v>007</v>
      </c>
      <c r="J133" s="7" t="str">
        <f t="shared" si="19"/>
        <v>MIX</v>
      </c>
      <c r="K133" s="7" t="str">
        <f t="shared" si="20"/>
        <v>70g</v>
      </c>
      <c r="L133" s="7">
        <v>0</v>
      </c>
      <c r="M133" s="7" t="s">
        <v>2609</v>
      </c>
      <c r="N133" s="7">
        <f>_xlfn.XLOOKUP(A133,[1]SKU!$A:$A,[1]SKU!$Z:$Z)</f>
        <v>115000</v>
      </c>
    </row>
    <row r="134" spans="1:14" s="7" customFormat="1">
      <c r="A134" s="1" t="s">
        <v>203</v>
      </c>
      <c r="B134" s="3" t="s">
        <v>3</v>
      </c>
      <c r="C134" s="3" t="s">
        <v>204</v>
      </c>
      <c r="D134" s="1" t="s">
        <v>205</v>
      </c>
      <c r="E134" s="7" t="str">
        <f t="shared" si="14"/>
        <v>GFI</v>
      </c>
      <c r="F134" s="7" t="str">
        <f t="shared" si="15"/>
        <v>MEN</v>
      </c>
      <c r="G134" s="7" t="str">
        <f t="shared" si="16"/>
        <v>HLS</v>
      </c>
      <c r="H134" s="7" t="str">
        <f t="shared" si="17"/>
        <v>ONE</v>
      </c>
      <c r="I134" s="7" t="str">
        <f t="shared" si="18"/>
        <v>GEC</v>
      </c>
      <c r="J134" s="7" t="str">
        <f t="shared" si="19"/>
        <v>RED</v>
      </c>
      <c r="K134" s="7" t="str">
        <f t="shared" si="20"/>
        <v>L</v>
      </c>
      <c r="L134" s="7" t="s">
        <v>2494</v>
      </c>
      <c r="M134" s="7" t="s">
        <v>4466</v>
      </c>
      <c r="N134" s="7">
        <f>_xlfn.XLOOKUP(A134,[1]SKU!$A:$A,[1]SKU!$Z:$Z)</f>
        <v>1590000</v>
      </c>
    </row>
    <row r="135" spans="1:14" s="7" customFormat="1">
      <c r="A135" s="1" t="s">
        <v>206</v>
      </c>
      <c r="B135" s="3" t="s">
        <v>3</v>
      </c>
      <c r="C135" s="3" t="s">
        <v>113</v>
      </c>
      <c r="D135" s="1" t="s">
        <v>207</v>
      </c>
      <c r="E135" s="7" t="str">
        <f t="shared" si="14"/>
        <v>GBA</v>
      </c>
      <c r="F135" s="7" t="str">
        <f t="shared" si="15"/>
        <v>WOM</v>
      </c>
      <c r="G135" s="7" t="str">
        <f t="shared" si="16"/>
        <v>CRO</v>
      </c>
      <c r="H135" s="7" t="str">
        <f t="shared" si="17"/>
        <v>ONE</v>
      </c>
      <c r="I135" s="7" t="str">
        <f t="shared" si="18"/>
        <v>TCS</v>
      </c>
      <c r="J135" s="7" t="str">
        <f t="shared" si="19"/>
        <v>BLK</v>
      </c>
      <c r="K135" s="7" t="str">
        <f t="shared" si="20"/>
        <v>S</v>
      </c>
      <c r="L135" s="7" t="s">
        <v>2453</v>
      </c>
      <c r="M135" s="7" t="s">
        <v>4463</v>
      </c>
      <c r="N135" s="7">
        <f>_xlfn.XLOOKUP(A135,[1]SKU!$A:$A,[1]SKU!$Z:$Z)</f>
        <v>1190000</v>
      </c>
    </row>
    <row r="136" spans="1:14" s="7" customFormat="1">
      <c r="A136" s="1" t="s">
        <v>4644</v>
      </c>
      <c r="B136" s="3" t="s">
        <v>4472</v>
      </c>
      <c r="C136" s="3" t="s">
        <v>208</v>
      </c>
      <c r="D136" s="1" t="s">
        <v>4645</v>
      </c>
      <c r="E136" s="7" t="str">
        <f t="shared" si="14"/>
        <v>DSP</v>
      </c>
      <c r="F136" s="7" t="str">
        <f t="shared" si="15"/>
        <v>UNI</v>
      </c>
      <c r="G136" s="7" t="str">
        <f t="shared" si="16"/>
        <v>FWR</v>
      </c>
      <c r="H136" s="7" t="str">
        <f t="shared" si="17"/>
        <v>HDB</v>
      </c>
      <c r="I136" s="7" t="str">
        <f t="shared" si="18"/>
        <v>STL</v>
      </c>
      <c r="J136" s="7" t="str">
        <f t="shared" si="19"/>
        <v>BUR</v>
      </c>
      <c r="K136" s="7" t="str">
        <f t="shared" si="20"/>
        <v>46</v>
      </c>
      <c r="L136" s="7">
        <v>0</v>
      </c>
      <c r="M136" s="7" t="s">
        <v>2609</v>
      </c>
      <c r="N136" s="7">
        <f>_xlfn.XLOOKUP(A136,[1]SKU!$A:$A,[1]SKU!$Z:$Z)</f>
        <v>7800000</v>
      </c>
    </row>
    <row r="137" spans="1:14" s="7" customFormat="1">
      <c r="A137" s="1" t="s">
        <v>4646</v>
      </c>
      <c r="B137" s="3" t="s">
        <v>4472</v>
      </c>
      <c r="C137" s="3" t="s">
        <v>209</v>
      </c>
      <c r="D137" s="1" t="s">
        <v>4647</v>
      </c>
      <c r="E137" s="7" t="str">
        <f t="shared" si="14"/>
        <v>DSP</v>
      </c>
      <c r="F137" s="7" t="str">
        <f t="shared" si="15"/>
        <v>UNI</v>
      </c>
      <c r="G137" s="7" t="str">
        <f t="shared" si="16"/>
        <v>BAG</v>
      </c>
      <c r="H137" s="7" t="str">
        <f t="shared" si="17"/>
        <v>CLU</v>
      </c>
      <c r="I137" s="7" t="str">
        <f t="shared" si="18"/>
        <v>CHA</v>
      </c>
      <c r="J137" s="7" t="str">
        <f t="shared" si="19"/>
        <v>BPA</v>
      </c>
      <c r="K137" s="7" t="str">
        <f t="shared" si="20"/>
        <v>0</v>
      </c>
      <c r="L137" s="7">
        <v>0</v>
      </c>
      <c r="M137" s="7" t="s">
        <v>2609</v>
      </c>
      <c r="N137" s="7">
        <f>_xlfn.XLOOKUP(A137,[1]SKU!$A:$A,[1]SKU!$Z:$Z)</f>
        <v>1300000</v>
      </c>
    </row>
    <row r="138" spans="1:14" s="7" customFormat="1">
      <c r="A138" s="1" t="s">
        <v>4648</v>
      </c>
      <c r="B138" s="3" t="s">
        <v>4472</v>
      </c>
      <c r="C138" s="3" t="s">
        <v>172</v>
      </c>
      <c r="D138" s="1" t="s">
        <v>4649</v>
      </c>
      <c r="E138" s="7" t="str">
        <f t="shared" si="14"/>
        <v>DSP</v>
      </c>
      <c r="F138" s="7" t="str">
        <f t="shared" si="15"/>
        <v>UNI</v>
      </c>
      <c r="G138" s="7" t="str">
        <f t="shared" si="16"/>
        <v>FWR</v>
      </c>
      <c r="H138" s="7" t="str">
        <f t="shared" si="17"/>
        <v>LES</v>
      </c>
      <c r="I138" s="7" t="str">
        <f t="shared" si="18"/>
        <v>ALF</v>
      </c>
      <c r="J138" s="7" t="str">
        <f t="shared" si="19"/>
        <v>DBN</v>
      </c>
      <c r="K138" s="7" t="str">
        <f t="shared" si="20"/>
        <v>48</v>
      </c>
      <c r="L138" s="7">
        <v>0</v>
      </c>
      <c r="M138" s="7" t="s">
        <v>2609</v>
      </c>
      <c r="N138" s="7">
        <f>_xlfn.XLOOKUP(A138,[1]SKU!$A:$A,[1]SKU!$Z:$Z)</f>
        <v>7800000</v>
      </c>
    </row>
    <row r="139" spans="1:14" s="7" customFormat="1">
      <c r="A139" s="1" t="s">
        <v>210</v>
      </c>
      <c r="B139" s="3" t="s">
        <v>3</v>
      </c>
      <c r="C139" s="3" t="s">
        <v>110</v>
      </c>
      <c r="D139" s="1" t="s">
        <v>211</v>
      </c>
      <c r="E139" s="7" t="str">
        <f t="shared" si="14"/>
        <v>GBA</v>
      </c>
      <c r="F139" s="7" t="str">
        <f t="shared" si="15"/>
        <v>MEN</v>
      </c>
      <c r="G139" s="7" t="str">
        <f t="shared" si="16"/>
        <v>TSS</v>
      </c>
      <c r="H139" s="7" t="str">
        <f t="shared" si="17"/>
        <v>ONE</v>
      </c>
      <c r="I139" s="7" t="str">
        <f t="shared" si="18"/>
        <v>TLT</v>
      </c>
      <c r="J139" s="7" t="str">
        <f t="shared" si="19"/>
        <v>BLK</v>
      </c>
      <c r="K139" s="7" t="str">
        <f t="shared" si="20"/>
        <v>XXL</v>
      </c>
      <c r="L139" s="7" t="s">
        <v>2018</v>
      </c>
      <c r="M139" s="7" t="s">
        <v>4462</v>
      </c>
      <c r="N139" s="7">
        <f>_xlfn.XLOOKUP(A139,[1]SKU!$A:$A,[1]SKU!$Z:$Z)</f>
        <v>710000</v>
      </c>
    </row>
    <row r="140" spans="1:14" s="7" customFormat="1">
      <c r="A140" s="1" t="s">
        <v>212</v>
      </c>
      <c r="B140" s="3" t="s">
        <v>3</v>
      </c>
      <c r="C140" s="3" t="s">
        <v>38</v>
      </c>
      <c r="D140" s="1" t="s">
        <v>213</v>
      </c>
      <c r="E140" s="7" t="str">
        <f t="shared" si="14"/>
        <v>GFI</v>
      </c>
      <c r="F140" s="7" t="str">
        <f t="shared" si="15"/>
        <v>MEN</v>
      </c>
      <c r="G140" s="7" t="str">
        <f t="shared" si="16"/>
        <v>SHS</v>
      </c>
      <c r="H140" s="7" t="str">
        <f t="shared" si="17"/>
        <v>EBT</v>
      </c>
      <c r="I140" s="7" t="str">
        <f t="shared" si="18"/>
        <v>LOG</v>
      </c>
      <c r="J140" s="7" t="str">
        <f t="shared" si="19"/>
        <v>BLK</v>
      </c>
      <c r="K140" s="7" t="str">
        <f t="shared" si="20"/>
        <v>S</v>
      </c>
      <c r="L140" s="7" t="s">
        <v>2752</v>
      </c>
      <c r="M140" s="7" t="s">
        <v>4463</v>
      </c>
      <c r="N140" s="7">
        <f>_xlfn.XLOOKUP(A140,[1]SKU!$A:$A,[1]SKU!$Z:$Z)</f>
        <v>1050000</v>
      </c>
    </row>
    <row r="141" spans="1:14" s="7" customFormat="1">
      <c r="A141" s="1" t="s">
        <v>214</v>
      </c>
      <c r="B141" s="3" t="s">
        <v>3</v>
      </c>
      <c r="C141" s="3" t="s">
        <v>12</v>
      </c>
      <c r="D141" s="1" t="s">
        <v>215</v>
      </c>
      <c r="E141" s="7" t="str">
        <f t="shared" si="14"/>
        <v>GOR</v>
      </c>
      <c r="F141" s="7" t="str">
        <f t="shared" si="15"/>
        <v>MEN</v>
      </c>
      <c r="G141" s="7" t="str">
        <f t="shared" si="16"/>
        <v>TSS</v>
      </c>
      <c r="H141" s="7" t="str">
        <f t="shared" si="17"/>
        <v>ONE</v>
      </c>
      <c r="I141" s="7" t="str">
        <f t="shared" si="18"/>
        <v>STC</v>
      </c>
      <c r="J141" s="7" t="str">
        <f t="shared" si="19"/>
        <v>WHI</v>
      </c>
      <c r="K141" s="7" t="str">
        <f t="shared" si="20"/>
        <v>L</v>
      </c>
      <c r="L141" s="7" t="s">
        <v>2018</v>
      </c>
      <c r="M141" s="7" t="s">
        <v>4462</v>
      </c>
      <c r="N141" s="7">
        <f>_xlfn.XLOOKUP(A141,[1]SKU!$A:$A,[1]SKU!$Z:$Z)</f>
        <v>790000</v>
      </c>
    </row>
    <row r="142" spans="1:14" s="7" customFormat="1">
      <c r="A142" s="1" t="s">
        <v>4650</v>
      </c>
      <c r="B142" s="3" t="s">
        <v>4472</v>
      </c>
      <c r="C142" s="3" t="s">
        <v>216</v>
      </c>
      <c r="D142" s="1" t="s">
        <v>4651</v>
      </c>
      <c r="E142" s="7" t="str">
        <f t="shared" si="14"/>
        <v>DSP</v>
      </c>
      <c r="F142" s="7" t="str">
        <f t="shared" si="15"/>
        <v>UNI</v>
      </c>
      <c r="G142" s="7" t="str">
        <f t="shared" si="16"/>
        <v>FWR</v>
      </c>
      <c r="H142" s="7" t="str">
        <f t="shared" si="17"/>
        <v>LES</v>
      </c>
      <c r="I142" s="7" t="str">
        <f t="shared" si="18"/>
        <v>BOX</v>
      </c>
      <c r="J142" s="7" t="str">
        <f t="shared" si="19"/>
        <v>TUR</v>
      </c>
      <c r="K142" s="7" t="str">
        <f t="shared" si="20"/>
        <v>41</v>
      </c>
      <c r="L142" s="7">
        <v>0</v>
      </c>
      <c r="M142" s="7" t="s">
        <v>2609</v>
      </c>
      <c r="N142" s="7">
        <f>_xlfn.XLOOKUP(A142,[1]SKU!$A:$A,[1]SKU!$Z:$Z)</f>
        <v>6200000</v>
      </c>
    </row>
    <row r="143" spans="1:14" s="7" customFormat="1">
      <c r="A143" s="1" t="s">
        <v>4652</v>
      </c>
      <c r="B143" s="3" t="s">
        <v>4472</v>
      </c>
      <c r="C143" s="3" t="s">
        <v>4507</v>
      </c>
      <c r="D143" s="1" t="s">
        <v>4653</v>
      </c>
      <c r="E143" s="7" t="str">
        <f t="shared" si="14"/>
        <v>HAM</v>
      </c>
      <c r="F143" s="7" t="str">
        <f t="shared" si="15"/>
        <v>UNI</v>
      </c>
      <c r="G143" s="7" t="str">
        <f t="shared" si="16"/>
        <v>JEW</v>
      </c>
      <c r="H143" s="7" t="str">
        <f t="shared" si="17"/>
        <v>NEC</v>
      </c>
      <c r="I143" s="7" t="str">
        <f t="shared" si="18"/>
        <v>139</v>
      </c>
      <c r="J143" s="7" t="str">
        <f t="shared" si="19"/>
        <v>MIX</v>
      </c>
      <c r="K143" s="7" t="str">
        <f t="shared" si="20"/>
        <v>0</v>
      </c>
      <c r="L143" s="7">
        <v>0</v>
      </c>
      <c r="M143" s="7" t="s">
        <v>2609</v>
      </c>
      <c r="N143" s="7">
        <f>_xlfn.XLOOKUP(A143,[1]SKU!$A:$A,[1]SKU!$Z:$Z)</f>
        <v>1800000</v>
      </c>
    </row>
    <row r="144" spans="1:14" s="7" customFormat="1">
      <c r="A144" s="1" t="s">
        <v>217</v>
      </c>
      <c r="B144" s="3" t="s">
        <v>3</v>
      </c>
      <c r="C144" s="3" t="s">
        <v>45</v>
      </c>
      <c r="D144" s="1" t="s">
        <v>218</v>
      </c>
      <c r="E144" s="7" t="str">
        <f t="shared" si="14"/>
        <v>GOR</v>
      </c>
      <c r="F144" s="7" t="str">
        <f t="shared" si="15"/>
        <v>MEN</v>
      </c>
      <c r="G144" s="7" t="str">
        <f t="shared" si="16"/>
        <v>TSS</v>
      </c>
      <c r="H144" s="7" t="str">
        <f t="shared" si="17"/>
        <v>ONE</v>
      </c>
      <c r="I144" s="7" t="str">
        <f t="shared" si="18"/>
        <v>DDU</v>
      </c>
      <c r="J144" s="7" t="str">
        <f t="shared" si="19"/>
        <v>GRE</v>
      </c>
      <c r="K144" s="7" t="str">
        <f t="shared" si="20"/>
        <v>XL</v>
      </c>
      <c r="L144" s="7" t="s">
        <v>2018</v>
      </c>
      <c r="M144" s="7" t="s">
        <v>4462</v>
      </c>
      <c r="N144" s="7">
        <f>_xlfn.XLOOKUP(A144,[1]SKU!$A:$A,[1]SKU!$Z:$Z)</f>
        <v>790000</v>
      </c>
    </row>
    <row r="145" spans="1:14" s="7" customFormat="1">
      <c r="A145" s="1" t="s">
        <v>219</v>
      </c>
      <c r="B145" s="3" t="s">
        <v>19</v>
      </c>
      <c r="C145" s="3" t="s">
        <v>45</v>
      </c>
      <c r="D145" s="1" t="s">
        <v>220</v>
      </c>
      <c r="E145" s="7" t="str">
        <f t="shared" si="14"/>
        <v>GCA</v>
      </c>
      <c r="F145" s="7" t="str">
        <f t="shared" si="15"/>
        <v>UNI</v>
      </c>
      <c r="G145" s="7" t="str">
        <f t="shared" si="16"/>
        <v>BAG</v>
      </c>
      <c r="H145" s="7" t="str">
        <f t="shared" si="17"/>
        <v>SHB</v>
      </c>
      <c r="I145" s="7" t="str">
        <f t="shared" si="18"/>
        <v>DDU</v>
      </c>
      <c r="J145" s="7" t="str">
        <f t="shared" si="19"/>
        <v>CRE</v>
      </c>
      <c r="K145" s="7" t="str">
        <f t="shared" si="20"/>
        <v>0</v>
      </c>
      <c r="L145" s="7">
        <v>0</v>
      </c>
      <c r="M145" s="7" t="s">
        <v>2609</v>
      </c>
      <c r="N145" s="7">
        <f>_xlfn.XLOOKUP(A145,[1]SKU!$A:$A,[1]SKU!$Z:$Z)</f>
        <v>610000</v>
      </c>
    </row>
    <row r="146" spans="1:14" s="7" customFormat="1">
      <c r="A146" s="1" t="s">
        <v>4654</v>
      </c>
      <c r="B146" s="3" t="s">
        <v>4472</v>
      </c>
      <c r="C146" s="3" t="s">
        <v>4655</v>
      </c>
      <c r="D146" s="1" t="s">
        <v>4656</v>
      </c>
      <c r="E146" s="7" t="str">
        <f t="shared" si="14"/>
        <v>TOH</v>
      </c>
      <c r="F146" s="7" t="str">
        <f t="shared" si="15"/>
        <v>UNI</v>
      </c>
      <c r="G146" s="7" t="str">
        <f t="shared" si="16"/>
        <v>HWR</v>
      </c>
      <c r="H146" s="7" t="str">
        <f t="shared" si="17"/>
        <v>HAT</v>
      </c>
      <c r="I146" s="7" t="str">
        <f t="shared" si="18"/>
        <v>AH1</v>
      </c>
      <c r="J146" s="7" t="str">
        <f t="shared" si="19"/>
        <v>MIX</v>
      </c>
      <c r="K146" s="7" t="str">
        <f t="shared" si="20"/>
        <v>0</v>
      </c>
      <c r="L146" s="7">
        <v>0</v>
      </c>
      <c r="M146" s="7" t="s">
        <v>2609</v>
      </c>
      <c r="N146" s="7">
        <f>_xlfn.XLOOKUP(A146,[1]SKU!$A:$A,[1]SKU!$Z:$Z)</f>
        <v>270000</v>
      </c>
    </row>
    <row r="147" spans="1:14" s="7" customFormat="1">
      <c r="A147" s="1" t="s">
        <v>4657</v>
      </c>
      <c r="B147" s="3" t="s">
        <v>4472</v>
      </c>
      <c r="C147" s="3" t="s">
        <v>221</v>
      </c>
      <c r="D147" s="1" t="s">
        <v>4658</v>
      </c>
      <c r="E147" s="7" t="str">
        <f t="shared" si="14"/>
        <v>DSP</v>
      </c>
      <c r="F147" s="7" t="str">
        <f t="shared" si="15"/>
        <v>UNI</v>
      </c>
      <c r="G147" s="7" t="str">
        <f t="shared" si="16"/>
        <v>BAG</v>
      </c>
      <c r="H147" s="7" t="str">
        <f t="shared" si="17"/>
        <v>HDB</v>
      </c>
      <c r="I147" s="7" t="str">
        <f t="shared" si="18"/>
        <v>SHE</v>
      </c>
      <c r="J147" s="7" t="str">
        <f t="shared" si="19"/>
        <v>PIN</v>
      </c>
      <c r="K147" s="7" t="str">
        <f t="shared" si="20"/>
        <v>0</v>
      </c>
      <c r="L147" s="7">
        <v>0</v>
      </c>
      <c r="M147" s="7" t="s">
        <v>2609</v>
      </c>
      <c r="N147" s="7">
        <f>_xlfn.XLOOKUP(A147,[1]SKU!$A:$A,[1]SKU!$Z:$Z)</f>
        <v>4650000</v>
      </c>
    </row>
    <row r="148" spans="1:14" s="7" customFormat="1">
      <c r="A148" s="1" t="s">
        <v>222</v>
      </c>
      <c r="B148" s="3" t="s">
        <v>3</v>
      </c>
      <c r="C148" s="3" t="s">
        <v>223</v>
      </c>
      <c r="D148" s="1" t="s">
        <v>224</v>
      </c>
      <c r="E148" s="7" t="str">
        <f t="shared" si="14"/>
        <v>GSU</v>
      </c>
      <c r="F148" s="7" t="str">
        <f t="shared" si="15"/>
        <v>WOM</v>
      </c>
      <c r="G148" s="7" t="str">
        <f t="shared" si="16"/>
        <v>TTB</v>
      </c>
      <c r="H148" s="7" t="str">
        <f t="shared" si="17"/>
        <v>BNE</v>
      </c>
      <c r="I148" s="7" t="str">
        <f t="shared" si="18"/>
        <v>BLF</v>
      </c>
      <c r="J148" s="7" t="str">
        <f t="shared" si="19"/>
        <v>WHI</v>
      </c>
      <c r="K148" s="7" t="str">
        <f t="shared" si="20"/>
        <v>M</v>
      </c>
      <c r="L148" s="7" t="s">
        <v>2326</v>
      </c>
      <c r="M148" s="7" t="s">
        <v>4469</v>
      </c>
      <c r="N148" s="7">
        <f>_xlfn.XLOOKUP(A148,[1]SKU!$A:$A,[1]SKU!$Z:$Z)</f>
        <v>850000</v>
      </c>
    </row>
    <row r="149" spans="1:14" s="7" customFormat="1">
      <c r="A149" s="1" t="s">
        <v>4659</v>
      </c>
      <c r="B149" s="3" t="s">
        <v>4472</v>
      </c>
      <c r="C149" s="3" t="s">
        <v>225</v>
      </c>
      <c r="D149" s="1" t="s">
        <v>4660</v>
      </c>
      <c r="E149" s="7" t="str">
        <f t="shared" si="14"/>
        <v>DSP</v>
      </c>
      <c r="F149" s="7" t="str">
        <f t="shared" si="15"/>
        <v>UNI</v>
      </c>
      <c r="G149" s="7" t="str">
        <f t="shared" si="16"/>
        <v>BAG</v>
      </c>
      <c r="H149" s="7" t="str">
        <f t="shared" si="17"/>
        <v>WAL</v>
      </c>
      <c r="I149" s="7" t="str">
        <f t="shared" si="18"/>
        <v>PIA</v>
      </c>
      <c r="J149" s="7" t="str">
        <f t="shared" si="19"/>
        <v>MBE</v>
      </c>
      <c r="K149" s="7" t="str">
        <f t="shared" si="20"/>
        <v>0</v>
      </c>
      <c r="L149" s="7">
        <v>0</v>
      </c>
      <c r="M149" s="7" t="s">
        <v>2609</v>
      </c>
      <c r="N149" s="7">
        <f>_xlfn.XLOOKUP(A149,[1]SKU!$A:$A,[1]SKU!$Z:$Z)</f>
        <v>3150000</v>
      </c>
    </row>
    <row r="150" spans="1:14" s="7" customFormat="1">
      <c r="A150" s="1" t="s">
        <v>226</v>
      </c>
      <c r="B150" s="3" t="s">
        <v>3</v>
      </c>
      <c r="C150" s="3" t="s">
        <v>67</v>
      </c>
      <c r="D150" s="1" t="s">
        <v>227</v>
      </c>
      <c r="E150" s="7" t="str">
        <f t="shared" si="14"/>
        <v>GCV</v>
      </c>
      <c r="F150" s="7" t="str">
        <f t="shared" si="15"/>
        <v>WOM</v>
      </c>
      <c r="G150" s="7" t="str">
        <f t="shared" si="16"/>
        <v>BLA</v>
      </c>
      <c r="H150" s="7" t="str">
        <f t="shared" si="17"/>
        <v>BNE</v>
      </c>
      <c r="I150" s="7" t="str">
        <f t="shared" si="18"/>
        <v>WOL</v>
      </c>
      <c r="J150" s="7" t="str">
        <f t="shared" si="19"/>
        <v>WHI</v>
      </c>
      <c r="K150" s="7" t="str">
        <f t="shared" si="20"/>
        <v>S</v>
      </c>
      <c r="L150" s="7" t="s">
        <v>2270</v>
      </c>
      <c r="M150" s="7" t="s">
        <v>4465</v>
      </c>
      <c r="N150" s="7">
        <f>_xlfn.XLOOKUP(A150,[1]SKU!$A:$A,[1]SKU!$Z:$Z)</f>
        <v>1690000</v>
      </c>
    </row>
    <row r="151" spans="1:14" s="7" customFormat="1">
      <c r="A151" s="1" t="s">
        <v>228</v>
      </c>
      <c r="B151" s="8" t="s">
        <v>3</v>
      </c>
      <c r="C151" s="8" t="s">
        <v>229</v>
      </c>
      <c r="D151" s="1" t="s">
        <v>230</v>
      </c>
      <c r="E151" s="7" t="str">
        <f t="shared" si="14"/>
        <v>GCV</v>
      </c>
      <c r="F151" s="7" t="str">
        <f t="shared" si="15"/>
        <v>MEN</v>
      </c>
      <c r="G151" s="7" t="str">
        <f t="shared" si="16"/>
        <v>SIS</v>
      </c>
      <c r="H151" s="7" t="str">
        <f t="shared" si="17"/>
        <v>BUT</v>
      </c>
      <c r="I151" s="7" t="str">
        <f t="shared" si="18"/>
        <v>RFT</v>
      </c>
      <c r="J151" s="7" t="str">
        <f t="shared" si="19"/>
        <v>WHI</v>
      </c>
      <c r="K151" s="7" t="str">
        <f t="shared" si="20"/>
        <v>L</v>
      </c>
      <c r="L151" s="7" t="s">
        <v>2211</v>
      </c>
      <c r="M151" s="7" t="s">
        <v>4464</v>
      </c>
      <c r="N151" s="7">
        <f>_xlfn.XLOOKUP(A151,[1]SKU!$A:$A,[1]SKU!$Z:$Z)</f>
        <v>1790000</v>
      </c>
    </row>
    <row r="152" spans="1:14" s="7" customFormat="1">
      <c r="A152" s="1" t="s">
        <v>4661</v>
      </c>
      <c r="B152" s="3" t="s">
        <v>4472</v>
      </c>
      <c r="C152" s="3" t="s">
        <v>231</v>
      </c>
      <c r="D152" s="1" t="s">
        <v>4662</v>
      </c>
      <c r="E152" s="7" t="str">
        <f t="shared" si="14"/>
        <v>DSP</v>
      </c>
      <c r="F152" s="7" t="str">
        <f t="shared" si="15"/>
        <v>UNI</v>
      </c>
      <c r="G152" s="7" t="str">
        <f t="shared" si="16"/>
        <v>ACC</v>
      </c>
      <c r="H152" s="7" t="str">
        <f t="shared" si="17"/>
        <v>KEY</v>
      </c>
      <c r="I152" s="7" t="str">
        <f t="shared" si="18"/>
        <v>DUC</v>
      </c>
      <c r="J152" s="7" t="str">
        <f t="shared" si="19"/>
        <v>DBN</v>
      </c>
      <c r="K152" s="7" t="str">
        <f t="shared" si="20"/>
        <v>0</v>
      </c>
      <c r="L152" s="7">
        <v>0</v>
      </c>
      <c r="M152" s="7" t="s">
        <v>2609</v>
      </c>
      <c r="N152" s="7">
        <f>_xlfn.XLOOKUP(A152,[1]SKU!$A:$A,[1]SKU!$Z:$Z)</f>
        <v>690000</v>
      </c>
    </row>
    <row r="153" spans="1:14" s="7" customFormat="1">
      <c r="A153" s="1" t="s">
        <v>4663</v>
      </c>
      <c r="B153" s="3" t="s">
        <v>4472</v>
      </c>
      <c r="C153" s="3" t="s">
        <v>216</v>
      </c>
      <c r="D153" s="1" t="s">
        <v>4664</v>
      </c>
      <c r="E153" s="7" t="str">
        <f t="shared" si="14"/>
        <v>DSP</v>
      </c>
      <c r="F153" s="7" t="str">
        <f t="shared" si="15"/>
        <v>UNI</v>
      </c>
      <c r="G153" s="7" t="str">
        <f t="shared" si="16"/>
        <v>FWR</v>
      </c>
      <c r="H153" s="7" t="str">
        <f t="shared" si="17"/>
        <v>LES</v>
      </c>
      <c r="I153" s="7" t="str">
        <f t="shared" si="18"/>
        <v>BOX</v>
      </c>
      <c r="J153" s="7" t="str">
        <f t="shared" si="19"/>
        <v>BUR</v>
      </c>
      <c r="K153" s="7" t="str">
        <f t="shared" si="20"/>
        <v>44</v>
      </c>
      <c r="L153" s="7">
        <v>0</v>
      </c>
      <c r="M153" s="7" t="s">
        <v>2609</v>
      </c>
      <c r="N153" s="7">
        <f>_xlfn.XLOOKUP(A153,[1]SKU!$A:$A,[1]SKU!$Z:$Z)</f>
        <v>6200000</v>
      </c>
    </row>
    <row r="154" spans="1:14" s="7" customFormat="1">
      <c r="A154" s="1" t="s">
        <v>4665</v>
      </c>
      <c r="B154" s="3" t="s">
        <v>4472</v>
      </c>
      <c r="C154" s="3" t="s">
        <v>4666</v>
      </c>
      <c r="D154" s="1" t="s">
        <v>4667</v>
      </c>
      <c r="E154" s="7" t="str">
        <f t="shared" si="14"/>
        <v>LAN</v>
      </c>
      <c r="F154" s="7" t="str">
        <f t="shared" si="15"/>
        <v>UNI</v>
      </c>
      <c r="G154" s="7" t="str">
        <f t="shared" si="16"/>
        <v>HWR</v>
      </c>
      <c r="H154" s="7" t="str">
        <f t="shared" si="17"/>
        <v>SC1</v>
      </c>
      <c r="I154" s="7" t="str">
        <f t="shared" si="18"/>
        <v>TGG</v>
      </c>
      <c r="J154" s="7" t="str">
        <f t="shared" si="19"/>
        <v>GRN</v>
      </c>
      <c r="K154" s="7" t="str">
        <f t="shared" si="20"/>
        <v>90x90</v>
      </c>
      <c r="L154" s="7">
        <v>0</v>
      </c>
      <c r="M154" s="7" t="s">
        <v>2609</v>
      </c>
      <c r="N154" s="7">
        <f>_xlfn.XLOOKUP(A154,[1]SKU!$A:$A,[1]SKU!$Z:$Z)</f>
        <v>849000</v>
      </c>
    </row>
    <row r="155" spans="1:14" s="7" customFormat="1">
      <c r="A155" s="1" t="s">
        <v>4668</v>
      </c>
      <c r="B155" s="3" t="s">
        <v>4472</v>
      </c>
      <c r="C155" s="3" t="s">
        <v>4669</v>
      </c>
      <c r="D155" s="1" t="s">
        <v>4670</v>
      </c>
      <c r="E155" s="7" t="str">
        <f t="shared" si="14"/>
        <v>LAN</v>
      </c>
      <c r="F155" s="7" t="str">
        <f t="shared" si="15"/>
        <v>UNI</v>
      </c>
      <c r="G155" s="7" t="str">
        <f t="shared" si="16"/>
        <v>HWR</v>
      </c>
      <c r="H155" s="7" t="str">
        <f t="shared" si="17"/>
        <v>SC2</v>
      </c>
      <c r="I155" s="7" t="str">
        <f t="shared" si="18"/>
        <v>SNA</v>
      </c>
      <c r="J155" s="7" t="str">
        <f t="shared" si="19"/>
        <v>YEL</v>
      </c>
      <c r="K155" s="7" t="str">
        <f t="shared" si="20"/>
        <v>60x60</v>
      </c>
      <c r="L155" s="7">
        <v>0</v>
      </c>
      <c r="M155" s="7" t="s">
        <v>2609</v>
      </c>
      <c r="N155" s="7">
        <f>_xlfn.XLOOKUP(A155,[1]SKU!$A:$A,[1]SKU!$Z:$Z)</f>
        <v>549000</v>
      </c>
    </row>
    <row r="156" spans="1:14" s="7" customFormat="1">
      <c r="A156" s="1" t="s">
        <v>232</v>
      </c>
      <c r="B156" s="3" t="s">
        <v>3</v>
      </c>
      <c r="C156" s="3" t="s">
        <v>233</v>
      </c>
      <c r="D156" s="1" t="s">
        <v>234</v>
      </c>
      <c r="E156" s="7" t="str">
        <f t="shared" si="14"/>
        <v>GOR</v>
      </c>
      <c r="F156" s="7" t="str">
        <f t="shared" si="15"/>
        <v>MEN</v>
      </c>
      <c r="G156" s="7" t="str">
        <f t="shared" si="16"/>
        <v>TSS</v>
      </c>
      <c r="H156" s="7" t="str">
        <f t="shared" si="17"/>
        <v>ONE</v>
      </c>
      <c r="I156" s="7" t="str">
        <f t="shared" si="18"/>
        <v>SMR</v>
      </c>
      <c r="J156" s="7" t="str">
        <f t="shared" si="19"/>
        <v>WHI</v>
      </c>
      <c r="K156" s="7" t="str">
        <f t="shared" si="20"/>
        <v>XXL</v>
      </c>
      <c r="L156" s="7" t="s">
        <v>2018</v>
      </c>
      <c r="M156" s="7" t="s">
        <v>4462</v>
      </c>
      <c r="N156" s="7">
        <f>_xlfn.XLOOKUP(A156,[1]SKU!$A:$A,[1]SKU!$Z:$Z)</f>
        <v>790000</v>
      </c>
    </row>
    <row r="157" spans="1:14" s="7" customFormat="1">
      <c r="A157" s="1" t="s">
        <v>4671</v>
      </c>
      <c r="B157" s="3" t="s">
        <v>4472</v>
      </c>
      <c r="C157" s="3" t="s">
        <v>4672</v>
      </c>
      <c r="D157" s="1" t="s">
        <v>4673</v>
      </c>
      <c r="E157" s="7" t="str">
        <f t="shared" si="14"/>
        <v>EDE</v>
      </c>
      <c r="F157" s="7" t="str">
        <f t="shared" si="15"/>
        <v>UNI</v>
      </c>
      <c r="G157" s="7" t="str">
        <f t="shared" si="16"/>
        <v>BAG</v>
      </c>
      <c r="H157" s="7" t="str">
        <f t="shared" si="17"/>
        <v>CLU</v>
      </c>
      <c r="I157" s="7" t="str">
        <f t="shared" si="18"/>
        <v>CON</v>
      </c>
      <c r="J157" s="7" t="str">
        <f t="shared" si="19"/>
        <v>MIX</v>
      </c>
      <c r="K157" s="7" t="str">
        <f t="shared" si="20"/>
        <v>L</v>
      </c>
      <c r="L157" s="7">
        <v>0</v>
      </c>
      <c r="M157" s="7" t="s">
        <v>2609</v>
      </c>
      <c r="N157" s="7">
        <f>_xlfn.XLOOKUP(A157,[1]SKU!$A:$A,[1]SKU!$Z:$Z)</f>
        <v>395000</v>
      </c>
    </row>
    <row r="158" spans="1:14" s="7" customFormat="1">
      <c r="A158" s="1" t="s">
        <v>235</v>
      </c>
      <c r="B158" s="3" t="s">
        <v>3</v>
      </c>
      <c r="C158" s="3" t="s">
        <v>236</v>
      </c>
      <c r="D158" s="1" t="s">
        <v>237</v>
      </c>
      <c r="E158" s="7" t="str">
        <f t="shared" si="14"/>
        <v>GOR</v>
      </c>
      <c r="F158" s="7" t="str">
        <f t="shared" si="15"/>
        <v>KID</v>
      </c>
      <c r="G158" s="7" t="str">
        <f t="shared" si="16"/>
        <v>TSS</v>
      </c>
      <c r="H158" s="7" t="str">
        <f t="shared" si="17"/>
        <v>ONE</v>
      </c>
      <c r="I158" s="7" t="str">
        <f t="shared" si="18"/>
        <v>STA</v>
      </c>
      <c r="J158" s="7" t="str">
        <f t="shared" si="19"/>
        <v>RED</v>
      </c>
      <c r="K158" s="7" t="str">
        <f t="shared" si="20"/>
        <v>12</v>
      </c>
      <c r="L158" s="7" t="s">
        <v>2018</v>
      </c>
      <c r="M158" s="7" t="s">
        <v>4462</v>
      </c>
      <c r="N158" s="7">
        <f>_xlfn.XLOOKUP(A158,[1]SKU!$A:$A,[1]SKU!$Z:$Z)</f>
        <v>590000</v>
      </c>
    </row>
    <row r="159" spans="1:14" s="7" customFormat="1">
      <c r="A159" s="1" t="s">
        <v>4674</v>
      </c>
      <c r="B159" s="3" t="s">
        <v>4472</v>
      </c>
      <c r="C159" s="3" t="s">
        <v>238</v>
      </c>
      <c r="D159" s="1" t="s">
        <v>4675</v>
      </c>
      <c r="E159" s="7" t="str">
        <f t="shared" si="14"/>
        <v>VNE</v>
      </c>
      <c r="F159" s="7" t="str">
        <f t="shared" si="15"/>
        <v>UNI</v>
      </c>
      <c r="G159" s="7" t="str">
        <f t="shared" si="16"/>
        <v>SOU</v>
      </c>
      <c r="H159" s="7" t="str">
        <f t="shared" si="17"/>
        <v>SMS</v>
      </c>
      <c r="I159" s="7" t="str">
        <f t="shared" si="18"/>
        <v>DBU</v>
      </c>
      <c r="J159" s="7" t="str">
        <f t="shared" si="19"/>
        <v>SGR</v>
      </c>
      <c r="K159" s="7" t="str">
        <f t="shared" si="20"/>
        <v>19CM</v>
      </c>
      <c r="L159" s="7">
        <v>0</v>
      </c>
      <c r="M159" s="7" t="s">
        <v>2609</v>
      </c>
      <c r="N159" s="7">
        <f>_xlfn.XLOOKUP(A159,[1]SKU!$A:$A,[1]SKU!$Z:$Z)</f>
        <v>6900000</v>
      </c>
    </row>
    <row r="160" spans="1:14" s="7" customFormat="1">
      <c r="A160" s="1" t="s">
        <v>4676</v>
      </c>
      <c r="B160" s="3" t="s">
        <v>4472</v>
      </c>
      <c r="C160" s="3" t="s">
        <v>239</v>
      </c>
      <c r="D160" s="1" t="s">
        <v>4677</v>
      </c>
      <c r="E160" s="7" t="str">
        <f t="shared" si="14"/>
        <v>DSP</v>
      </c>
      <c r="F160" s="7" t="str">
        <f t="shared" si="15"/>
        <v>UNI</v>
      </c>
      <c r="G160" s="7" t="str">
        <f t="shared" si="16"/>
        <v>BAG</v>
      </c>
      <c r="H160" s="7" t="str">
        <f t="shared" si="17"/>
        <v>CLU</v>
      </c>
      <c r="I160" s="7" t="str">
        <f t="shared" si="18"/>
        <v>MIL</v>
      </c>
      <c r="J160" s="7" t="str">
        <f t="shared" si="19"/>
        <v>MBE</v>
      </c>
      <c r="K160" s="7" t="str">
        <f t="shared" si="20"/>
        <v>0</v>
      </c>
      <c r="L160" s="7">
        <v>0</v>
      </c>
      <c r="M160" s="7" t="s">
        <v>2609</v>
      </c>
      <c r="N160" s="7">
        <f>_xlfn.XLOOKUP(A160,[1]SKU!$A:$A,[1]SKU!$Z:$Z)</f>
        <v>7950000</v>
      </c>
    </row>
    <row r="161" spans="1:14" s="7" customFormat="1">
      <c r="A161" s="1" t="s">
        <v>240</v>
      </c>
      <c r="B161" s="3" t="s">
        <v>3</v>
      </c>
      <c r="C161" s="3" t="s">
        <v>229</v>
      </c>
      <c r="D161" s="1" t="s">
        <v>241</v>
      </c>
      <c r="E161" s="7" t="str">
        <f t="shared" si="14"/>
        <v>GCV</v>
      </c>
      <c r="F161" s="7" t="str">
        <f t="shared" si="15"/>
        <v>MEN</v>
      </c>
      <c r="G161" s="7" t="str">
        <f t="shared" si="16"/>
        <v>SIS</v>
      </c>
      <c r="H161" s="7" t="str">
        <f t="shared" si="17"/>
        <v>BUT</v>
      </c>
      <c r="I161" s="7" t="str">
        <f t="shared" si="18"/>
        <v>RFT</v>
      </c>
      <c r="J161" s="7" t="str">
        <f t="shared" si="19"/>
        <v>WHI</v>
      </c>
      <c r="K161" s="7" t="str">
        <f t="shared" si="20"/>
        <v>S</v>
      </c>
      <c r="L161" s="7" t="s">
        <v>2211</v>
      </c>
      <c r="M161" s="7" t="s">
        <v>4464</v>
      </c>
      <c r="N161" s="7">
        <f>_xlfn.XLOOKUP(A161,[1]SKU!$A:$A,[1]SKU!$Z:$Z)</f>
        <v>1790000</v>
      </c>
    </row>
    <row r="162" spans="1:14" s="7" customFormat="1">
      <c r="A162" s="1" t="s">
        <v>242</v>
      </c>
      <c r="B162" s="3" t="s">
        <v>3</v>
      </c>
      <c r="C162" s="3" t="s">
        <v>129</v>
      </c>
      <c r="D162" s="1" t="s">
        <v>243</v>
      </c>
      <c r="E162" s="7" t="str">
        <f t="shared" si="14"/>
        <v>GBA</v>
      </c>
      <c r="F162" s="7" t="str">
        <f t="shared" si="15"/>
        <v>MEN</v>
      </c>
      <c r="G162" s="7" t="str">
        <f t="shared" si="16"/>
        <v>TSS</v>
      </c>
      <c r="H162" s="7" t="str">
        <f t="shared" si="17"/>
        <v>ONE</v>
      </c>
      <c r="I162" s="7" t="str">
        <f t="shared" si="18"/>
        <v>TJM</v>
      </c>
      <c r="J162" s="7" t="str">
        <f t="shared" si="19"/>
        <v>OLI</v>
      </c>
      <c r="K162" s="7" t="str">
        <f t="shared" si="20"/>
        <v>M</v>
      </c>
      <c r="L162" s="7" t="s">
        <v>2018</v>
      </c>
      <c r="M162" s="7" t="s">
        <v>4462</v>
      </c>
      <c r="N162" s="7">
        <f>_xlfn.XLOOKUP(A162,[1]SKU!$A:$A,[1]SKU!$Z:$Z)</f>
        <v>710000</v>
      </c>
    </row>
    <row r="163" spans="1:14" s="7" customFormat="1">
      <c r="A163" s="1" t="s">
        <v>4678</v>
      </c>
      <c r="B163" s="3" t="s">
        <v>4472</v>
      </c>
      <c r="C163" s="3" t="s">
        <v>244</v>
      </c>
      <c r="D163" s="1" t="s">
        <v>4679</v>
      </c>
      <c r="E163" s="7" t="str">
        <f t="shared" si="14"/>
        <v>DSP</v>
      </c>
      <c r="F163" s="7" t="str">
        <f t="shared" si="15"/>
        <v>UNI</v>
      </c>
      <c r="G163" s="7" t="str">
        <f t="shared" si="16"/>
        <v>FWR</v>
      </c>
      <c r="H163" s="7" t="str">
        <f t="shared" si="17"/>
        <v>LES</v>
      </c>
      <c r="I163" s="7" t="str">
        <f t="shared" si="18"/>
        <v>LAS</v>
      </c>
      <c r="J163" s="7" t="str">
        <f t="shared" si="19"/>
        <v>PIN</v>
      </c>
      <c r="K163" s="7" t="str">
        <f t="shared" si="20"/>
        <v>37</v>
      </c>
      <c r="L163" s="7">
        <v>0</v>
      </c>
      <c r="M163" s="7" t="s">
        <v>2609</v>
      </c>
      <c r="N163" s="7">
        <f>_xlfn.XLOOKUP(A163,[1]SKU!$A:$A,[1]SKU!$Z:$Z)</f>
        <v>5200000</v>
      </c>
    </row>
    <row r="164" spans="1:14" s="7" customFormat="1">
      <c r="A164" s="1" t="s">
        <v>4680</v>
      </c>
      <c r="B164" s="8" t="s">
        <v>4472</v>
      </c>
      <c r="C164" s="8" t="s">
        <v>245</v>
      </c>
      <c r="D164" s="1" t="s">
        <v>4681</v>
      </c>
      <c r="E164" s="7" t="str">
        <f t="shared" si="14"/>
        <v>DSP</v>
      </c>
      <c r="F164" s="7" t="str">
        <f t="shared" si="15"/>
        <v>UNI</v>
      </c>
      <c r="G164" s="7" t="str">
        <f t="shared" si="16"/>
        <v>BAG</v>
      </c>
      <c r="H164" s="7" t="str">
        <f t="shared" si="17"/>
        <v>CLU</v>
      </c>
      <c r="I164" s="7" t="str">
        <f t="shared" si="18"/>
        <v>CEZ</v>
      </c>
      <c r="J164" s="7" t="str">
        <f t="shared" si="19"/>
        <v>YEL</v>
      </c>
      <c r="K164" s="7" t="str">
        <f t="shared" si="20"/>
        <v>0</v>
      </c>
      <c r="L164" s="7">
        <v>0</v>
      </c>
      <c r="M164" s="7" t="s">
        <v>2609</v>
      </c>
      <c r="N164" s="7">
        <f>_xlfn.XLOOKUP(A164,[1]SKU!$A:$A,[1]SKU!$Z:$Z)</f>
        <v>2850000</v>
      </c>
    </row>
    <row r="165" spans="1:14" s="7" customFormat="1">
      <c r="A165" s="1" t="s">
        <v>246</v>
      </c>
      <c r="B165" s="3" t="s">
        <v>3</v>
      </c>
      <c r="C165" s="3" t="s">
        <v>48</v>
      </c>
      <c r="D165" s="1" t="s">
        <v>247</v>
      </c>
      <c r="E165" s="7" t="str">
        <f t="shared" si="14"/>
        <v>GOR</v>
      </c>
      <c r="F165" s="7" t="str">
        <f t="shared" si="15"/>
        <v>MEN</v>
      </c>
      <c r="G165" s="7" t="str">
        <f t="shared" si="16"/>
        <v>TSS</v>
      </c>
      <c r="H165" s="7" t="str">
        <f t="shared" si="17"/>
        <v>HNE</v>
      </c>
      <c r="I165" s="7" t="str">
        <f t="shared" si="18"/>
        <v>GAO</v>
      </c>
      <c r="J165" s="7" t="str">
        <f t="shared" si="19"/>
        <v>BLK</v>
      </c>
      <c r="K165" s="7" t="str">
        <f t="shared" si="20"/>
        <v>XXL</v>
      </c>
      <c r="L165" s="7" t="s">
        <v>2018</v>
      </c>
      <c r="M165" s="7" t="s">
        <v>4462</v>
      </c>
      <c r="N165" s="7">
        <f>_xlfn.XLOOKUP(A165,[1]SKU!$A:$A,[1]SKU!$Z:$Z)</f>
        <v>1650000</v>
      </c>
    </row>
    <row r="166" spans="1:14" s="7" customFormat="1">
      <c r="A166" s="1" t="s">
        <v>248</v>
      </c>
      <c r="B166" s="3" t="s">
        <v>19</v>
      </c>
      <c r="C166" s="3" t="s">
        <v>23</v>
      </c>
      <c r="D166" s="1" t="s">
        <v>249</v>
      </c>
      <c r="E166" s="7" t="str">
        <f t="shared" si="14"/>
        <v>OTH</v>
      </c>
      <c r="F166" s="7" t="str">
        <f t="shared" si="15"/>
        <v>UNI</v>
      </c>
      <c r="G166" s="7" t="str">
        <f t="shared" si="16"/>
        <v>FWR</v>
      </c>
      <c r="H166" s="7" t="str">
        <f t="shared" si="17"/>
        <v>SLI</v>
      </c>
      <c r="I166" s="7" t="str">
        <f t="shared" si="18"/>
        <v>URB</v>
      </c>
      <c r="J166" s="7" t="str">
        <f t="shared" si="19"/>
        <v>ORA</v>
      </c>
      <c r="K166" s="7" t="str">
        <f t="shared" si="20"/>
        <v>40</v>
      </c>
      <c r="L166" s="7">
        <v>0</v>
      </c>
      <c r="M166" s="7" t="s">
        <v>2609</v>
      </c>
      <c r="N166" s="7">
        <f>_xlfn.XLOOKUP(A166,[1]SKU!$A:$A,[1]SKU!$Z:$Z)</f>
        <v>395000</v>
      </c>
    </row>
    <row r="167" spans="1:14" s="7" customFormat="1">
      <c r="A167" s="1" t="s">
        <v>4682</v>
      </c>
      <c r="B167" s="3" t="s">
        <v>4472</v>
      </c>
      <c r="C167" s="3" t="s">
        <v>4683</v>
      </c>
      <c r="D167" s="1" t="s">
        <v>4684</v>
      </c>
      <c r="E167" s="7" t="str">
        <f t="shared" si="14"/>
        <v>HAM</v>
      </c>
      <c r="F167" s="7" t="str">
        <f t="shared" si="15"/>
        <v>UNI</v>
      </c>
      <c r="G167" s="7" t="str">
        <f t="shared" si="16"/>
        <v>JEW</v>
      </c>
      <c r="H167" s="7" t="str">
        <f t="shared" si="17"/>
        <v>NEC</v>
      </c>
      <c r="I167" s="7" t="str">
        <f t="shared" si="18"/>
        <v>121</v>
      </c>
      <c r="J167" s="7" t="str">
        <f t="shared" si="19"/>
        <v>MIX</v>
      </c>
      <c r="K167" s="7" t="str">
        <f t="shared" si="20"/>
        <v>0</v>
      </c>
      <c r="L167" s="7">
        <v>0</v>
      </c>
      <c r="M167" s="7" t="s">
        <v>2609</v>
      </c>
      <c r="N167" s="7">
        <f>_xlfn.XLOOKUP(A167,[1]SKU!$A:$A,[1]SKU!$Z:$Z)</f>
        <v>1800000</v>
      </c>
    </row>
    <row r="168" spans="1:14" s="7" customFormat="1">
      <c r="A168" s="12" t="s">
        <v>251</v>
      </c>
      <c r="B168" s="3" t="s">
        <v>19</v>
      </c>
      <c r="C168" s="8" t="s">
        <v>252</v>
      </c>
      <c r="D168" s="1" t="s">
        <v>253</v>
      </c>
      <c r="E168" s="7" t="str">
        <f t="shared" si="14"/>
        <v>OTH</v>
      </c>
      <c r="F168" s="7" t="str">
        <f t="shared" si="15"/>
        <v>UNI</v>
      </c>
      <c r="G168" s="7" t="str">
        <f t="shared" si="16"/>
        <v>SOU</v>
      </c>
      <c r="H168" s="7" t="str">
        <f t="shared" si="17"/>
        <v>HFS</v>
      </c>
      <c r="I168" s="7" t="str">
        <f t="shared" si="18"/>
        <v>FRO</v>
      </c>
      <c r="J168" s="7" t="str">
        <f t="shared" si="19"/>
        <v>RED</v>
      </c>
      <c r="K168" s="7" t="str">
        <f t="shared" si="20"/>
        <v>0</v>
      </c>
      <c r="L168" s="7">
        <v>0</v>
      </c>
      <c r="M168" s="7" t="s">
        <v>2609</v>
      </c>
      <c r="N168" s="7">
        <f>_xlfn.XLOOKUP(A168,[1]SKU!$A:$A,[1]SKU!$Z:$Z)</f>
        <v>355000</v>
      </c>
    </row>
    <row r="169" spans="1:14" s="7" customFormat="1">
      <c r="A169" s="1" t="s">
        <v>254</v>
      </c>
      <c r="B169" s="3" t="s">
        <v>3</v>
      </c>
      <c r="C169" s="3" t="s">
        <v>229</v>
      </c>
      <c r="D169" s="1" t="s">
        <v>255</v>
      </c>
      <c r="E169" s="7" t="str">
        <f t="shared" si="14"/>
        <v>GSU</v>
      </c>
      <c r="F169" s="7" t="str">
        <f t="shared" si="15"/>
        <v>MEN</v>
      </c>
      <c r="G169" s="7" t="str">
        <f t="shared" si="16"/>
        <v>POL</v>
      </c>
      <c r="H169" s="7" t="str">
        <f t="shared" si="17"/>
        <v>MAN</v>
      </c>
      <c r="I169" s="7" t="str">
        <f t="shared" si="18"/>
        <v>RFT</v>
      </c>
      <c r="J169" s="7" t="str">
        <f t="shared" si="19"/>
        <v>VIO</v>
      </c>
      <c r="K169" s="7" t="str">
        <f t="shared" si="20"/>
        <v>S</v>
      </c>
      <c r="L169" s="7" t="s">
        <v>1995</v>
      </c>
      <c r="M169" s="7" t="s">
        <v>4468</v>
      </c>
      <c r="N169" s="7">
        <f>_xlfn.XLOOKUP(A169,[1]SKU!$A:$A,[1]SKU!$Z:$Z)</f>
        <v>1190000</v>
      </c>
    </row>
    <row r="170" spans="1:14" s="7" customFormat="1">
      <c r="A170" s="12" t="s">
        <v>256</v>
      </c>
      <c r="B170" s="3" t="s">
        <v>3</v>
      </c>
      <c r="C170" s="8" t="s">
        <v>7</v>
      </c>
      <c r="D170" s="1" t="s">
        <v>257</v>
      </c>
      <c r="E170" s="7" t="str">
        <f t="shared" si="14"/>
        <v>GKK</v>
      </c>
      <c r="F170" s="7" t="str">
        <f t="shared" si="15"/>
        <v>WOM</v>
      </c>
      <c r="G170" s="7" t="str">
        <f t="shared" si="16"/>
        <v>SHD</v>
      </c>
      <c r="H170" s="7" t="str">
        <f t="shared" si="17"/>
        <v>FBT</v>
      </c>
      <c r="I170" s="7" t="str">
        <f t="shared" si="18"/>
        <v>FLH</v>
      </c>
      <c r="J170" s="7" t="str">
        <f t="shared" si="19"/>
        <v>BLK</v>
      </c>
      <c r="K170" s="7" t="str">
        <f t="shared" si="20"/>
        <v>S</v>
      </c>
      <c r="L170" s="7" t="s">
        <v>2774</v>
      </c>
      <c r="M170" s="7" t="s">
        <v>4463</v>
      </c>
      <c r="N170" s="7">
        <f>_xlfn.XLOOKUP(A170,[1]SKU!$A:$A,[1]SKU!$Z:$Z)</f>
        <v>1650000</v>
      </c>
    </row>
    <row r="171" spans="1:14" s="7" customFormat="1">
      <c r="A171" s="1" t="s">
        <v>258</v>
      </c>
      <c r="B171" s="3" t="s">
        <v>3</v>
      </c>
      <c r="C171" s="3" t="s">
        <v>110</v>
      </c>
      <c r="D171" s="1" t="s">
        <v>259</v>
      </c>
      <c r="E171" s="7" t="str">
        <f t="shared" si="14"/>
        <v>GBA</v>
      </c>
      <c r="F171" s="7" t="str">
        <f t="shared" si="15"/>
        <v>KID</v>
      </c>
      <c r="G171" s="7" t="str">
        <f t="shared" si="16"/>
        <v>TSS</v>
      </c>
      <c r="H171" s="7" t="str">
        <f t="shared" si="17"/>
        <v>ONE</v>
      </c>
      <c r="I171" s="7" t="str">
        <f t="shared" si="18"/>
        <v>TLT</v>
      </c>
      <c r="J171" s="7" t="str">
        <f t="shared" si="19"/>
        <v>BLK</v>
      </c>
      <c r="K171" s="7" t="str">
        <f t="shared" si="20"/>
        <v>2</v>
      </c>
      <c r="L171" s="7" t="s">
        <v>2018</v>
      </c>
      <c r="M171" s="7" t="s">
        <v>4462</v>
      </c>
      <c r="N171" s="7">
        <f>_xlfn.XLOOKUP(A171,[1]SKU!$A:$A,[1]SKU!$Z:$Z)</f>
        <v>550000</v>
      </c>
    </row>
    <row r="172" spans="1:14" s="7" customFormat="1">
      <c r="A172" s="12" t="s">
        <v>4685</v>
      </c>
      <c r="B172" s="3" t="s">
        <v>4472</v>
      </c>
      <c r="C172" s="8" t="s">
        <v>260</v>
      </c>
      <c r="D172" s="1" t="s">
        <v>4686</v>
      </c>
      <c r="E172" s="7" t="str">
        <f t="shared" si="14"/>
        <v>DSP</v>
      </c>
      <c r="F172" s="7" t="str">
        <f t="shared" si="15"/>
        <v>UNI</v>
      </c>
      <c r="G172" s="7" t="str">
        <f t="shared" si="16"/>
        <v>HDR</v>
      </c>
      <c r="H172" s="7" t="str">
        <f t="shared" si="17"/>
        <v>LTK</v>
      </c>
      <c r="I172" s="7" t="str">
        <f t="shared" si="18"/>
        <v>LTK</v>
      </c>
      <c r="J172" s="7" t="str">
        <f t="shared" si="19"/>
        <v>SLR</v>
      </c>
      <c r="K172" s="7" t="str">
        <f t="shared" si="20"/>
        <v>0</v>
      </c>
      <c r="L172" s="7">
        <v>0</v>
      </c>
      <c r="M172" s="7" t="s">
        <v>2609</v>
      </c>
      <c r="N172" s="7">
        <f>_xlfn.XLOOKUP(A172,[1]SKU!$A:$A,[1]SKU!$Z:$Z)</f>
        <v>2400000</v>
      </c>
    </row>
    <row r="173" spans="1:14" s="7" customFormat="1">
      <c r="A173" s="12" t="s">
        <v>261</v>
      </c>
      <c r="B173" s="3" t="s">
        <v>3</v>
      </c>
      <c r="C173" s="8" t="s">
        <v>262</v>
      </c>
      <c r="D173" s="1" t="s">
        <v>263</v>
      </c>
      <c r="E173" s="7" t="str">
        <f t="shared" si="14"/>
        <v>GBA</v>
      </c>
      <c r="F173" s="7" t="str">
        <f t="shared" si="15"/>
        <v>MEN</v>
      </c>
      <c r="G173" s="7" t="str">
        <f t="shared" si="16"/>
        <v>TSS</v>
      </c>
      <c r="H173" s="7" t="str">
        <f t="shared" si="17"/>
        <v>ONE</v>
      </c>
      <c r="I173" s="7" t="str">
        <f t="shared" si="18"/>
        <v>XLO</v>
      </c>
      <c r="J173" s="7" t="str">
        <f t="shared" si="19"/>
        <v>BLK</v>
      </c>
      <c r="K173" s="7" t="str">
        <f t="shared" si="20"/>
        <v>XL</v>
      </c>
      <c r="L173" s="7" t="s">
        <v>2018</v>
      </c>
      <c r="M173" s="7" t="s">
        <v>4462</v>
      </c>
      <c r="N173" s="7">
        <f>_xlfn.XLOOKUP(A173,[1]SKU!$A:$A,[1]SKU!$Z:$Z)</f>
        <v>710000</v>
      </c>
    </row>
    <row r="174" spans="1:14" s="7" customFormat="1">
      <c r="A174" s="1" t="s">
        <v>4687</v>
      </c>
      <c r="B174" s="3" t="s">
        <v>4472</v>
      </c>
      <c r="C174" s="3" t="s">
        <v>4688</v>
      </c>
      <c r="D174" s="1" t="s">
        <v>4689</v>
      </c>
      <c r="E174" s="7" t="str">
        <f t="shared" si="14"/>
        <v>DSP</v>
      </c>
      <c r="F174" s="7" t="str">
        <f t="shared" si="15"/>
        <v>UNI</v>
      </c>
      <c r="G174" s="7" t="str">
        <f t="shared" si="16"/>
        <v>BAG</v>
      </c>
      <c r="H174" s="7" t="str">
        <f t="shared" si="17"/>
        <v>HDB</v>
      </c>
      <c r="I174" s="7" t="str">
        <f t="shared" si="18"/>
        <v>OTT</v>
      </c>
      <c r="J174" s="7" t="str">
        <f t="shared" si="19"/>
        <v>HEA</v>
      </c>
      <c r="K174" s="7" t="str">
        <f t="shared" si="20"/>
        <v>0</v>
      </c>
      <c r="L174" s="7">
        <v>0</v>
      </c>
      <c r="M174" s="7" t="s">
        <v>2609</v>
      </c>
      <c r="N174" s="7">
        <f>_xlfn.XLOOKUP(A174,[1]SKU!$A:$A,[1]SKU!$Z:$Z)</f>
        <v>7950000</v>
      </c>
    </row>
    <row r="175" spans="1:14" s="7" customFormat="1">
      <c r="A175" s="1" t="s">
        <v>264</v>
      </c>
      <c r="B175" s="3" t="s">
        <v>3</v>
      </c>
      <c r="C175" s="3" t="s">
        <v>45</v>
      </c>
      <c r="D175" s="1" t="s">
        <v>265</v>
      </c>
      <c r="E175" s="7" t="str">
        <f t="shared" si="14"/>
        <v>GBA</v>
      </c>
      <c r="F175" s="7" t="str">
        <f t="shared" si="15"/>
        <v>MEN</v>
      </c>
      <c r="G175" s="7" t="str">
        <f t="shared" si="16"/>
        <v>TSS</v>
      </c>
      <c r="H175" s="7" t="str">
        <f t="shared" si="17"/>
        <v>ONE</v>
      </c>
      <c r="I175" s="7" t="str">
        <f t="shared" si="18"/>
        <v>DDU</v>
      </c>
      <c r="J175" s="7" t="str">
        <f t="shared" si="19"/>
        <v>GRE</v>
      </c>
      <c r="K175" s="7" t="str">
        <f t="shared" si="20"/>
        <v>S</v>
      </c>
      <c r="L175" s="7" t="s">
        <v>2018</v>
      </c>
      <c r="M175" s="7" t="s">
        <v>4462</v>
      </c>
      <c r="N175" s="7">
        <f>_xlfn.XLOOKUP(A175,[1]SKU!$A:$A,[1]SKU!$Z:$Z)</f>
        <v>710000</v>
      </c>
    </row>
    <row r="176" spans="1:14" s="7" customFormat="1">
      <c r="A176" s="1" t="s">
        <v>4690</v>
      </c>
      <c r="B176" s="3" t="s">
        <v>4472</v>
      </c>
      <c r="C176" s="3" t="s">
        <v>266</v>
      </c>
      <c r="D176" s="1" t="s">
        <v>4691</v>
      </c>
      <c r="E176" s="7" t="str">
        <f t="shared" si="14"/>
        <v>DSP</v>
      </c>
      <c r="F176" s="7" t="str">
        <f t="shared" si="15"/>
        <v>UNI</v>
      </c>
      <c r="G176" s="7" t="str">
        <f t="shared" si="16"/>
        <v>BAG</v>
      </c>
      <c r="H176" s="7" t="str">
        <f t="shared" si="17"/>
        <v>CHR</v>
      </c>
      <c r="I176" s="7" t="str">
        <f t="shared" si="18"/>
        <v>SCH</v>
      </c>
      <c r="J176" s="7" t="str">
        <f t="shared" si="19"/>
        <v>DPK</v>
      </c>
      <c r="K176" s="7" t="str">
        <f t="shared" si="20"/>
        <v>0</v>
      </c>
      <c r="L176" s="7">
        <v>0</v>
      </c>
      <c r="M176" s="7" t="s">
        <v>2609</v>
      </c>
      <c r="N176" s="7">
        <f>_xlfn.XLOOKUP(A176,[1]SKU!$A:$A,[1]SKU!$Z:$Z)</f>
        <v>1150000</v>
      </c>
    </row>
    <row r="177" spans="1:14" s="7" customFormat="1">
      <c r="A177" s="1" t="s">
        <v>4692</v>
      </c>
      <c r="B177" s="3" t="s">
        <v>4472</v>
      </c>
      <c r="C177" s="3" t="s">
        <v>172</v>
      </c>
      <c r="D177" s="1" t="s">
        <v>4693</v>
      </c>
      <c r="E177" s="7" t="str">
        <f t="shared" si="14"/>
        <v>DSP</v>
      </c>
      <c r="F177" s="7" t="str">
        <f t="shared" si="15"/>
        <v>UNI</v>
      </c>
      <c r="G177" s="7" t="str">
        <f t="shared" si="16"/>
        <v>FWR</v>
      </c>
      <c r="H177" s="7" t="str">
        <f t="shared" si="17"/>
        <v>LES</v>
      </c>
      <c r="I177" s="7" t="str">
        <f t="shared" si="18"/>
        <v>ALF</v>
      </c>
      <c r="J177" s="7" t="str">
        <f t="shared" si="19"/>
        <v>MBE</v>
      </c>
      <c r="K177" s="7" t="str">
        <f t="shared" si="20"/>
        <v>38</v>
      </c>
      <c r="L177" s="7">
        <v>0</v>
      </c>
      <c r="M177" s="7" t="s">
        <v>2609</v>
      </c>
      <c r="N177" s="7">
        <f>_xlfn.XLOOKUP(A177,[1]SKU!$A:$A,[1]SKU!$Z:$Z)</f>
        <v>7800000</v>
      </c>
    </row>
    <row r="178" spans="1:14" s="7" customFormat="1">
      <c r="A178" s="1" t="s">
        <v>267</v>
      </c>
      <c r="B178" s="3" t="s">
        <v>3</v>
      </c>
      <c r="C178" s="3" t="s">
        <v>268</v>
      </c>
      <c r="D178" s="1" t="s">
        <v>269</v>
      </c>
      <c r="E178" s="7" t="str">
        <f t="shared" si="14"/>
        <v>GBA</v>
      </c>
      <c r="F178" s="7" t="str">
        <f t="shared" si="15"/>
        <v>MEN</v>
      </c>
      <c r="G178" s="7" t="str">
        <f t="shared" si="16"/>
        <v>TSP</v>
      </c>
      <c r="H178" s="7" t="str">
        <f t="shared" si="17"/>
        <v>ONE</v>
      </c>
      <c r="I178" s="7" t="str">
        <f t="shared" si="18"/>
        <v>SSY</v>
      </c>
      <c r="J178" s="7" t="str">
        <f t="shared" si="19"/>
        <v>GRE</v>
      </c>
      <c r="K178" s="7" t="str">
        <f t="shared" si="20"/>
        <v>XXL</v>
      </c>
      <c r="L178" s="7" t="s">
        <v>2085</v>
      </c>
      <c r="M178" s="7" t="s">
        <v>4462</v>
      </c>
      <c r="N178" s="7">
        <f>_xlfn.XLOOKUP(A178,[1]SKU!$A:$A,[1]SKU!$Z:$Z)</f>
        <v>710000</v>
      </c>
    </row>
    <row r="179" spans="1:14" s="7" customFormat="1">
      <c r="A179" s="1" t="s">
        <v>270</v>
      </c>
      <c r="B179" s="3" t="s">
        <v>3</v>
      </c>
      <c r="C179" s="3" t="s">
        <v>38</v>
      </c>
      <c r="D179" s="1" t="s">
        <v>271</v>
      </c>
      <c r="E179" s="7" t="str">
        <f t="shared" si="14"/>
        <v>GOR</v>
      </c>
      <c r="F179" s="7" t="str">
        <f t="shared" si="15"/>
        <v>MEN</v>
      </c>
      <c r="G179" s="7" t="str">
        <f t="shared" si="16"/>
        <v>POL</v>
      </c>
      <c r="H179" s="7" t="str">
        <f t="shared" si="17"/>
        <v>MAN</v>
      </c>
      <c r="I179" s="7" t="str">
        <f t="shared" si="18"/>
        <v>LOG</v>
      </c>
      <c r="J179" s="7" t="str">
        <f t="shared" si="19"/>
        <v>JBG</v>
      </c>
      <c r="K179" s="7" t="str">
        <f t="shared" si="20"/>
        <v>XL</v>
      </c>
      <c r="L179" s="7" t="s">
        <v>1995</v>
      </c>
      <c r="M179" s="7" t="s">
        <v>4468</v>
      </c>
      <c r="N179" s="7">
        <f>_xlfn.XLOOKUP(A179,[1]SKU!$A:$A,[1]SKU!$Z:$Z)</f>
        <v>1090000</v>
      </c>
    </row>
    <row r="180" spans="1:14" s="7" customFormat="1">
      <c r="A180" s="1" t="s">
        <v>272</v>
      </c>
      <c r="B180" s="3" t="s">
        <v>3</v>
      </c>
      <c r="C180" s="3" t="s">
        <v>16</v>
      </c>
      <c r="D180" s="1" t="s">
        <v>273</v>
      </c>
      <c r="E180" s="7" t="str">
        <f t="shared" si="14"/>
        <v>GOR</v>
      </c>
      <c r="F180" s="7" t="str">
        <f t="shared" si="15"/>
        <v>MEN</v>
      </c>
      <c r="G180" s="7" t="str">
        <f t="shared" si="16"/>
        <v>TSS</v>
      </c>
      <c r="H180" s="7" t="str">
        <f t="shared" si="17"/>
        <v>ONE</v>
      </c>
      <c r="I180" s="7" t="str">
        <f t="shared" si="18"/>
        <v>SMP</v>
      </c>
      <c r="J180" s="7" t="str">
        <f t="shared" si="19"/>
        <v>BLK</v>
      </c>
      <c r="K180" s="7" t="str">
        <f t="shared" si="20"/>
        <v>S</v>
      </c>
      <c r="L180" s="7" t="s">
        <v>2018</v>
      </c>
      <c r="M180" s="7" t="s">
        <v>4462</v>
      </c>
      <c r="N180" s="7">
        <f>_xlfn.XLOOKUP(A180,[1]SKU!$A:$A,[1]SKU!$Z:$Z)</f>
        <v>790000</v>
      </c>
    </row>
    <row r="181" spans="1:14" s="7" customFormat="1">
      <c r="A181" s="1" t="s">
        <v>4694</v>
      </c>
      <c r="B181" s="3" t="s">
        <v>4472</v>
      </c>
      <c r="C181" s="3" t="s">
        <v>51</v>
      </c>
      <c r="D181" s="1" t="s">
        <v>4695</v>
      </c>
      <c r="E181" s="7" t="str">
        <f t="shared" si="14"/>
        <v>DSP</v>
      </c>
      <c r="F181" s="7" t="str">
        <f t="shared" si="15"/>
        <v>UNI</v>
      </c>
      <c r="G181" s="7" t="str">
        <f t="shared" si="16"/>
        <v>BAG</v>
      </c>
      <c r="H181" s="7" t="str">
        <f t="shared" si="17"/>
        <v>CHR</v>
      </c>
      <c r="I181" s="7" t="str">
        <f t="shared" si="18"/>
        <v>SCH</v>
      </c>
      <c r="J181" s="7" t="str">
        <f t="shared" si="19"/>
        <v>BLK</v>
      </c>
      <c r="K181" s="7" t="str">
        <f t="shared" si="20"/>
        <v>0</v>
      </c>
      <c r="L181" s="7">
        <v>0</v>
      </c>
      <c r="M181" s="7" t="s">
        <v>2609</v>
      </c>
      <c r="N181" s="7">
        <f>_xlfn.XLOOKUP(A181,[1]SKU!$A:$A,[1]SKU!$Z:$Z)</f>
        <v>1150000</v>
      </c>
    </row>
    <row r="182" spans="1:14" s="7" customFormat="1">
      <c r="A182" s="1" t="s">
        <v>4696</v>
      </c>
      <c r="B182" s="3" t="s">
        <v>4472</v>
      </c>
      <c r="C182" s="3" t="s">
        <v>266</v>
      </c>
      <c r="D182" s="1" t="s">
        <v>4695</v>
      </c>
      <c r="E182" s="7" t="str">
        <f t="shared" si="14"/>
        <v>DSP</v>
      </c>
      <c r="F182" s="7" t="str">
        <f t="shared" si="15"/>
        <v>UNI</v>
      </c>
      <c r="G182" s="7" t="str">
        <f t="shared" si="16"/>
        <v>BAG</v>
      </c>
      <c r="H182" s="7" t="str">
        <f t="shared" si="17"/>
        <v>CHR</v>
      </c>
      <c r="I182" s="7" t="str">
        <f t="shared" si="18"/>
        <v>SCH</v>
      </c>
      <c r="J182" s="7" t="str">
        <f t="shared" si="19"/>
        <v>BLK</v>
      </c>
      <c r="K182" s="7" t="str">
        <f t="shared" si="20"/>
        <v>0</v>
      </c>
      <c r="L182" s="7">
        <v>0</v>
      </c>
      <c r="M182" s="7" t="s">
        <v>2609</v>
      </c>
      <c r="N182" s="7">
        <f>_xlfn.XLOOKUP(A182,[1]SKU!$A:$A,[1]SKU!$Z:$Z)</f>
        <v>1150000</v>
      </c>
    </row>
    <row r="183" spans="1:14" s="7" customFormat="1">
      <c r="A183" s="1" t="s">
        <v>4697</v>
      </c>
      <c r="B183" s="3" t="s">
        <v>4472</v>
      </c>
      <c r="C183" s="3" t="s">
        <v>51</v>
      </c>
      <c r="D183" s="1" t="s">
        <v>4695</v>
      </c>
      <c r="E183" s="7" t="str">
        <f t="shared" si="14"/>
        <v>DSP</v>
      </c>
      <c r="F183" s="7" t="str">
        <f t="shared" si="15"/>
        <v>UNI</v>
      </c>
      <c r="G183" s="7" t="str">
        <f t="shared" si="16"/>
        <v>BAG</v>
      </c>
      <c r="H183" s="7" t="str">
        <f t="shared" si="17"/>
        <v>CHR</v>
      </c>
      <c r="I183" s="7" t="str">
        <f t="shared" si="18"/>
        <v>SCH</v>
      </c>
      <c r="J183" s="7" t="str">
        <f t="shared" si="19"/>
        <v>BLK</v>
      </c>
      <c r="K183" s="7" t="str">
        <f t="shared" si="20"/>
        <v>0</v>
      </c>
      <c r="L183" s="7">
        <v>0</v>
      </c>
      <c r="M183" s="7" t="s">
        <v>2609</v>
      </c>
      <c r="N183" s="7">
        <f>_xlfn.XLOOKUP(A183,[1]SKU!$A:$A,[1]SKU!$Z:$Z)</f>
        <v>1150000</v>
      </c>
    </row>
    <row r="184" spans="1:14" s="7" customFormat="1">
      <c r="A184" s="1" t="s">
        <v>274</v>
      </c>
      <c r="B184" s="3" t="s">
        <v>19</v>
      </c>
      <c r="C184" s="3" t="s">
        <v>275</v>
      </c>
      <c r="D184" s="1" t="s">
        <v>276</v>
      </c>
      <c r="E184" s="7" t="str">
        <f t="shared" si="14"/>
        <v>OTH</v>
      </c>
      <c r="F184" s="7" t="str">
        <f t="shared" si="15"/>
        <v>UNI</v>
      </c>
      <c r="G184" s="7" t="str">
        <f t="shared" si="16"/>
        <v>BAG</v>
      </c>
      <c r="H184" s="7" t="str">
        <f t="shared" si="17"/>
        <v>OTH</v>
      </c>
      <c r="I184" s="7" t="str">
        <f t="shared" si="18"/>
        <v>DBG</v>
      </c>
      <c r="J184" s="7" t="str">
        <f t="shared" si="19"/>
        <v>YEL</v>
      </c>
      <c r="K184" s="7" t="str">
        <f t="shared" si="20"/>
        <v>0</v>
      </c>
      <c r="L184" s="7">
        <v>0</v>
      </c>
      <c r="M184" s="7" t="s">
        <v>2609</v>
      </c>
      <c r="N184" s="7">
        <f>_xlfn.XLOOKUP(A184,[1]SKU!$A:$A,[1]SKU!$Z:$Z)</f>
        <v>790000</v>
      </c>
    </row>
    <row r="185" spans="1:14" s="7" customFormat="1">
      <c r="A185" s="1" t="s">
        <v>277</v>
      </c>
      <c r="B185" s="3" t="s">
        <v>3</v>
      </c>
      <c r="C185" s="3" t="s">
        <v>23</v>
      </c>
      <c r="D185" s="1" t="s">
        <v>278</v>
      </c>
      <c r="E185" s="7" t="str">
        <f t="shared" si="14"/>
        <v>GOR</v>
      </c>
      <c r="F185" s="7" t="str">
        <f t="shared" si="15"/>
        <v>MEN</v>
      </c>
      <c r="G185" s="7" t="str">
        <f t="shared" si="16"/>
        <v>TSS</v>
      </c>
      <c r="H185" s="7" t="str">
        <f t="shared" si="17"/>
        <v>ONE</v>
      </c>
      <c r="I185" s="7" t="str">
        <f t="shared" si="18"/>
        <v>URB</v>
      </c>
      <c r="J185" s="7" t="str">
        <f t="shared" si="19"/>
        <v>JBG</v>
      </c>
      <c r="K185" s="7" t="str">
        <f t="shared" si="20"/>
        <v>M</v>
      </c>
      <c r="L185" s="7" t="s">
        <v>2018</v>
      </c>
      <c r="M185" s="7" t="s">
        <v>4462</v>
      </c>
      <c r="N185" s="7">
        <f>_xlfn.XLOOKUP(A185,[1]SKU!$A:$A,[1]SKU!$Z:$Z)</f>
        <v>790000</v>
      </c>
    </row>
    <row r="186" spans="1:14" s="7" customFormat="1">
      <c r="A186" s="1" t="s">
        <v>4698</v>
      </c>
      <c r="B186" s="3" t="s">
        <v>4472</v>
      </c>
      <c r="C186" s="3" t="s">
        <v>4699</v>
      </c>
      <c r="D186" s="1" t="s">
        <v>4700</v>
      </c>
      <c r="E186" s="7" t="str">
        <f t="shared" si="14"/>
        <v>EDE</v>
      </c>
      <c r="F186" s="7" t="str">
        <f t="shared" si="15"/>
        <v>UNI</v>
      </c>
      <c r="G186" s="7" t="str">
        <f t="shared" si="16"/>
        <v>BAG</v>
      </c>
      <c r="H186" s="7" t="str">
        <f t="shared" si="17"/>
        <v>CLU</v>
      </c>
      <c r="I186" s="7" t="str">
        <f t="shared" si="18"/>
        <v>AN0</v>
      </c>
      <c r="J186" s="7" t="str">
        <f t="shared" si="19"/>
        <v>MIX</v>
      </c>
      <c r="K186" s="7" t="str">
        <f t="shared" si="20"/>
        <v>L</v>
      </c>
      <c r="L186" s="7">
        <v>0</v>
      </c>
      <c r="M186" s="7" t="s">
        <v>2609</v>
      </c>
      <c r="N186" s="7">
        <f>_xlfn.XLOOKUP(A186,[1]SKU!$A:$A,[1]SKU!$Z:$Z)</f>
        <v>395000</v>
      </c>
    </row>
    <row r="187" spans="1:14" s="7" customFormat="1">
      <c r="A187" s="1" t="s">
        <v>4701</v>
      </c>
      <c r="B187" s="3" t="s">
        <v>4472</v>
      </c>
      <c r="C187" s="3" t="s">
        <v>4702</v>
      </c>
      <c r="D187" s="1" t="s">
        <v>4703</v>
      </c>
      <c r="E187" s="7" t="str">
        <f t="shared" si="14"/>
        <v>BLS</v>
      </c>
      <c r="F187" s="7" t="str">
        <f t="shared" si="15"/>
        <v>UNI</v>
      </c>
      <c r="G187" s="7" t="str">
        <f t="shared" si="16"/>
        <v>FNB</v>
      </c>
      <c r="H187" s="7" t="str">
        <f t="shared" si="17"/>
        <v>SAL</v>
      </c>
      <c r="I187" s="7" t="str">
        <f t="shared" si="18"/>
        <v>005</v>
      </c>
      <c r="J187" s="7" t="str">
        <f t="shared" si="19"/>
        <v>MIX</v>
      </c>
      <c r="K187" s="7" t="str">
        <f t="shared" si="20"/>
        <v>85g</v>
      </c>
      <c r="L187" s="7">
        <v>0</v>
      </c>
      <c r="M187" s="7" t="s">
        <v>2609</v>
      </c>
      <c r="N187" s="7">
        <f>_xlfn.XLOOKUP(A187,[1]SKU!$A:$A,[1]SKU!$Z:$Z)</f>
        <v>95000</v>
      </c>
    </row>
    <row r="188" spans="1:14" s="7" customFormat="1">
      <c r="A188" s="1" t="s">
        <v>279</v>
      </c>
      <c r="B188" s="3" t="s">
        <v>3</v>
      </c>
      <c r="C188" s="3" t="s">
        <v>84</v>
      </c>
      <c r="D188" s="1" t="s">
        <v>280</v>
      </c>
      <c r="E188" s="7" t="str">
        <f t="shared" si="14"/>
        <v>GSL</v>
      </c>
      <c r="F188" s="7" t="str">
        <f t="shared" si="15"/>
        <v>WOM</v>
      </c>
      <c r="G188" s="7" t="str">
        <f t="shared" si="16"/>
        <v>FZE</v>
      </c>
      <c r="H188" s="7" t="str">
        <f t="shared" si="17"/>
        <v>BNE</v>
      </c>
      <c r="I188" s="7" t="str">
        <f t="shared" si="18"/>
        <v>HAI</v>
      </c>
      <c r="J188" s="7" t="str">
        <f t="shared" si="19"/>
        <v>BLK</v>
      </c>
      <c r="K188" s="7" t="str">
        <f t="shared" si="20"/>
        <v>M</v>
      </c>
      <c r="L188" s="7" t="s">
        <v>2131</v>
      </c>
      <c r="M188" s="7" t="s">
        <v>2131</v>
      </c>
      <c r="N188" s="7">
        <f>_xlfn.XLOOKUP(A188,[1]SKU!$A:$A,[1]SKU!$Z:$Z)</f>
        <v>750000</v>
      </c>
    </row>
    <row r="189" spans="1:14" s="7" customFormat="1">
      <c r="A189" s="1" t="s">
        <v>4704</v>
      </c>
      <c r="B189" s="3" t="s">
        <v>4472</v>
      </c>
      <c r="C189" s="3" t="s">
        <v>281</v>
      </c>
      <c r="D189" s="1" t="s">
        <v>4705</v>
      </c>
      <c r="E189" s="7" t="str">
        <f t="shared" si="14"/>
        <v>TKC</v>
      </c>
      <c r="F189" s="7" t="str">
        <f t="shared" si="15"/>
        <v>UNI</v>
      </c>
      <c r="G189" s="7" t="str">
        <f t="shared" si="16"/>
        <v>FNB</v>
      </c>
      <c r="H189" s="7" t="str">
        <f t="shared" si="17"/>
        <v>CFD</v>
      </c>
      <c r="I189" s="7" t="str">
        <f t="shared" si="18"/>
        <v>ROB</v>
      </c>
      <c r="J189" s="7" t="str">
        <f t="shared" si="19"/>
        <v>NON</v>
      </c>
      <c r="K189" s="7" t="str">
        <f t="shared" si="20"/>
        <v>250g</v>
      </c>
      <c r="L189" s="7">
        <v>0</v>
      </c>
      <c r="M189" s="7" t="s">
        <v>2609</v>
      </c>
      <c r="N189" s="7">
        <f>_xlfn.XLOOKUP(A189,[1]SKU!$A:$A,[1]SKU!$Z:$Z)</f>
        <v>99000</v>
      </c>
    </row>
    <row r="190" spans="1:14" s="7" customFormat="1">
      <c r="A190" s="1" t="s">
        <v>4706</v>
      </c>
      <c r="B190" s="3" t="s">
        <v>4472</v>
      </c>
      <c r="C190" s="3" t="s">
        <v>4707</v>
      </c>
      <c r="D190" s="1" t="s">
        <v>4708</v>
      </c>
      <c r="E190" s="7" t="str">
        <f t="shared" si="14"/>
        <v>PSD</v>
      </c>
      <c r="F190" s="7" t="str">
        <f t="shared" si="15"/>
        <v>UNI</v>
      </c>
      <c r="G190" s="7" t="str">
        <f t="shared" si="16"/>
        <v>SOU</v>
      </c>
      <c r="H190" s="7" t="str">
        <f t="shared" si="17"/>
        <v>DEC</v>
      </c>
      <c r="I190" s="7" t="str">
        <f t="shared" si="18"/>
        <v>UNI</v>
      </c>
      <c r="J190" s="7" t="str">
        <f t="shared" si="19"/>
        <v>YEL</v>
      </c>
      <c r="K190" s="7" t="str">
        <f t="shared" si="20"/>
        <v>M</v>
      </c>
      <c r="L190" s="7">
        <v>0</v>
      </c>
      <c r="M190" s="7" t="s">
        <v>2609</v>
      </c>
      <c r="N190" s="7">
        <f>_xlfn.XLOOKUP(A190,[1]SKU!$A:$A,[1]SKU!$Z:$Z)</f>
        <v>790000</v>
      </c>
    </row>
    <row r="191" spans="1:14" s="7" customFormat="1">
      <c r="A191" s="1" t="s">
        <v>4709</v>
      </c>
      <c r="B191" s="3" t="s">
        <v>4472</v>
      </c>
      <c r="C191" s="3" t="s">
        <v>282</v>
      </c>
      <c r="D191" s="1" t="s">
        <v>4710</v>
      </c>
      <c r="E191" s="7" t="str">
        <f t="shared" si="14"/>
        <v>PSD</v>
      </c>
      <c r="F191" s="7" t="str">
        <f t="shared" si="15"/>
        <v>UNI</v>
      </c>
      <c r="G191" s="7" t="str">
        <f t="shared" si="16"/>
        <v>SOU</v>
      </c>
      <c r="H191" s="7" t="str">
        <f t="shared" si="17"/>
        <v>DEC</v>
      </c>
      <c r="I191" s="7" t="str">
        <f t="shared" si="18"/>
        <v>BCB</v>
      </c>
      <c r="J191" s="7" t="str">
        <f t="shared" si="19"/>
        <v>YEL</v>
      </c>
      <c r="K191" s="7" t="str">
        <f t="shared" si="20"/>
        <v>40</v>
      </c>
      <c r="L191" s="7">
        <v>0</v>
      </c>
      <c r="M191" s="7" t="s">
        <v>2609</v>
      </c>
      <c r="N191" s="7">
        <f>_xlfn.XLOOKUP(A191,[1]SKU!$A:$A,[1]SKU!$Z:$Z)</f>
        <v>1850000</v>
      </c>
    </row>
    <row r="192" spans="1:14" s="7" customFormat="1">
      <c r="A192" s="1" t="s">
        <v>4711</v>
      </c>
      <c r="B192" s="3" t="s">
        <v>4472</v>
      </c>
      <c r="C192" s="3" t="s">
        <v>4712</v>
      </c>
      <c r="D192" s="1" t="s">
        <v>4713</v>
      </c>
      <c r="E192" s="7" t="str">
        <f t="shared" si="14"/>
        <v>LAN</v>
      </c>
      <c r="F192" s="7" t="str">
        <f t="shared" si="15"/>
        <v>UNI</v>
      </c>
      <c r="G192" s="7" t="str">
        <f t="shared" si="16"/>
        <v>HWR</v>
      </c>
      <c r="H192" s="7" t="str">
        <f t="shared" si="17"/>
        <v>SC2</v>
      </c>
      <c r="I192" s="7" t="str">
        <f t="shared" si="18"/>
        <v>TCL</v>
      </c>
      <c r="J192" s="7" t="str">
        <f t="shared" si="19"/>
        <v>YEL</v>
      </c>
      <c r="K192" s="7" t="str">
        <f t="shared" si="20"/>
        <v>60x60</v>
      </c>
      <c r="L192" s="7">
        <v>0</v>
      </c>
      <c r="M192" s="7" t="s">
        <v>2609</v>
      </c>
      <c r="N192" s="7">
        <f>_xlfn.XLOOKUP(A192,[1]SKU!$A:$A,[1]SKU!$Z:$Z)</f>
        <v>549000</v>
      </c>
    </row>
    <row r="193" spans="1:14" s="7" customFormat="1">
      <c r="A193" s="1" t="s">
        <v>283</v>
      </c>
      <c r="B193" s="3" t="s">
        <v>3</v>
      </c>
      <c r="C193" s="3" t="s">
        <v>45</v>
      </c>
      <c r="D193" s="1" t="s">
        <v>284</v>
      </c>
      <c r="E193" s="7" t="str">
        <f t="shared" si="14"/>
        <v>GBA</v>
      </c>
      <c r="F193" s="7" t="str">
        <f t="shared" si="15"/>
        <v>MEN</v>
      </c>
      <c r="G193" s="7" t="str">
        <f t="shared" si="16"/>
        <v>TSS</v>
      </c>
      <c r="H193" s="7" t="str">
        <f t="shared" si="17"/>
        <v>ONE</v>
      </c>
      <c r="I193" s="7" t="str">
        <f t="shared" si="18"/>
        <v>DDU</v>
      </c>
      <c r="J193" s="7" t="str">
        <f t="shared" si="19"/>
        <v>GRE</v>
      </c>
      <c r="K193" s="7" t="str">
        <f t="shared" si="20"/>
        <v>XXL</v>
      </c>
      <c r="L193" s="7" t="s">
        <v>2018</v>
      </c>
      <c r="M193" s="7" t="s">
        <v>4462</v>
      </c>
      <c r="N193" s="7">
        <f>_xlfn.XLOOKUP(A193,[1]SKU!$A:$A,[1]SKU!$Z:$Z)</f>
        <v>710000</v>
      </c>
    </row>
    <row r="194" spans="1:14" s="7" customFormat="1">
      <c r="A194" s="1" t="s">
        <v>285</v>
      </c>
      <c r="B194" s="3" t="s">
        <v>3</v>
      </c>
      <c r="C194" s="3" t="s">
        <v>113</v>
      </c>
      <c r="D194" s="1" t="s">
        <v>286</v>
      </c>
      <c r="E194" s="7" t="str">
        <f t="shared" si="14"/>
        <v>GOR</v>
      </c>
      <c r="F194" s="7" t="str">
        <f t="shared" si="15"/>
        <v>MEN</v>
      </c>
      <c r="G194" s="7" t="str">
        <f t="shared" si="16"/>
        <v>TSS</v>
      </c>
      <c r="H194" s="7" t="str">
        <f t="shared" si="17"/>
        <v>HNE</v>
      </c>
      <c r="I194" s="7" t="str">
        <f t="shared" si="18"/>
        <v>TCS</v>
      </c>
      <c r="J194" s="7" t="str">
        <f t="shared" si="19"/>
        <v>WHI</v>
      </c>
      <c r="K194" s="7" t="str">
        <f t="shared" si="20"/>
        <v>XL</v>
      </c>
      <c r="L194" s="7" t="s">
        <v>2018</v>
      </c>
      <c r="M194" s="7" t="s">
        <v>4462</v>
      </c>
      <c r="N194" s="7">
        <f>_xlfn.XLOOKUP(A194,[1]SKU!$A:$A,[1]SKU!$Z:$Z)</f>
        <v>1390000</v>
      </c>
    </row>
    <row r="195" spans="1:14" s="7" customFormat="1">
      <c r="A195" s="1" t="s">
        <v>4714</v>
      </c>
      <c r="B195" s="3" t="s">
        <v>4472</v>
      </c>
      <c r="C195" s="3" t="s">
        <v>287</v>
      </c>
      <c r="D195" s="1" t="s">
        <v>4715</v>
      </c>
      <c r="E195" s="7" t="str">
        <f t="shared" ref="E195:E258" si="21">_xlfn.TEXTBEFORE(_xlfn.TEXTAFTER(D195,"-"),"-")</f>
        <v>SHI</v>
      </c>
      <c r="F195" s="7" t="str">
        <f t="shared" ref="F195:F258" si="22">_xlfn.TEXTBEFORE(_xlfn.TEXTAFTER(D195,"-",2),"-")</f>
        <v>UNI</v>
      </c>
      <c r="G195" s="7" t="str">
        <f t="shared" ref="G195:G258" si="23">_xlfn.TEXTBEFORE(_xlfn.TEXTAFTER(D195,"-",3),"-")</f>
        <v>FNB</v>
      </c>
      <c r="H195" s="7" t="str">
        <f t="shared" ref="H195:H258" si="24">_xlfn.TEXTBEFORE(_xlfn.TEXTAFTER(D195,"-",4),"-")</f>
        <v>CFP</v>
      </c>
      <c r="I195" s="7" t="str">
        <f t="shared" ref="I195:I258" si="25">_xlfn.TEXTBEFORE(_xlfn.TEXTAFTER(D195,"-",5),"-")</f>
        <v>KSB</v>
      </c>
      <c r="J195" s="7" t="str">
        <f t="shared" ref="J195:J258" si="26">_xlfn.TEXTBEFORE(_xlfn.TEXTAFTER(D195,"-",6),"-")</f>
        <v>WHI</v>
      </c>
      <c r="K195" s="7" t="str">
        <f t="shared" ref="K195:K258" si="27">_xlfn.TEXTAFTER(D195,"-",7)</f>
        <v>BOX</v>
      </c>
      <c r="L195" s="7">
        <v>0</v>
      </c>
      <c r="M195" s="7" t="s">
        <v>2609</v>
      </c>
      <c r="N195" s="7">
        <f>_xlfn.XLOOKUP(A195,[1]SKU!$A:$A,[1]SKU!$Z:$Z)</f>
        <v>220000</v>
      </c>
    </row>
    <row r="196" spans="1:14" s="7" customFormat="1">
      <c r="A196" s="1" t="s">
        <v>4716</v>
      </c>
      <c r="B196" s="3" t="s">
        <v>4472</v>
      </c>
      <c r="C196" s="3" t="s">
        <v>288</v>
      </c>
      <c r="D196" s="1" t="s">
        <v>4717</v>
      </c>
      <c r="E196" s="7" t="str">
        <f t="shared" si="21"/>
        <v>DSP</v>
      </c>
      <c r="F196" s="7" t="str">
        <f t="shared" si="22"/>
        <v>UNI</v>
      </c>
      <c r="G196" s="7" t="str">
        <f t="shared" si="23"/>
        <v>BAG</v>
      </c>
      <c r="H196" s="7" t="str">
        <f t="shared" si="24"/>
        <v>CBG</v>
      </c>
      <c r="I196" s="7" t="str">
        <f t="shared" si="25"/>
        <v>RUS</v>
      </c>
      <c r="J196" s="7" t="str">
        <f t="shared" si="26"/>
        <v>MBE</v>
      </c>
      <c r="K196" s="7" t="str">
        <f t="shared" si="27"/>
        <v>0</v>
      </c>
      <c r="L196" s="7">
        <v>0</v>
      </c>
      <c r="M196" s="7" t="s">
        <v>2609</v>
      </c>
      <c r="N196" s="7">
        <f>_xlfn.XLOOKUP(A196,[1]SKU!$A:$A,[1]SKU!$Z:$Z)</f>
        <v>4550000</v>
      </c>
    </row>
    <row r="197" spans="1:14" s="7" customFormat="1">
      <c r="A197" s="1" t="s">
        <v>4718</v>
      </c>
      <c r="B197" s="3" t="s">
        <v>4472</v>
      </c>
      <c r="C197" s="3" t="s">
        <v>289</v>
      </c>
      <c r="D197" s="1" t="s">
        <v>4719</v>
      </c>
      <c r="E197" s="7" t="str">
        <f t="shared" si="21"/>
        <v>DSP</v>
      </c>
      <c r="F197" s="7" t="str">
        <f t="shared" si="22"/>
        <v>UNI</v>
      </c>
      <c r="G197" s="7" t="str">
        <f t="shared" si="23"/>
        <v>FWR</v>
      </c>
      <c r="H197" s="7" t="str">
        <f t="shared" si="24"/>
        <v>SNE</v>
      </c>
      <c r="I197" s="7" t="str">
        <f t="shared" si="25"/>
        <v>SBR</v>
      </c>
      <c r="J197" s="7" t="str">
        <f t="shared" si="26"/>
        <v>LDP</v>
      </c>
      <c r="K197" s="7" t="str">
        <f t="shared" si="27"/>
        <v>40</v>
      </c>
      <c r="L197" s="7">
        <v>0</v>
      </c>
      <c r="M197" s="7" t="s">
        <v>2609</v>
      </c>
      <c r="N197" s="7">
        <f>_xlfn.XLOOKUP(A197,[1]SKU!$A:$A,[1]SKU!$Z:$Z)</f>
        <v>7500000</v>
      </c>
    </row>
    <row r="198" spans="1:14" s="7" customFormat="1">
      <c r="A198" s="1" t="s">
        <v>290</v>
      </c>
      <c r="B198" s="3" t="s">
        <v>3</v>
      </c>
      <c r="C198" s="3" t="s">
        <v>233</v>
      </c>
      <c r="D198" s="1" t="s">
        <v>291</v>
      </c>
      <c r="E198" s="7" t="str">
        <f t="shared" si="21"/>
        <v>GBA</v>
      </c>
      <c r="F198" s="7" t="str">
        <f t="shared" si="22"/>
        <v>MEN</v>
      </c>
      <c r="G198" s="7" t="str">
        <f t="shared" si="23"/>
        <v>TSS</v>
      </c>
      <c r="H198" s="7" t="str">
        <f t="shared" si="24"/>
        <v>ONE</v>
      </c>
      <c r="I198" s="7" t="str">
        <f t="shared" si="25"/>
        <v>SMR</v>
      </c>
      <c r="J198" s="7" t="str">
        <f t="shared" si="26"/>
        <v>WHI</v>
      </c>
      <c r="K198" s="7" t="str">
        <f t="shared" si="27"/>
        <v>S</v>
      </c>
      <c r="L198" s="7" t="s">
        <v>2018</v>
      </c>
      <c r="M198" s="7" t="s">
        <v>4462</v>
      </c>
      <c r="N198" s="7">
        <f>_xlfn.XLOOKUP(A198,[1]SKU!$A:$A,[1]SKU!$Z:$Z)</f>
        <v>710000</v>
      </c>
    </row>
    <row r="199" spans="1:14" s="7" customFormat="1">
      <c r="A199" s="1" t="s">
        <v>4720</v>
      </c>
      <c r="B199" s="3" t="s">
        <v>4472</v>
      </c>
      <c r="C199" s="3" t="s">
        <v>99</v>
      </c>
      <c r="D199" s="1" t="s">
        <v>4721</v>
      </c>
      <c r="E199" s="7" t="str">
        <f t="shared" si="21"/>
        <v>DSP</v>
      </c>
      <c r="F199" s="7" t="str">
        <f t="shared" si="22"/>
        <v>UNI</v>
      </c>
      <c r="G199" s="7" t="str">
        <f t="shared" si="23"/>
        <v>FWR</v>
      </c>
      <c r="H199" s="7" t="str">
        <f t="shared" si="24"/>
        <v>LES</v>
      </c>
      <c r="I199" s="7" t="str">
        <f t="shared" si="25"/>
        <v>PHD</v>
      </c>
      <c r="J199" s="7" t="str">
        <f t="shared" si="26"/>
        <v>BLK</v>
      </c>
      <c r="K199" s="7" t="str">
        <f t="shared" si="27"/>
        <v>39</v>
      </c>
      <c r="L199" s="7">
        <v>0</v>
      </c>
      <c r="M199" s="7" t="s">
        <v>2609</v>
      </c>
      <c r="N199" s="7">
        <f>_xlfn.XLOOKUP(A199,[1]SKU!$A:$A,[1]SKU!$Z:$Z)</f>
        <v>7500000</v>
      </c>
    </row>
    <row r="200" spans="1:14" s="7" customFormat="1">
      <c r="A200" s="1" t="s">
        <v>292</v>
      </c>
      <c r="B200" s="3" t="s">
        <v>3</v>
      </c>
      <c r="C200" s="3" t="s">
        <v>262</v>
      </c>
      <c r="D200" s="1" t="s">
        <v>293</v>
      </c>
      <c r="E200" s="7" t="str">
        <f t="shared" si="21"/>
        <v>GBA</v>
      </c>
      <c r="F200" s="7" t="str">
        <f t="shared" si="22"/>
        <v>MEN</v>
      </c>
      <c r="G200" s="7" t="str">
        <f t="shared" si="23"/>
        <v>TSS</v>
      </c>
      <c r="H200" s="7" t="str">
        <f t="shared" si="24"/>
        <v>ONE</v>
      </c>
      <c r="I200" s="7" t="str">
        <f t="shared" si="25"/>
        <v>XLO</v>
      </c>
      <c r="J200" s="7" t="str">
        <f t="shared" si="26"/>
        <v>BLK</v>
      </c>
      <c r="K200" s="7" t="str">
        <f t="shared" si="27"/>
        <v>S</v>
      </c>
      <c r="L200" s="7" t="s">
        <v>2018</v>
      </c>
      <c r="M200" s="7" t="s">
        <v>4462</v>
      </c>
      <c r="N200" s="7">
        <f>_xlfn.XLOOKUP(A200,[1]SKU!$A:$A,[1]SKU!$Z:$Z)</f>
        <v>710000</v>
      </c>
    </row>
    <row r="201" spans="1:14" s="7" customFormat="1">
      <c r="A201" s="1" t="s">
        <v>4722</v>
      </c>
      <c r="B201" s="3" t="s">
        <v>4472</v>
      </c>
      <c r="C201" s="3" t="s">
        <v>105</v>
      </c>
      <c r="D201" s="1" t="s">
        <v>4723</v>
      </c>
      <c r="E201" s="7" t="str">
        <f t="shared" si="21"/>
        <v>PSD</v>
      </c>
      <c r="F201" s="7" t="str">
        <f t="shared" si="22"/>
        <v>UNI</v>
      </c>
      <c r="G201" s="7" t="str">
        <f t="shared" si="23"/>
        <v>SOU</v>
      </c>
      <c r="H201" s="7" t="str">
        <f t="shared" si="24"/>
        <v>DEC</v>
      </c>
      <c r="I201" s="7" t="str">
        <f t="shared" si="25"/>
        <v>SBA</v>
      </c>
      <c r="J201" s="7" t="str">
        <f t="shared" si="26"/>
        <v>BRO</v>
      </c>
      <c r="K201" s="7" t="str">
        <f t="shared" si="27"/>
        <v>8</v>
      </c>
      <c r="L201" s="7">
        <v>0</v>
      </c>
      <c r="M201" s="7" t="s">
        <v>2609</v>
      </c>
      <c r="N201" s="7">
        <f>_xlfn.XLOOKUP(A201,[1]SKU!$A:$A,[1]SKU!$Z:$Z)</f>
        <v>290000</v>
      </c>
    </row>
    <row r="202" spans="1:14" s="7" customFormat="1">
      <c r="A202" s="1" t="s">
        <v>294</v>
      </c>
      <c r="B202" s="3" t="s">
        <v>3</v>
      </c>
      <c r="C202" s="3" t="s">
        <v>295</v>
      </c>
      <c r="D202" s="1" t="s">
        <v>296</v>
      </c>
      <c r="E202" s="7" t="str">
        <f t="shared" si="21"/>
        <v>GOR</v>
      </c>
      <c r="F202" s="7" t="str">
        <f t="shared" si="22"/>
        <v>KID</v>
      </c>
      <c r="G202" s="7" t="str">
        <f t="shared" si="23"/>
        <v>TSS</v>
      </c>
      <c r="H202" s="7" t="str">
        <f t="shared" si="24"/>
        <v>ONE</v>
      </c>
      <c r="I202" s="7" t="str">
        <f t="shared" si="25"/>
        <v>WBO</v>
      </c>
      <c r="J202" s="7" t="str">
        <f t="shared" si="26"/>
        <v>JBG</v>
      </c>
      <c r="K202" s="7" t="str">
        <f t="shared" si="27"/>
        <v>2</v>
      </c>
      <c r="L202" s="7" t="s">
        <v>2018</v>
      </c>
      <c r="M202" s="7" t="s">
        <v>4462</v>
      </c>
      <c r="N202" s="7">
        <f>_xlfn.XLOOKUP(A202,[1]SKU!$A:$A,[1]SKU!$Z:$Z)</f>
        <v>590000</v>
      </c>
    </row>
    <row r="203" spans="1:14" s="7" customFormat="1">
      <c r="A203" s="1" t="s">
        <v>4724</v>
      </c>
      <c r="B203" s="3" t="s">
        <v>4472</v>
      </c>
      <c r="C203" s="3" t="s">
        <v>36</v>
      </c>
      <c r="D203" s="1" t="s">
        <v>4725</v>
      </c>
      <c r="E203" s="7" t="str">
        <f t="shared" si="21"/>
        <v>PSD</v>
      </c>
      <c r="F203" s="7" t="str">
        <f t="shared" si="22"/>
        <v>UNI</v>
      </c>
      <c r="G203" s="7" t="str">
        <f t="shared" si="23"/>
        <v>SOU</v>
      </c>
      <c r="H203" s="7" t="str">
        <f t="shared" si="24"/>
        <v>DEC</v>
      </c>
      <c r="I203" s="7" t="str">
        <f t="shared" si="25"/>
        <v>SIB</v>
      </c>
      <c r="J203" s="7" t="str">
        <f t="shared" si="26"/>
        <v>YEL</v>
      </c>
      <c r="K203" s="7" t="str">
        <f t="shared" si="27"/>
        <v>8</v>
      </c>
      <c r="L203" s="7">
        <v>0</v>
      </c>
      <c r="M203" s="7" t="s">
        <v>2609</v>
      </c>
      <c r="N203" s="7">
        <f>_xlfn.XLOOKUP(A203,[1]SKU!$A:$A,[1]SKU!$Z:$Z)</f>
        <v>290000</v>
      </c>
    </row>
    <row r="204" spans="1:14" s="7" customFormat="1">
      <c r="A204" s="1" t="s">
        <v>4726</v>
      </c>
      <c r="B204" s="3" t="s">
        <v>4472</v>
      </c>
      <c r="C204" s="3" t="s">
        <v>4727</v>
      </c>
      <c r="D204" s="1" t="s">
        <v>4728</v>
      </c>
      <c r="E204" s="7" t="str">
        <f t="shared" si="21"/>
        <v>DSP</v>
      </c>
      <c r="F204" s="7" t="str">
        <f t="shared" si="22"/>
        <v>UNI</v>
      </c>
      <c r="G204" s="7" t="str">
        <f t="shared" si="23"/>
        <v>BAG</v>
      </c>
      <c r="H204" s="7" t="str">
        <f t="shared" si="24"/>
        <v>CLU</v>
      </c>
      <c r="I204" s="7" t="str">
        <f t="shared" si="25"/>
        <v>AP0</v>
      </c>
      <c r="J204" s="7" t="str">
        <f t="shared" si="26"/>
        <v>GOT</v>
      </c>
      <c r="K204" s="7" t="str">
        <f t="shared" si="27"/>
        <v>0</v>
      </c>
      <c r="L204" s="7">
        <v>0</v>
      </c>
      <c r="M204" s="7" t="s">
        <v>2609</v>
      </c>
      <c r="N204" s="7">
        <f>_xlfn.XLOOKUP(A204,[1]SKU!$A:$A,[1]SKU!$Z:$Z)</f>
        <v>3300000</v>
      </c>
    </row>
    <row r="205" spans="1:14" s="7" customFormat="1">
      <c r="A205" s="1" t="s">
        <v>297</v>
      </c>
      <c r="B205" s="3" t="s">
        <v>3</v>
      </c>
      <c r="C205" s="3" t="s">
        <v>110</v>
      </c>
      <c r="D205" s="1" t="s">
        <v>298</v>
      </c>
      <c r="E205" s="7" t="str">
        <f t="shared" si="21"/>
        <v>GOR</v>
      </c>
      <c r="F205" s="7" t="str">
        <f t="shared" si="22"/>
        <v>KID</v>
      </c>
      <c r="G205" s="7" t="str">
        <f t="shared" si="23"/>
        <v>TSS</v>
      </c>
      <c r="H205" s="7" t="str">
        <f t="shared" si="24"/>
        <v>ONE</v>
      </c>
      <c r="I205" s="7" t="str">
        <f t="shared" si="25"/>
        <v>TLT</v>
      </c>
      <c r="J205" s="7" t="str">
        <f t="shared" si="26"/>
        <v>BLK</v>
      </c>
      <c r="K205" s="7" t="str">
        <f t="shared" si="27"/>
        <v>2</v>
      </c>
      <c r="L205" s="7" t="s">
        <v>2018</v>
      </c>
      <c r="M205" s="7" t="s">
        <v>4462</v>
      </c>
      <c r="N205" s="7">
        <f>_xlfn.XLOOKUP(A205,[1]SKU!$A:$A,[1]SKU!$Z:$Z)</f>
        <v>590000</v>
      </c>
    </row>
    <row r="206" spans="1:14" s="7" customFormat="1">
      <c r="A206" s="1" t="s">
        <v>299</v>
      </c>
      <c r="B206" s="3" t="s">
        <v>3</v>
      </c>
      <c r="C206" s="3" t="s">
        <v>300</v>
      </c>
      <c r="D206" s="1" t="s">
        <v>301</v>
      </c>
      <c r="E206" s="7" t="str">
        <f t="shared" si="21"/>
        <v>GSL</v>
      </c>
      <c r="F206" s="7" t="str">
        <f t="shared" si="22"/>
        <v>WOM</v>
      </c>
      <c r="G206" s="7" t="str">
        <f t="shared" si="23"/>
        <v>TSS</v>
      </c>
      <c r="H206" s="7" t="str">
        <f t="shared" si="24"/>
        <v>VNE</v>
      </c>
      <c r="I206" s="7" t="str">
        <f t="shared" si="25"/>
        <v>SMP</v>
      </c>
      <c r="J206" s="7" t="str">
        <f t="shared" si="26"/>
        <v>WHI</v>
      </c>
      <c r="K206" s="7" t="str">
        <f t="shared" si="27"/>
        <v>XL</v>
      </c>
      <c r="L206" s="7" t="s">
        <v>2018</v>
      </c>
      <c r="M206" s="7" t="s">
        <v>4462</v>
      </c>
      <c r="N206" s="7">
        <f>_xlfn.XLOOKUP(A206,[1]SKU!$A:$A,[1]SKU!$Z:$Z)</f>
        <v>750000</v>
      </c>
    </row>
    <row r="207" spans="1:14" s="7" customFormat="1">
      <c r="A207" s="1" t="s">
        <v>302</v>
      </c>
      <c r="B207" s="3" t="s">
        <v>3</v>
      </c>
      <c r="C207" s="3" t="s">
        <v>303</v>
      </c>
      <c r="D207" s="1" t="s">
        <v>304</v>
      </c>
      <c r="E207" s="7" t="str">
        <f t="shared" si="21"/>
        <v>GOR</v>
      </c>
      <c r="F207" s="7" t="str">
        <f t="shared" si="22"/>
        <v>MEN</v>
      </c>
      <c r="G207" s="7" t="str">
        <f t="shared" si="23"/>
        <v>TSS</v>
      </c>
      <c r="H207" s="7" t="str">
        <f t="shared" si="24"/>
        <v>ONE</v>
      </c>
      <c r="I207" s="7" t="str">
        <f t="shared" si="25"/>
        <v>STE</v>
      </c>
      <c r="J207" s="7" t="str">
        <f t="shared" si="26"/>
        <v>WHI</v>
      </c>
      <c r="K207" s="7" t="str">
        <f t="shared" si="27"/>
        <v>XXL</v>
      </c>
      <c r="L207" s="7" t="s">
        <v>2018</v>
      </c>
      <c r="M207" s="7" t="s">
        <v>4462</v>
      </c>
      <c r="N207" s="7">
        <f>_xlfn.XLOOKUP(A207,[1]SKU!$A:$A,[1]SKU!$Z:$Z)</f>
        <v>790000</v>
      </c>
    </row>
    <row r="208" spans="1:14" s="7" customFormat="1">
      <c r="A208" s="1" t="s">
        <v>4729</v>
      </c>
      <c r="B208" s="3" t="s">
        <v>4472</v>
      </c>
      <c r="C208" s="3" t="s">
        <v>100</v>
      </c>
      <c r="D208" s="1" t="s">
        <v>4730</v>
      </c>
      <c r="E208" s="7" t="str">
        <f t="shared" si="21"/>
        <v>PSD</v>
      </c>
      <c r="F208" s="7" t="str">
        <f t="shared" si="22"/>
        <v>UNI</v>
      </c>
      <c r="G208" s="7" t="str">
        <f t="shared" si="23"/>
        <v>SOU</v>
      </c>
      <c r="H208" s="7" t="str">
        <f t="shared" si="24"/>
        <v>DEC</v>
      </c>
      <c r="I208" s="7" t="str">
        <f t="shared" si="25"/>
        <v>LBA</v>
      </c>
      <c r="J208" s="7" t="str">
        <f t="shared" si="26"/>
        <v>GRN</v>
      </c>
      <c r="K208" s="7" t="str">
        <f t="shared" si="27"/>
        <v>8</v>
      </c>
      <c r="L208" s="7">
        <v>0</v>
      </c>
      <c r="M208" s="7" t="s">
        <v>2609</v>
      </c>
      <c r="N208" s="7">
        <f>_xlfn.XLOOKUP(A208,[1]SKU!$A:$A,[1]SKU!$Z:$Z)</f>
        <v>290000</v>
      </c>
    </row>
    <row r="209" spans="1:14" s="7" customFormat="1">
      <c r="A209" s="1" t="s">
        <v>305</v>
      </c>
      <c r="B209" s="3" t="s">
        <v>19</v>
      </c>
      <c r="C209" s="3" t="s">
        <v>306</v>
      </c>
      <c r="D209" s="1" t="s">
        <v>307</v>
      </c>
      <c r="E209" s="7" t="str">
        <f t="shared" si="21"/>
        <v>OTH</v>
      </c>
      <c r="F209" s="7" t="str">
        <f t="shared" si="22"/>
        <v>UNI</v>
      </c>
      <c r="G209" s="7" t="str">
        <f t="shared" si="23"/>
        <v>BAG</v>
      </c>
      <c r="H209" s="7" t="str">
        <f t="shared" si="24"/>
        <v>PCE</v>
      </c>
      <c r="I209" s="7" t="str">
        <f t="shared" si="25"/>
        <v>PCE</v>
      </c>
      <c r="J209" s="7" t="str">
        <f t="shared" si="26"/>
        <v>GRE</v>
      </c>
      <c r="K209" s="7" t="str">
        <f t="shared" si="27"/>
        <v>0</v>
      </c>
      <c r="L209" s="7">
        <v>0</v>
      </c>
      <c r="M209" s="7" t="s">
        <v>2609</v>
      </c>
      <c r="N209" s="7">
        <f>_xlfn.XLOOKUP(A209,[1]SKU!$A:$A,[1]SKU!$Z:$Z)</f>
        <v>395000</v>
      </c>
    </row>
    <row r="210" spans="1:14" s="7" customFormat="1">
      <c r="A210" s="1" t="s">
        <v>4731</v>
      </c>
      <c r="B210" s="3" t="s">
        <v>4472</v>
      </c>
      <c r="C210" s="3" t="s">
        <v>4732</v>
      </c>
      <c r="D210" s="1" t="s">
        <v>4733</v>
      </c>
      <c r="E210" s="7" t="str">
        <f t="shared" si="21"/>
        <v>NGO</v>
      </c>
      <c r="F210" s="7" t="str">
        <f t="shared" si="22"/>
        <v>UNI</v>
      </c>
      <c r="G210" s="7" t="str">
        <f t="shared" si="23"/>
        <v>FWR</v>
      </c>
      <c r="H210" s="7" t="str">
        <f t="shared" si="24"/>
        <v>SNE</v>
      </c>
      <c r="I210" s="7" t="str">
        <f t="shared" si="25"/>
        <v>MCS</v>
      </c>
      <c r="J210" s="7" t="str">
        <f t="shared" si="26"/>
        <v>BLU</v>
      </c>
      <c r="K210" s="7" t="str">
        <f t="shared" si="27"/>
        <v>38</v>
      </c>
      <c r="L210" s="7">
        <v>0</v>
      </c>
      <c r="M210" s="7" t="s">
        <v>2609</v>
      </c>
      <c r="N210" s="7">
        <f>_xlfn.XLOOKUP(A210,[1]SKU!$A:$A,[1]SKU!$Z:$Z)</f>
        <v>2650000</v>
      </c>
    </row>
    <row r="211" spans="1:14" s="7" customFormat="1">
      <c r="A211" s="1" t="s">
        <v>308</v>
      </c>
      <c r="B211" s="3" t="s">
        <v>3</v>
      </c>
      <c r="C211" s="3" t="s">
        <v>23</v>
      </c>
      <c r="D211" s="1" t="s">
        <v>309</v>
      </c>
      <c r="E211" s="7" t="str">
        <f t="shared" si="21"/>
        <v>GCV</v>
      </c>
      <c r="F211" s="7" t="str">
        <f t="shared" si="22"/>
        <v>MEN</v>
      </c>
      <c r="G211" s="7" t="str">
        <f t="shared" si="23"/>
        <v>SIS</v>
      </c>
      <c r="H211" s="7" t="str">
        <f t="shared" si="24"/>
        <v>BUT</v>
      </c>
      <c r="I211" s="7" t="str">
        <f t="shared" si="25"/>
        <v>URB</v>
      </c>
      <c r="J211" s="7" t="str">
        <f t="shared" si="26"/>
        <v>WHI</v>
      </c>
      <c r="K211" s="7" t="str">
        <f t="shared" si="27"/>
        <v>M</v>
      </c>
      <c r="L211" s="7" t="s">
        <v>2211</v>
      </c>
      <c r="M211" s="7" t="s">
        <v>4464</v>
      </c>
      <c r="N211" s="7">
        <f>_xlfn.XLOOKUP(A211,[1]SKU!$A:$A,[1]SKU!$Z:$Z)</f>
        <v>1790000</v>
      </c>
    </row>
    <row r="212" spans="1:14" s="7" customFormat="1">
      <c r="A212" s="1" t="s">
        <v>4734</v>
      </c>
      <c r="B212" s="3" t="s">
        <v>4472</v>
      </c>
      <c r="C212" s="3" t="s">
        <v>100</v>
      </c>
      <c r="D212" s="1" t="s">
        <v>4735</v>
      </c>
      <c r="E212" s="7" t="str">
        <f t="shared" si="21"/>
        <v>PSD</v>
      </c>
      <c r="F212" s="7" t="str">
        <f t="shared" si="22"/>
        <v>UNI</v>
      </c>
      <c r="G212" s="7" t="str">
        <f t="shared" si="23"/>
        <v>SOU</v>
      </c>
      <c r="H212" s="7" t="str">
        <f t="shared" si="24"/>
        <v>DEC</v>
      </c>
      <c r="I212" s="7" t="str">
        <f t="shared" si="25"/>
        <v>LBA</v>
      </c>
      <c r="J212" s="7" t="str">
        <f t="shared" si="26"/>
        <v>TER</v>
      </c>
      <c r="K212" s="7" t="str">
        <f t="shared" si="27"/>
        <v>75</v>
      </c>
      <c r="L212" s="7">
        <v>0</v>
      </c>
      <c r="M212" s="7" t="s">
        <v>2609</v>
      </c>
      <c r="N212" s="7">
        <f>_xlfn.XLOOKUP(A212,[1]SKU!$A:$A,[1]SKU!$Z:$Z)</f>
        <v>7500000</v>
      </c>
    </row>
    <row r="213" spans="1:14" s="7" customFormat="1">
      <c r="A213" s="1" t="s">
        <v>310</v>
      </c>
      <c r="B213" s="3" t="s">
        <v>3</v>
      </c>
      <c r="C213" s="3" t="s">
        <v>311</v>
      </c>
      <c r="D213" s="1" t="s">
        <v>312</v>
      </c>
      <c r="E213" s="7" t="str">
        <f t="shared" si="21"/>
        <v>GSP</v>
      </c>
      <c r="F213" s="7" t="str">
        <f t="shared" si="22"/>
        <v>WOM</v>
      </c>
      <c r="G213" s="7" t="str">
        <f t="shared" si="23"/>
        <v>PZE</v>
      </c>
      <c r="H213" s="7" t="str">
        <f t="shared" si="24"/>
        <v>ONE</v>
      </c>
      <c r="I213" s="7" t="str">
        <f t="shared" si="25"/>
        <v>GL2</v>
      </c>
      <c r="J213" s="7" t="str">
        <f t="shared" si="26"/>
        <v>NAV</v>
      </c>
      <c r="K213" s="7" t="str">
        <f t="shared" si="27"/>
        <v>M</v>
      </c>
      <c r="L213" s="7" t="s">
        <v>2167</v>
      </c>
      <c r="M213" s="7" t="s">
        <v>2167</v>
      </c>
      <c r="N213" s="7">
        <f>_xlfn.XLOOKUP(A213,[1]SKU!$A:$A,[1]SKU!$Z:$Z)</f>
        <v>790000</v>
      </c>
    </row>
    <row r="214" spans="1:14" s="7" customFormat="1">
      <c r="A214" s="1" t="s">
        <v>4736</v>
      </c>
      <c r="B214" s="3" t="s">
        <v>4472</v>
      </c>
      <c r="C214" s="3" t="s">
        <v>100</v>
      </c>
      <c r="D214" s="1" t="s">
        <v>4737</v>
      </c>
      <c r="E214" s="7" t="str">
        <f t="shared" si="21"/>
        <v>PSD</v>
      </c>
      <c r="F214" s="7" t="str">
        <f t="shared" si="22"/>
        <v>UNI</v>
      </c>
      <c r="G214" s="7" t="str">
        <f t="shared" si="23"/>
        <v>SOU</v>
      </c>
      <c r="H214" s="7" t="str">
        <f t="shared" si="24"/>
        <v>DEC</v>
      </c>
      <c r="I214" s="7" t="str">
        <f t="shared" si="25"/>
        <v>LBA</v>
      </c>
      <c r="J214" s="7" t="str">
        <f t="shared" si="26"/>
        <v>YEL</v>
      </c>
      <c r="K214" s="7" t="str">
        <f t="shared" si="27"/>
        <v>56</v>
      </c>
      <c r="L214" s="7">
        <v>0</v>
      </c>
      <c r="M214" s="7" t="s">
        <v>2609</v>
      </c>
      <c r="N214" s="7">
        <f>_xlfn.XLOOKUP(A214,[1]SKU!$A:$A,[1]SKU!$Z:$Z)</f>
        <v>3650000</v>
      </c>
    </row>
    <row r="215" spans="1:14" s="7" customFormat="1">
      <c r="A215" s="1" t="s">
        <v>313</v>
      </c>
      <c r="B215" s="3" t="s">
        <v>3</v>
      </c>
      <c r="C215" s="3" t="s">
        <v>314</v>
      </c>
      <c r="D215" s="1" t="s">
        <v>315</v>
      </c>
      <c r="E215" s="7" t="str">
        <f t="shared" si="21"/>
        <v>GOR</v>
      </c>
      <c r="F215" s="7" t="str">
        <f t="shared" si="22"/>
        <v>MEN</v>
      </c>
      <c r="G215" s="7" t="str">
        <f t="shared" si="23"/>
        <v>TSP</v>
      </c>
      <c r="H215" s="7" t="str">
        <f t="shared" si="24"/>
        <v>ONE</v>
      </c>
      <c r="I215" s="7" t="str">
        <f t="shared" si="25"/>
        <v>XLO</v>
      </c>
      <c r="J215" s="7" t="str">
        <f t="shared" si="26"/>
        <v>WHI</v>
      </c>
      <c r="K215" s="7" t="str">
        <f t="shared" si="27"/>
        <v>XL</v>
      </c>
      <c r="L215" s="7" t="s">
        <v>2085</v>
      </c>
      <c r="M215" s="7" t="s">
        <v>4462</v>
      </c>
      <c r="N215" s="7">
        <f>_xlfn.XLOOKUP(A215,[1]SKU!$A:$A,[1]SKU!$Z:$Z)</f>
        <v>790000</v>
      </c>
    </row>
    <row r="216" spans="1:14" s="7" customFormat="1">
      <c r="A216" s="1" t="s">
        <v>4738</v>
      </c>
      <c r="B216" s="3" t="s">
        <v>4472</v>
      </c>
      <c r="C216" s="3" t="s">
        <v>4739</v>
      </c>
      <c r="D216" s="1" t="s">
        <v>4740</v>
      </c>
      <c r="E216" s="7" t="str">
        <f t="shared" si="21"/>
        <v>PSD</v>
      </c>
      <c r="F216" s="7" t="str">
        <f t="shared" si="22"/>
        <v>UNI</v>
      </c>
      <c r="G216" s="7" t="str">
        <f t="shared" si="23"/>
        <v>SOU</v>
      </c>
      <c r="H216" s="7" t="str">
        <f t="shared" si="24"/>
        <v>DEC</v>
      </c>
      <c r="I216" s="7" t="str">
        <f t="shared" si="25"/>
        <v>UNI</v>
      </c>
      <c r="J216" s="7" t="str">
        <f t="shared" si="26"/>
        <v>YEL</v>
      </c>
      <c r="K216" s="7" t="str">
        <f t="shared" si="27"/>
        <v>S</v>
      </c>
      <c r="L216" s="7">
        <v>0</v>
      </c>
      <c r="M216" s="7" t="s">
        <v>2609</v>
      </c>
      <c r="N216" s="7">
        <f>_xlfn.XLOOKUP(A216,[1]SKU!$A:$A,[1]SKU!$Z:$Z)</f>
        <v>0</v>
      </c>
    </row>
    <row r="217" spans="1:14" s="7" customFormat="1">
      <c r="A217" s="1" t="s">
        <v>316</v>
      </c>
      <c r="B217" s="3" t="s">
        <v>3</v>
      </c>
      <c r="C217" s="3" t="s">
        <v>84</v>
      </c>
      <c r="D217" s="1" t="s">
        <v>317</v>
      </c>
      <c r="E217" s="7" t="str">
        <f t="shared" si="21"/>
        <v>GBA</v>
      </c>
      <c r="F217" s="7" t="str">
        <f t="shared" si="22"/>
        <v>MEN</v>
      </c>
      <c r="G217" s="7" t="str">
        <f t="shared" si="23"/>
        <v>TSS</v>
      </c>
      <c r="H217" s="7" t="str">
        <f t="shared" si="24"/>
        <v>ONE</v>
      </c>
      <c r="I217" s="7" t="str">
        <f t="shared" si="25"/>
        <v>HAI</v>
      </c>
      <c r="J217" s="7" t="str">
        <f t="shared" si="26"/>
        <v>BLK</v>
      </c>
      <c r="K217" s="7" t="str">
        <f t="shared" si="27"/>
        <v>XXL</v>
      </c>
      <c r="L217" s="7" t="s">
        <v>2018</v>
      </c>
      <c r="M217" s="7" t="s">
        <v>4462</v>
      </c>
      <c r="N217" s="7">
        <f>_xlfn.XLOOKUP(A217,[1]SKU!$A:$A,[1]SKU!$Z:$Z)</f>
        <v>710000</v>
      </c>
    </row>
    <row r="218" spans="1:14" s="7" customFormat="1">
      <c r="A218" s="1" t="s">
        <v>4741</v>
      </c>
      <c r="B218" s="3" t="s">
        <v>4472</v>
      </c>
      <c r="C218" s="3" t="s">
        <v>216</v>
      </c>
      <c r="D218" s="1" t="s">
        <v>4742</v>
      </c>
      <c r="E218" s="7" t="str">
        <f t="shared" si="21"/>
        <v>DSP</v>
      </c>
      <c r="F218" s="7" t="str">
        <f t="shared" si="22"/>
        <v>UNI</v>
      </c>
      <c r="G218" s="7" t="str">
        <f t="shared" si="23"/>
        <v>FWR</v>
      </c>
      <c r="H218" s="7" t="str">
        <f t="shared" si="24"/>
        <v>LES</v>
      </c>
      <c r="I218" s="7" t="str">
        <f t="shared" si="25"/>
        <v>BOX</v>
      </c>
      <c r="J218" s="7" t="str">
        <f t="shared" si="26"/>
        <v>BLK</v>
      </c>
      <c r="K218" s="7" t="str">
        <f t="shared" si="27"/>
        <v>37</v>
      </c>
      <c r="L218" s="7">
        <v>0</v>
      </c>
      <c r="M218" s="7" t="s">
        <v>2609</v>
      </c>
      <c r="N218" s="7">
        <f>_xlfn.XLOOKUP(A218,[1]SKU!$A:$A,[1]SKU!$Z:$Z)</f>
        <v>6200000</v>
      </c>
    </row>
    <row r="219" spans="1:14" s="7" customFormat="1">
      <c r="A219" s="1" t="s">
        <v>318</v>
      </c>
      <c r="B219" s="3" t="s">
        <v>19</v>
      </c>
      <c r="C219" s="3" t="s">
        <v>319</v>
      </c>
      <c r="D219" s="1" t="s">
        <v>320</v>
      </c>
      <c r="E219" s="7" t="str">
        <f t="shared" si="21"/>
        <v>OTH</v>
      </c>
      <c r="F219" s="7" t="str">
        <f t="shared" si="22"/>
        <v>UNI</v>
      </c>
      <c r="G219" s="7" t="str">
        <f t="shared" si="23"/>
        <v>SOU</v>
      </c>
      <c r="H219" s="7" t="str">
        <f t="shared" si="24"/>
        <v>PLC</v>
      </c>
      <c r="I219" s="7" t="str">
        <f t="shared" si="25"/>
        <v>LOG</v>
      </c>
      <c r="J219" s="7" t="str">
        <f t="shared" si="26"/>
        <v>WHI</v>
      </c>
      <c r="K219" s="7" t="str">
        <f t="shared" si="27"/>
        <v>0</v>
      </c>
      <c r="L219" s="7">
        <v>0</v>
      </c>
      <c r="M219" s="7" t="s">
        <v>2609</v>
      </c>
      <c r="N219" s="7">
        <f>_xlfn.XLOOKUP(A219,[1]SKU!$A:$A,[1]SKU!$Z:$Z)</f>
        <v>210000</v>
      </c>
    </row>
    <row r="220" spans="1:14" s="7" customFormat="1">
      <c r="A220" s="1" t="s">
        <v>4743</v>
      </c>
      <c r="B220" s="3" t="s">
        <v>4472</v>
      </c>
      <c r="C220" s="3" t="s">
        <v>4744</v>
      </c>
      <c r="D220" s="1" t="s">
        <v>4745</v>
      </c>
      <c r="E220" s="7" t="str">
        <f t="shared" si="21"/>
        <v>HAM</v>
      </c>
      <c r="F220" s="7" t="str">
        <f t="shared" si="22"/>
        <v>UNI</v>
      </c>
      <c r="G220" s="7" t="str">
        <f t="shared" si="23"/>
        <v>JEW</v>
      </c>
      <c r="H220" s="7" t="str">
        <f t="shared" si="24"/>
        <v>NEC</v>
      </c>
      <c r="I220" s="7" t="str">
        <f t="shared" si="25"/>
        <v>A31</v>
      </c>
      <c r="J220" s="7" t="str">
        <f t="shared" si="26"/>
        <v>MIX</v>
      </c>
      <c r="K220" s="7" t="str">
        <f t="shared" si="27"/>
        <v>0</v>
      </c>
      <c r="L220" s="7">
        <v>0</v>
      </c>
      <c r="M220" s="7" t="s">
        <v>2609</v>
      </c>
      <c r="N220" s="7">
        <f>_xlfn.XLOOKUP(A220,[1]SKU!$A:$A,[1]SKU!$Z:$Z)</f>
        <v>1800000</v>
      </c>
    </row>
    <row r="221" spans="1:14" s="7" customFormat="1">
      <c r="A221" s="1" t="s">
        <v>322</v>
      </c>
      <c r="B221" s="3" t="s">
        <v>3</v>
      </c>
      <c r="C221" s="3" t="s">
        <v>38</v>
      </c>
      <c r="D221" s="1" t="s">
        <v>323</v>
      </c>
      <c r="E221" s="7" t="str">
        <f t="shared" si="21"/>
        <v>GSP</v>
      </c>
      <c r="F221" s="7" t="str">
        <f t="shared" si="22"/>
        <v>MEN</v>
      </c>
      <c r="G221" s="7" t="str">
        <f t="shared" si="23"/>
        <v>POL</v>
      </c>
      <c r="H221" s="7" t="str">
        <f t="shared" si="24"/>
        <v>MAN</v>
      </c>
      <c r="I221" s="7" t="str">
        <f t="shared" si="25"/>
        <v>LOG</v>
      </c>
      <c r="J221" s="7" t="str">
        <f t="shared" si="26"/>
        <v>BLK</v>
      </c>
      <c r="K221" s="7" t="str">
        <f t="shared" si="27"/>
        <v>L</v>
      </c>
      <c r="L221" s="7" t="s">
        <v>1995</v>
      </c>
      <c r="M221" s="7" t="s">
        <v>4468</v>
      </c>
      <c r="N221" s="7">
        <f>_xlfn.XLOOKUP(A221,[1]SKU!$A:$A,[1]SKU!$Z:$Z)</f>
        <v>1090000</v>
      </c>
    </row>
    <row r="222" spans="1:14" s="7" customFormat="1">
      <c r="A222" s="1" t="s">
        <v>4746</v>
      </c>
      <c r="B222" s="3" t="s">
        <v>4472</v>
      </c>
      <c r="C222" s="3" t="s">
        <v>4747</v>
      </c>
      <c r="D222" s="1" t="s">
        <v>4748</v>
      </c>
      <c r="E222" s="7" t="str">
        <f t="shared" si="21"/>
        <v>HAM</v>
      </c>
      <c r="F222" s="7" t="str">
        <f t="shared" si="22"/>
        <v>UNI</v>
      </c>
      <c r="G222" s="7" t="str">
        <f t="shared" si="23"/>
        <v>JEW</v>
      </c>
      <c r="H222" s="7" t="str">
        <f t="shared" si="24"/>
        <v>NEC</v>
      </c>
      <c r="I222" s="7" t="str">
        <f t="shared" si="25"/>
        <v>054</v>
      </c>
      <c r="J222" s="7" t="str">
        <f t="shared" si="26"/>
        <v>MIX</v>
      </c>
      <c r="K222" s="7" t="str">
        <f t="shared" si="27"/>
        <v>0</v>
      </c>
      <c r="L222" s="7">
        <v>0</v>
      </c>
      <c r="M222" s="7" t="s">
        <v>2609</v>
      </c>
      <c r="N222" s="7">
        <f>_xlfn.XLOOKUP(A222,[1]SKU!$A:$A,[1]SKU!$Z:$Z)</f>
        <v>2200000</v>
      </c>
    </row>
    <row r="223" spans="1:14" s="7" customFormat="1">
      <c r="A223" s="1" t="s">
        <v>4749</v>
      </c>
      <c r="B223" s="3" t="s">
        <v>4472</v>
      </c>
      <c r="C223" s="3" t="s">
        <v>4750</v>
      </c>
      <c r="D223" s="1" t="s">
        <v>4751</v>
      </c>
      <c r="E223" s="7" t="str">
        <f t="shared" si="21"/>
        <v>LAN</v>
      </c>
      <c r="F223" s="7" t="str">
        <f t="shared" si="22"/>
        <v>UNI</v>
      </c>
      <c r="G223" s="7" t="str">
        <f t="shared" si="23"/>
        <v>HWR</v>
      </c>
      <c r="H223" s="7" t="str">
        <f t="shared" si="24"/>
        <v>SC2</v>
      </c>
      <c r="I223" s="7" t="str">
        <f t="shared" si="25"/>
        <v>DBN</v>
      </c>
      <c r="J223" s="7" t="str">
        <f t="shared" si="26"/>
        <v>BLU</v>
      </c>
      <c r="K223" s="7" t="str">
        <f t="shared" si="27"/>
        <v>60x60</v>
      </c>
      <c r="L223" s="7">
        <v>0</v>
      </c>
      <c r="M223" s="7" t="s">
        <v>2609</v>
      </c>
      <c r="N223" s="7">
        <f>_xlfn.XLOOKUP(A223,[1]SKU!$A:$A,[1]SKU!$Z:$Z)</f>
        <v>549000</v>
      </c>
    </row>
    <row r="224" spans="1:14" s="7" customFormat="1">
      <c r="A224" s="1" t="s">
        <v>325</v>
      </c>
      <c r="B224" s="3" t="s">
        <v>19</v>
      </c>
      <c r="C224" s="3" t="s">
        <v>326</v>
      </c>
      <c r="D224" s="1" t="s">
        <v>327</v>
      </c>
      <c r="E224" s="7" t="str">
        <f t="shared" si="21"/>
        <v>OTH</v>
      </c>
      <c r="F224" s="7" t="str">
        <f t="shared" si="22"/>
        <v>UNI</v>
      </c>
      <c r="G224" s="7" t="str">
        <f t="shared" si="23"/>
        <v>SOU</v>
      </c>
      <c r="H224" s="7" t="str">
        <f t="shared" si="24"/>
        <v>NBP</v>
      </c>
      <c r="I224" s="7" t="str">
        <f t="shared" si="25"/>
        <v>TMG</v>
      </c>
      <c r="J224" s="7" t="str">
        <f t="shared" si="26"/>
        <v>WHI</v>
      </c>
      <c r="K224" s="7" t="str">
        <f t="shared" si="27"/>
        <v>A5</v>
      </c>
      <c r="L224" s="7">
        <v>0</v>
      </c>
      <c r="M224" s="7" t="s">
        <v>2609</v>
      </c>
      <c r="N224" s="7">
        <f>_xlfn.XLOOKUP(A224,[1]SKU!$A:$A,[1]SKU!$Z:$Z)</f>
        <v>255000</v>
      </c>
    </row>
    <row r="225" spans="1:14" s="7" customFormat="1">
      <c r="A225" s="1" t="s">
        <v>4752</v>
      </c>
      <c r="B225" s="3" t="s">
        <v>4472</v>
      </c>
      <c r="C225" s="3" t="s">
        <v>328</v>
      </c>
      <c r="D225" s="1" t="s">
        <v>4753</v>
      </c>
      <c r="E225" s="7" t="str">
        <f t="shared" si="21"/>
        <v>DSP</v>
      </c>
      <c r="F225" s="7" t="str">
        <f t="shared" si="22"/>
        <v>UNI</v>
      </c>
      <c r="G225" s="7" t="str">
        <f t="shared" si="23"/>
        <v>SOU</v>
      </c>
      <c r="H225" s="7" t="str">
        <f t="shared" si="24"/>
        <v>SAS</v>
      </c>
      <c r="I225" s="7" t="str">
        <f t="shared" si="25"/>
        <v>WBX</v>
      </c>
      <c r="J225" s="7" t="str">
        <f t="shared" si="26"/>
        <v>TUM</v>
      </c>
      <c r="K225" s="7" t="str">
        <f t="shared" si="27"/>
        <v>0</v>
      </c>
      <c r="L225" s="7">
        <v>0</v>
      </c>
      <c r="M225" s="7" t="s">
        <v>2609</v>
      </c>
      <c r="N225" s="7">
        <f>_xlfn.XLOOKUP(A225,[1]SKU!$A:$A,[1]SKU!$Z:$Z)</f>
        <v>1950000</v>
      </c>
    </row>
    <row r="226" spans="1:14" s="7" customFormat="1">
      <c r="A226" s="1" t="s">
        <v>329</v>
      </c>
      <c r="B226" s="3" t="s">
        <v>3</v>
      </c>
      <c r="C226" s="3" t="s">
        <v>330</v>
      </c>
      <c r="D226" s="1" t="s">
        <v>331</v>
      </c>
      <c r="E226" s="7" t="str">
        <f t="shared" si="21"/>
        <v>GFN</v>
      </c>
      <c r="F226" s="7" t="str">
        <f t="shared" si="22"/>
        <v>KID</v>
      </c>
      <c r="G226" s="7" t="str">
        <f t="shared" si="23"/>
        <v>SHS</v>
      </c>
      <c r="H226" s="7" t="str">
        <f t="shared" si="24"/>
        <v>EBT</v>
      </c>
      <c r="I226" s="7" t="str">
        <f t="shared" si="25"/>
        <v>GSP</v>
      </c>
      <c r="J226" s="7" t="str">
        <f t="shared" si="26"/>
        <v>BLK</v>
      </c>
      <c r="K226" s="7" t="str">
        <f t="shared" si="27"/>
        <v>6</v>
      </c>
      <c r="L226" s="7" t="s">
        <v>2752</v>
      </c>
      <c r="M226" s="7" t="s">
        <v>4463</v>
      </c>
      <c r="N226" s="7">
        <f>_xlfn.XLOOKUP(A226,[1]SKU!$A:$A,[1]SKU!$Z:$Z)</f>
        <v>690000</v>
      </c>
    </row>
    <row r="227" spans="1:14" s="7" customFormat="1">
      <c r="A227" s="1" t="s">
        <v>4754</v>
      </c>
      <c r="B227" s="3" t="s">
        <v>4472</v>
      </c>
      <c r="C227" s="3" t="s">
        <v>4755</v>
      </c>
      <c r="D227" s="1" t="s">
        <v>4756</v>
      </c>
      <c r="E227" s="7" t="str">
        <f t="shared" si="21"/>
        <v>NGO</v>
      </c>
      <c r="F227" s="7" t="str">
        <f t="shared" si="22"/>
        <v>UNI</v>
      </c>
      <c r="G227" s="7" t="str">
        <f t="shared" si="23"/>
        <v>FWR</v>
      </c>
      <c r="H227" s="7" t="str">
        <f t="shared" si="24"/>
        <v>SNE</v>
      </c>
      <c r="I227" s="7" t="str">
        <f t="shared" si="25"/>
        <v>HAI</v>
      </c>
      <c r="J227" s="7" t="str">
        <f t="shared" si="26"/>
        <v>MPE</v>
      </c>
      <c r="K227" s="7" t="str">
        <f t="shared" si="27"/>
        <v>40</v>
      </c>
      <c r="L227" s="7">
        <v>0</v>
      </c>
      <c r="M227" s="7" t="s">
        <v>2609</v>
      </c>
      <c r="N227" s="7">
        <f>_xlfn.XLOOKUP(A227,[1]SKU!$A:$A,[1]SKU!$Z:$Z)</f>
        <v>3990000</v>
      </c>
    </row>
    <row r="228" spans="1:14" s="7" customFormat="1">
      <c r="A228" s="1" t="s">
        <v>332</v>
      </c>
      <c r="B228" s="3" t="s">
        <v>19</v>
      </c>
      <c r="C228" s="3" t="s">
        <v>333</v>
      </c>
      <c r="D228" s="1" t="s">
        <v>334</v>
      </c>
      <c r="E228" s="7" t="str">
        <f t="shared" si="21"/>
        <v>OTH</v>
      </c>
      <c r="F228" s="7" t="str">
        <f t="shared" si="22"/>
        <v>UNI</v>
      </c>
      <c r="G228" s="7" t="str">
        <f t="shared" si="23"/>
        <v>HWR</v>
      </c>
      <c r="H228" s="7" t="str">
        <f t="shared" si="24"/>
        <v>CAP</v>
      </c>
      <c r="I228" s="7" t="str">
        <f t="shared" si="25"/>
        <v>GHR</v>
      </c>
      <c r="J228" s="7" t="str">
        <f t="shared" si="26"/>
        <v>BLK</v>
      </c>
      <c r="K228" s="7" t="str">
        <f t="shared" si="27"/>
        <v>L</v>
      </c>
      <c r="L228" s="7">
        <v>0</v>
      </c>
      <c r="M228" s="7" t="s">
        <v>2609</v>
      </c>
      <c r="N228" s="7">
        <f>_xlfn.XLOOKUP(A228,[1]SKU!$A:$A,[1]SKU!$Z:$Z)</f>
        <v>690000</v>
      </c>
    </row>
    <row r="229" spans="1:14" s="7" customFormat="1">
      <c r="A229" s="1" t="s">
        <v>4757</v>
      </c>
      <c r="B229" s="3" t="s">
        <v>4472</v>
      </c>
      <c r="C229" s="3" t="s">
        <v>4758</v>
      </c>
      <c r="D229" s="1" t="s">
        <v>4759</v>
      </c>
      <c r="E229" s="7" t="str">
        <f t="shared" si="21"/>
        <v>RUN</v>
      </c>
      <c r="F229" s="7" t="str">
        <f t="shared" si="22"/>
        <v>UNI</v>
      </c>
      <c r="G229" s="7" t="str">
        <f t="shared" si="23"/>
        <v>FNB</v>
      </c>
      <c r="H229" s="7" t="str">
        <f t="shared" si="24"/>
        <v>CFB</v>
      </c>
      <c r="I229" s="7" t="str">
        <f t="shared" si="25"/>
        <v>SO5</v>
      </c>
      <c r="J229" s="7" t="str">
        <f t="shared" si="26"/>
        <v>NON</v>
      </c>
      <c r="K229" s="7" t="str">
        <f t="shared" si="27"/>
        <v>500g</v>
      </c>
      <c r="L229" s="7">
        <v>0</v>
      </c>
      <c r="M229" s="7" t="s">
        <v>2609</v>
      </c>
      <c r="N229" s="7">
        <f>_xlfn.XLOOKUP(A229,[1]SKU!$A:$A,[1]SKU!$Z:$Z)</f>
        <v>378000</v>
      </c>
    </row>
    <row r="230" spans="1:14" s="7" customFormat="1">
      <c r="A230" s="1" t="s">
        <v>4760</v>
      </c>
      <c r="B230" s="3" t="s">
        <v>4472</v>
      </c>
      <c r="C230" s="3" t="s">
        <v>4761</v>
      </c>
      <c r="D230" s="1" t="s">
        <v>4762</v>
      </c>
      <c r="E230" s="7" t="str">
        <f t="shared" si="21"/>
        <v>EDE</v>
      </c>
      <c r="F230" s="7" t="str">
        <f t="shared" si="22"/>
        <v>UNI</v>
      </c>
      <c r="G230" s="7" t="str">
        <f t="shared" si="23"/>
        <v>HDR</v>
      </c>
      <c r="H230" s="7" t="str">
        <f t="shared" si="24"/>
        <v>CUS</v>
      </c>
      <c r="I230" s="7" t="str">
        <f t="shared" si="25"/>
        <v>6MS</v>
      </c>
      <c r="J230" s="7" t="str">
        <f t="shared" si="26"/>
        <v>MIX</v>
      </c>
      <c r="K230" s="7" t="str">
        <f t="shared" si="27"/>
        <v>0</v>
      </c>
      <c r="L230" s="7">
        <v>0</v>
      </c>
      <c r="M230" s="7" t="s">
        <v>2609</v>
      </c>
      <c r="N230" s="7">
        <f>_xlfn.XLOOKUP(A230,[1]SKU!$A:$A,[1]SKU!$Z:$Z)</f>
        <v>495000</v>
      </c>
    </row>
    <row r="231" spans="1:14" s="7" customFormat="1">
      <c r="A231" s="1" t="s">
        <v>335</v>
      </c>
      <c r="B231" s="3" t="s">
        <v>3</v>
      </c>
      <c r="C231" s="3" t="s">
        <v>16</v>
      </c>
      <c r="D231" s="1" t="s">
        <v>336</v>
      </c>
      <c r="E231" s="7" t="str">
        <f t="shared" si="21"/>
        <v>GOR</v>
      </c>
      <c r="F231" s="7" t="str">
        <f t="shared" si="22"/>
        <v>MEN</v>
      </c>
      <c r="G231" s="7" t="str">
        <f t="shared" si="23"/>
        <v>TSS</v>
      </c>
      <c r="H231" s="7" t="str">
        <f t="shared" si="24"/>
        <v>ONE</v>
      </c>
      <c r="I231" s="7" t="str">
        <f t="shared" si="25"/>
        <v>SMP</v>
      </c>
      <c r="J231" s="7" t="str">
        <f t="shared" si="26"/>
        <v>BLK</v>
      </c>
      <c r="K231" s="7" t="str">
        <f t="shared" si="27"/>
        <v>XXL</v>
      </c>
      <c r="L231" s="7" t="s">
        <v>2018</v>
      </c>
      <c r="M231" s="7" t="s">
        <v>4462</v>
      </c>
      <c r="N231" s="7">
        <f>_xlfn.XLOOKUP(A231,[1]SKU!$A:$A,[1]SKU!$Z:$Z)</f>
        <v>790000</v>
      </c>
    </row>
    <row r="232" spans="1:14" s="7" customFormat="1">
      <c r="A232" s="1" t="s">
        <v>4763</v>
      </c>
      <c r="B232" s="3" t="s">
        <v>4472</v>
      </c>
      <c r="C232" s="3" t="s">
        <v>4764</v>
      </c>
      <c r="D232" s="1" t="s">
        <v>4765</v>
      </c>
      <c r="E232" s="7" t="str">
        <f t="shared" si="21"/>
        <v>HAM</v>
      </c>
      <c r="F232" s="7" t="str">
        <f t="shared" si="22"/>
        <v>UNI</v>
      </c>
      <c r="G232" s="7" t="str">
        <f t="shared" si="23"/>
        <v>JEW</v>
      </c>
      <c r="H232" s="7" t="str">
        <f t="shared" si="24"/>
        <v>NEC</v>
      </c>
      <c r="I232" s="7" t="str">
        <f t="shared" si="25"/>
        <v>L34</v>
      </c>
      <c r="J232" s="7" t="str">
        <f t="shared" si="26"/>
        <v>MIX</v>
      </c>
      <c r="K232" s="7" t="str">
        <f t="shared" si="27"/>
        <v>0</v>
      </c>
      <c r="L232" s="7">
        <v>0</v>
      </c>
      <c r="M232" s="7" t="s">
        <v>2609</v>
      </c>
      <c r="N232" s="7">
        <f>_xlfn.XLOOKUP(A232,[1]SKU!$A:$A,[1]SKU!$Z:$Z)</f>
        <v>1800000</v>
      </c>
    </row>
    <row r="233" spans="1:14" s="7" customFormat="1">
      <c r="A233" s="1" t="s">
        <v>4766</v>
      </c>
      <c r="B233" s="3" t="s">
        <v>4472</v>
      </c>
      <c r="C233" s="3" t="s">
        <v>4767</v>
      </c>
      <c r="D233" s="1" t="s">
        <v>4768</v>
      </c>
      <c r="E233" s="7" t="str">
        <f t="shared" si="21"/>
        <v>EDE</v>
      </c>
      <c r="F233" s="7" t="str">
        <f t="shared" si="22"/>
        <v>UNI</v>
      </c>
      <c r="G233" s="7" t="str">
        <f t="shared" si="23"/>
        <v>HDR</v>
      </c>
      <c r="H233" s="7" t="str">
        <f t="shared" si="24"/>
        <v>TCL</v>
      </c>
      <c r="I233" s="7" t="str">
        <f t="shared" si="25"/>
        <v>MIX</v>
      </c>
      <c r="J233" s="7" t="str">
        <f t="shared" si="26"/>
        <v>MIX</v>
      </c>
      <c r="K233" s="7" t="str">
        <f t="shared" si="27"/>
        <v>0</v>
      </c>
      <c r="L233" s="7">
        <v>0</v>
      </c>
      <c r="M233" s="7" t="s">
        <v>2609</v>
      </c>
      <c r="N233" s="7">
        <f>_xlfn.XLOOKUP(A233,[1]SKU!$A:$A,[1]SKU!$Z:$Z)</f>
        <v>120000</v>
      </c>
    </row>
    <row r="234" spans="1:14" s="7" customFormat="1">
      <c r="A234" s="1" t="s">
        <v>338</v>
      </c>
      <c r="B234" s="3" t="s">
        <v>3</v>
      </c>
      <c r="C234" s="3" t="s">
        <v>137</v>
      </c>
      <c r="D234" s="1" t="s">
        <v>339</v>
      </c>
      <c r="E234" s="7" t="str">
        <f t="shared" si="21"/>
        <v>GOR</v>
      </c>
      <c r="F234" s="7" t="str">
        <f t="shared" si="22"/>
        <v>MEN</v>
      </c>
      <c r="G234" s="7" t="str">
        <f t="shared" si="23"/>
        <v>TSS</v>
      </c>
      <c r="H234" s="7" t="str">
        <f t="shared" si="24"/>
        <v>ONE</v>
      </c>
      <c r="I234" s="7" t="str">
        <f t="shared" si="25"/>
        <v>HHA</v>
      </c>
      <c r="J234" s="7" t="str">
        <f t="shared" si="26"/>
        <v>WHI</v>
      </c>
      <c r="K234" s="7" t="str">
        <f t="shared" si="27"/>
        <v>M</v>
      </c>
      <c r="L234" s="7" t="s">
        <v>2018</v>
      </c>
      <c r="M234" s="7" t="s">
        <v>4462</v>
      </c>
      <c r="N234" s="7">
        <f>_xlfn.XLOOKUP(A234,[1]SKU!$A:$A,[1]SKU!$Z:$Z)</f>
        <v>990000</v>
      </c>
    </row>
    <row r="235" spans="1:14" s="7" customFormat="1">
      <c r="A235" s="1" t="s">
        <v>340</v>
      </c>
      <c r="B235" s="3" t="s">
        <v>3</v>
      </c>
      <c r="C235" s="3" t="s">
        <v>146</v>
      </c>
      <c r="D235" s="1" t="s">
        <v>341</v>
      </c>
      <c r="E235" s="7" t="str">
        <f t="shared" si="21"/>
        <v>GOR</v>
      </c>
      <c r="F235" s="7" t="str">
        <f t="shared" si="22"/>
        <v>MEN</v>
      </c>
      <c r="G235" s="7" t="str">
        <f t="shared" si="23"/>
        <v>TSS</v>
      </c>
      <c r="H235" s="7" t="str">
        <f t="shared" si="24"/>
        <v>ONE</v>
      </c>
      <c r="I235" s="7" t="str">
        <f t="shared" si="25"/>
        <v>BPP</v>
      </c>
      <c r="J235" s="7" t="str">
        <f t="shared" si="26"/>
        <v>BLK</v>
      </c>
      <c r="K235" s="7" t="str">
        <f t="shared" si="27"/>
        <v>S</v>
      </c>
      <c r="L235" s="7" t="s">
        <v>2018</v>
      </c>
      <c r="M235" s="7" t="s">
        <v>4462</v>
      </c>
      <c r="N235" s="7">
        <f>_xlfn.XLOOKUP(A235,[1]SKU!$A:$A,[1]SKU!$Z:$Z)</f>
        <v>810000</v>
      </c>
    </row>
    <row r="236" spans="1:14" s="7" customFormat="1">
      <c r="A236" s="1" t="s">
        <v>342</v>
      </c>
      <c r="B236" s="3" t="s">
        <v>3</v>
      </c>
      <c r="C236" s="3" t="s">
        <v>229</v>
      </c>
      <c r="D236" s="1" t="s">
        <v>343</v>
      </c>
      <c r="E236" s="7" t="str">
        <f t="shared" si="21"/>
        <v>GSP</v>
      </c>
      <c r="F236" s="7" t="str">
        <f t="shared" si="22"/>
        <v>MEN</v>
      </c>
      <c r="G236" s="7" t="str">
        <f t="shared" si="23"/>
        <v>POL</v>
      </c>
      <c r="H236" s="7" t="str">
        <f t="shared" si="24"/>
        <v>MAN</v>
      </c>
      <c r="I236" s="7" t="str">
        <f t="shared" si="25"/>
        <v>RFT</v>
      </c>
      <c r="J236" s="7" t="str">
        <f t="shared" si="26"/>
        <v>VIO</v>
      </c>
      <c r="K236" s="7" t="str">
        <f t="shared" si="27"/>
        <v>S</v>
      </c>
      <c r="L236" s="7" t="s">
        <v>1995</v>
      </c>
      <c r="M236" s="7" t="s">
        <v>4468</v>
      </c>
      <c r="N236" s="7">
        <f>_xlfn.XLOOKUP(A236,[1]SKU!$A:$A,[1]SKU!$Z:$Z)</f>
        <v>1090000</v>
      </c>
    </row>
    <row r="237" spans="1:14" s="7" customFormat="1">
      <c r="A237" s="1" t="s">
        <v>344</v>
      </c>
      <c r="B237" s="3" t="s">
        <v>3</v>
      </c>
      <c r="C237" s="3" t="s">
        <v>113</v>
      </c>
      <c r="D237" s="1" t="s">
        <v>345</v>
      </c>
      <c r="E237" s="7" t="str">
        <f t="shared" si="21"/>
        <v>GFI</v>
      </c>
      <c r="F237" s="7" t="str">
        <f t="shared" si="22"/>
        <v>KID</v>
      </c>
      <c r="G237" s="7" t="str">
        <f t="shared" si="23"/>
        <v>SWL</v>
      </c>
      <c r="H237" s="7" t="str">
        <f t="shared" si="24"/>
        <v>ONE</v>
      </c>
      <c r="I237" s="7" t="str">
        <f t="shared" si="25"/>
        <v>TCS</v>
      </c>
      <c r="J237" s="7" t="str">
        <f t="shared" si="26"/>
        <v>CRE</v>
      </c>
      <c r="K237" s="7" t="str">
        <f t="shared" si="27"/>
        <v>4</v>
      </c>
      <c r="L237" s="7" t="s">
        <v>2581</v>
      </c>
      <c r="M237" s="7" t="s">
        <v>4464</v>
      </c>
      <c r="N237" s="7">
        <f>_xlfn.XLOOKUP(A237,[1]SKU!$A:$A,[1]SKU!$Z:$Z)</f>
        <v>990000</v>
      </c>
    </row>
    <row r="238" spans="1:14" s="7" customFormat="1">
      <c r="A238" s="1" t="s">
        <v>346</v>
      </c>
      <c r="B238" s="3" t="s">
        <v>3</v>
      </c>
      <c r="C238" s="3" t="s">
        <v>81</v>
      </c>
      <c r="D238" s="1" t="s">
        <v>347</v>
      </c>
      <c r="E238" s="7" t="str">
        <f t="shared" si="21"/>
        <v>GOR</v>
      </c>
      <c r="F238" s="7" t="str">
        <f t="shared" si="22"/>
        <v>MEN</v>
      </c>
      <c r="G238" s="7" t="str">
        <f t="shared" si="23"/>
        <v>TSP</v>
      </c>
      <c r="H238" s="7" t="str">
        <f t="shared" si="24"/>
        <v>ONE</v>
      </c>
      <c r="I238" s="7" t="str">
        <f t="shared" si="25"/>
        <v>JUN</v>
      </c>
      <c r="J238" s="7" t="str">
        <f t="shared" si="26"/>
        <v>JBG</v>
      </c>
      <c r="K238" s="7" t="str">
        <f t="shared" si="27"/>
        <v>XXL</v>
      </c>
      <c r="L238" s="7" t="s">
        <v>2085</v>
      </c>
      <c r="M238" s="7" t="s">
        <v>4462</v>
      </c>
      <c r="N238" s="7">
        <f>_xlfn.XLOOKUP(A238,[1]SKU!$A:$A,[1]SKU!$Z:$Z)</f>
        <v>990000</v>
      </c>
    </row>
    <row r="239" spans="1:14" s="7" customFormat="1">
      <c r="A239" s="1" t="s">
        <v>348</v>
      </c>
      <c r="B239" s="3" t="s">
        <v>3</v>
      </c>
      <c r="C239" s="3" t="s">
        <v>38</v>
      </c>
      <c r="D239" s="1" t="s">
        <v>349</v>
      </c>
      <c r="E239" s="7" t="str">
        <f t="shared" si="21"/>
        <v>GPI</v>
      </c>
      <c r="F239" s="7" t="str">
        <f t="shared" si="22"/>
        <v>MEN</v>
      </c>
      <c r="G239" s="7" t="str">
        <f t="shared" si="23"/>
        <v>POL</v>
      </c>
      <c r="H239" s="7" t="str">
        <f t="shared" si="24"/>
        <v>RIB</v>
      </c>
      <c r="I239" s="7" t="str">
        <f t="shared" si="25"/>
        <v>LOG</v>
      </c>
      <c r="J239" s="7" t="str">
        <f t="shared" si="26"/>
        <v>AGD</v>
      </c>
      <c r="K239" s="7" t="str">
        <f t="shared" si="27"/>
        <v>XL</v>
      </c>
      <c r="L239" s="7" t="s">
        <v>1995</v>
      </c>
      <c r="M239" s="7" t="s">
        <v>4468</v>
      </c>
      <c r="N239" s="7">
        <f>_xlfn.XLOOKUP(A239,[1]SKU!$A:$A,[1]SKU!$Z:$Z)</f>
        <v>1390000</v>
      </c>
    </row>
    <row r="240" spans="1:14" s="7" customFormat="1">
      <c r="A240" s="1" t="s">
        <v>350</v>
      </c>
      <c r="B240" s="3" t="s">
        <v>3</v>
      </c>
      <c r="C240" s="3" t="s">
        <v>233</v>
      </c>
      <c r="D240" s="1" t="s">
        <v>351</v>
      </c>
      <c r="E240" s="7" t="str">
        <f t="shared" si="21"/>
        <v>GBA</v>
      </c>
      <c r="F240" s="7" t="str">
        <f t="shared" si="22"/>
        <v>MEN</v>
      </c>
      <c r="G240" s="7" t="str">
        <f t="shared" si="23"/>
        <v>TSS</v>
      </c>
      <c r="H240" s="7" t="str">
        <f t="shared" si="24"/>
        <v>ONE</v>
      </c>
      <c r="I240" s="7" t="str">
        <f t="shared" si="25"/>
        <v>SMR</v>
      </c>
      <c r="J240" s="7" t="str">
        <f t="shared" si="26"/>
        <v>WHI</v>
      </c>
      <c r="K240" s="7" t="str">
        <f t="shared" si="27"/>
        <v>XXL</v>
      </c>
      <c r="L240" s="7" t="s">
        <v>2018</v>
      </c>
      <c r="M240" s="7" t="s">
        <v>4462</v>
      </c>
      <c r="N240" s="7">
        <f>_xlfn.XLOOKUP(A240,[1]SKU!$A:$A,[1]SKU!$Z:$Z)</f>
        <v>710000</v>
      </c>
    </row>
    <row r="241" spans="1:14" s="7" customFormat="1">
      <c r="A241" s="1" t="s">
        <v>4769</v>
      </c>
      <c r="B241" s="3" t="s">
        <v>4472</v>
      </c>
      <c r="C241" s="3" t="s">
        <v>94</v>
      </c>
      <c r="D241" s="1" t="s">
        <v>4770</v>
      </c>
      <c r="E241" s="7" t="str">
        <f t="shared" si="21"/>
        <v>NGO</v>
      </c>
      <c r="F241" s="7" t="str">
        <f t="shared" si="22"/>
        <v>UNI</v>
      </c>
      <c r="G241" s="7" t="str">
        <f t="shared" si="23"/>
        <v>FWR</v>
      </c>
      <c r="H241" s="7" t="str">
        <f t="shared" si="24"/>
        <v>SNE</v>
      </c>
      <c r="I241" s="7" t="str">
        <f t="shared" si="25"/>
        <v>SGS</v>
      </c>
      <c r="J241" s="7" t="str">
        <f t="shared" si="26"/>
        <v>PEA</v>
      </c>
      <c r="K241" s="7" t="str">
        <f t="shared" si="27"/>
        <v>42</v>
      </c>
      <c r="L241" s="7">
        <v>0</v>
      </c>
      <c r="M241" s="7" t="s">
        <v>2609</v>
      </c>
      <c r="N241" s="7">
        <f>_xlfn.XLOOKUP(A241,[1]SKU!$A:$A,[1]SKU!$Z:$Z)</f>
        <v>3850000</v>
      </c>
    </row>
    <row r="242" spans="1:14" s="7" customFormat="1">
      <c r="A242" s="1" t="s">
        <v>352</v>
      </c>
      <c r="B242" s="3" t="s">
        <v>19</v>
      </c>
      <c r="C242" s="3" t="s">
        <v>306</v>
      </c>
      <c r="D242" s="1" t="s">
        <v>353</v>
      </c>
      <c r="E242" s="7" t="str">
        <f t="shared" si="21"/>
        <v>OTH</v>
      </c>
      <c r="F242" s="7" t="str">
        <f t="shared" si="22"/>
        <v>UNI</v>
      </c>
      <c r="G242" s="7" t="str">
        <f t="shared" si="23"/>
        <v>BAG</v>
      </c>
      <c r="H242" s="7" t="str">
        <f t="shared" si="24"/>
        <v>PCE</v>
      </c>
      <c r="I242" s="7" t="str">
        <f t="shared" si="25"/>
        <v>PCE</v>
      </c>
      <c r="J242" s="7" t="str">
        <f t="shared" si="26"/>
        <v>ARM</v>
      </c>
      <c r="K242" s="7" t="str">
        <f t="shared" si="27"/>
        <v>0</v>
      </c>
      <c r="L242" s="7">
        <v>0</v>
      </c>
      <c r="M242" s="7" t="s">
        <v>2609</v>
      </c>
      <c r="N242" s="7">
        <f>_xlfn.XLOOKUP(A242,[1]SKU!$A:$A,[1]SKU!$Z:$Z)</f>
        <v>395000</v>
      </c>
    </row>
    <row r="243" spans="1:14" s="7" customFormat="1">
      <c r="A243" s="1" t="s">
        <v>4771</v>
      </c>
      <c r="B243" s="3" t="s">
        <v>4472</v>
      </c>
      <c r="C243" s="3" t="s">
        <v>73</v>
      </c>
      <c r="D243" s="1" t="s">
        <v>4772</v>
      </c>
      <c r="E243" s="7" t="str">
        <f t="shared" si="21"/>
        <v>DSP</v>
      </c>
      <c r="F243" s="7" t="str">
        <f t="shared" si="22"/>
        <v>UNI</v>
      </c>
      <c r="G243" s="7" t="str">
        <f t="shared" si="23"/>
        <v>BAG</v>
      </c>
      <c r="H243" s="7" t="str">
        <f t="shared" si="24"/>
        <v>WAL</v>
      </c>
      <c r="I243" s="7" t="str">
        <f t="shared" si="25"/>
        <v>SEU</v>
      </c>
      <c r="J243" s="7" t="str">
        <f t="shared" si="26"/>
        <v>CHE</v>
      </c>
      <c r="K243" s="7" t="str">
        <f t="shared" si="27"/>
        <v>0</v>
      </c>
      <c r="L243" s="7">
        <v>0</v>
      </c>
      <c r="M243" s="7" t="s">
        <v>2609</v>
      </c>
      <c r="N243" s="7">
        <f>_xlfn.XLOOKUP(A243,[1]SKU!$A:$A,[1]SKU!$Z:$Z)</f>
        <v>2900000</v>
      </c>
    </row>
    <row r="244" spans="1:14" s="7" customFormat="1">
      <c r="A244" s="1" t="s">
        <v>4773</v>
      </c>
      <c r="B244" s="3" t="s">
        <v>4472</v>
      </c>
      <c r="C244" s="3" t="s">
        <v>354</v>
      </c>
      <c r="D244" s="1" t="s">
        <v>4774</v>
      </c>
      <c r="E244" s="7" t="str">
        <f t="shared" si="21"/>
        <v>PSD</v>
      </c>
      <c r="F244" s="7" t="str">
        <f t="shared" si="22"/>
        <v>UNI</v>
      </c>
      <c r="G244" s="7" t="str">
        <f t="shared" si="23"/>
        <v>SOU</v>
      </c>
      <c r="H244" s="7" t="str">
        <f t="shared" si="24"/>
        <v>DEC</v>
      </c>
      <c r="I244" s="7" t="str">
        <f t="shared" si="25"/>
        <v>TWB</v>
      </c>
      <c r="J244" s="7" t="str">
        <f t="shared" si="26"/>
        <v>YEL</v>
      </c>
      <c r="K244" s="7" t="str">
        <f t="shared" si="27"/>
        <v>BOX</v>
      </c>
      <c r="L244" s="7">
        <v>0</v>
      </c>
      <c r="M244" s="7" t="s">
        <v>2609</v>
      </c>
      <c r="N244" s="7">
        <f>_xlfn.XLOOKUP(A244,[1]SKU!$A:$A,[1]SKU!$Z:$Z)</f>
        <v>750000</v>
      </c>
    </row>
    <row r="245" spans="1:14" s="7" customFormat="1">
      <c r="A245" s="1" t="s">
        <v>4775</v>
      </c>
      <c r="B245" s="3" t="s">
        <v>4472</v>
      </c>
      <c r="C245" s="3" t="s">
        <v>4776</v>
      </c>
      <c r="D245" s="1" t="s">
        <v>4777</v>
      </c>
      <c r="E245" s="7" t="str">
        <f t="shared" si="21"/>
        <v>LAN</v>
      </c>
      <c r="F245" s="7" t="str">
        <f t="shared" si="22"/>
        <v>UNI</v>
      </c>
      <c r="G245" s="7" t="str">
        <f t="shared" si="23"/>
        <v>HWR</v>
      </c>
      <c r="H245" s="7" t="str">
        <f t="shared" si="24"/>
        <v>SC2</v>
      </c>
      <c r="I245" s="7" t="str">
        <f t="shared" si="25"/>
        <v>TKU</v>
      </c>
      <c r="J245" s="7" t="str">
        <f t="shared" si="26"/>
        <v>PIN</v>
      </c>
      <c r="K245" s="7" t="str">
        <f t="shared" si="27"/>
        <v>6x130</v>
      </c>
      <c r="L245" s="7">
        <v>0</v>
      </c>
      <c r="M245" s="7" t="s">
        <v>2609</v>
      </c>
      <c r="N245" s="7">
        <f>_xlfn.XLOOKUP(A245,[1]SKU!$A:$A,[1]SKU!$Z:$Z)</f>
        <v>365000</v>
      </c>
    </row>
    <row r="246" spans="1:14" s="7" customFormat="1">
      <c r="A246" s="1" t="s">
        <v>355</v>
      </c>
      <c r="B246" s="3" t="s">
        <v>3</v>
      </c>
      <c r="C246" s="3" t="s">
        <v>137</v>
      </c>
      <c r="D246" s="1" t="s">
        <v>356</v>
      </c>
      <c r="E246" s="7" t="str">
        <f t="shared" si="21"/>
        <v>GOR</v>
      </c>
      <c r="F246" s="7" t="str">
        <f t="shared" si="22"/>
        <v>MEN</v>
      </c>
      <c r="G246" s="7" t="str">
        <f t="shared" si="23"/>
        <v>TSS</v>
      </c>
      <c r="H246" s="7" t="str">
        <f t="shared" si="24"/>
        <v>ONE</v>
      </c>
      <c r="I246" s="7" t="str">
        <f t="shared" si="25"/>
        <v>HHA</v>
      </c>
      <c r="J246" s="7" t="str">
        <f t="shared" si="26"/>
        <v>WHI</v>
      </c>
      <c r="K246" s="7" t="str">
        <f t="shared" si="27"/>
        <v>XL</v>
      </c>
      <c r="L246" s="7" t="s">
        <v>2018</v>
      </c>
      <c r="M246" s="7" t="s">
        <v>4462</v>
      </c>
      <c r="N246" s="7">
        <f>_xlfn.XLOOKUP(A246,[1]SKU!$A:$A,[1]SKU!$Z:$Z)</f>
        <v>990000</v>
      </c>
    </row>
    <row r="247" spans="1:14" s="7" customFormat="1">
      <c r="A247" s="1" t="s">
        <v>357</v>
      </c>
      <c r="B247" s="3" t="s">
        <v>3</v>
      </c>
      <c r="C247" s="3" t="s">
        <v>358</v>
      </c>
      <c r="D247" s="1" t="s">
        <v>359</v>
      </c>
      <c r="E247" s="7" t="str">
        <f t="shared" si="21"/>
        <v>GOR</v>
      </c>
      <c r="F247" s="7" t="str">
        <f t="shared" si="22"/>
        <v>MEN</v>
      </c>
      <c r="G247" s="7" t="str">
        <f t="shared" si="23"/>
        <v>TSS</v>
      </c>
      <c r="H247" s="7" t="str">
        <f t="shared" si="24"/>
        <v>HNE</v>
      </c>
      <c r="I247" s="7" t="str">
        <f t="shared" si="25"/>
        <v>THB</v>
      </c>
      <c r="J247" s="7" t="str">
        <f t="shared" si="26"/>
        <v>WHI</v>
      </c>
      <c r="K247" s="7" t="str">
        <f t="shared" si="27"/>
        <v>XXL</v>
      </c>
      <c r="L247" s="7" t="s">
        <v>2018</v>
      </c>
      <c r="M247" s="7" t="s">
        <v>4462</v>
      </c>
      <c r="N247" s="7">
        <f>_xlfn.XLOOKUP(A247,[1]SKU!$A:$A,[1]SKU!$Z:$Z)</f>
        <v>1190000</v>
      </c>
    </row>
    <row r="248" spans="1:14" s="7" customFormat="1">
      <c r="A248" s="1" t="s">
        <v>360</v>
      </c>
      <c r="B248" s="3" t="s">
        <v>3</v>
      </c>
      <c r="C248" s="3" t="s">
        <v>295</v>
      </c>
      <c r="D248" s="1" t="s">
        <v>361</v>
      </c>
      <c r="E248" s="7" t="str">
        <f t="shared" si="21"/>
        <v>GOR</v>
      </c>
      <c r="F248" s="7" t="str">
        <f t="shared" si="22"/>
        <v>KID</v>
      </c>
      <c r="G248" s="7" t="str">
        <f t="shared" si="23"/>
        <v>TSS</v>
      </c>
      <c r="H248" s="7" t="str">
        <f t="shared" si="24"/>
        <v>ONE</v>
      </c>
      <c r="I248" s="7" t="str">
        <f t="shared" si="25"/>
        <v>WBO</v>
      </c>
      <c r="J248" s="7" t="str">
        <f t="shared" si="26"/>
        <v>JBG</v>
      </c>
      <c r="K248" s="7" t="str">
        <f t="shared" si="27"/>
        <v>10</v>
      </c>
      <c r="L248" s="7" t="s">
        <v>2018</v>
      </c>
      <c r="M248" s="7" t="s">
        <v>4462</v>
      </c>
      <c r="N248" s="7">
        <f>_xlfn.XLOOKUP(A248,[1]SKU!$A:$A,[1]SKU!$Z:$Z)</f>
        <v>590000</v>
      </c>
    </row>
    <row r="249" spans="1:14" s="7" customFormat="1">
      <c r="A249" s="1" t="s">
        <v>4778</v>
      </c>
      <c r="B249" s="3" t="s">
        <v>4472</v>
      </c>
      <c r="C249" s="3" t="s">
        <v>266</v>
      </c>
      <c r="D249" s="1" t="s">
        <v>4779</v>
      </c>
      <c r="E249" s="7" t="str">
        <f t="shared" si="21"/>
        <v>DSP</v>
      </c>
      <c r="F249" s="7" t="str">
        <f t="shared" si="22"/>
        <v>UNI</v>
      </c>
      <c r="G249" s="7" t="str">
        <f t="shared" si="23"/>
        <v>BAG</v>
      </c>
      <c r="H249" s="7" t="str">
        <f t="shared" si="24"/>
        <v>CHR</v>
      </c>
      <c r="I249" s="7" t="str">
        <f t="shared" si="25"/>
        <v>SCH</v>
      </c>
      <c r="J249" s="7" t="str">
        <f t="shared" si="26"/>
        <v>LDP</v>
      </c>
      <c r="K249" s="7" t="str">
        <f t="shared" si="27"/>
        <v>0</v>
      </c>
      <c r="L249" s="7">
        <v>0</v>
      </c>
      <c r="M249" s="7" t="s">
        <v>2609</v>
      </c>
      <c r="N249" s="7">
        <f>_xlfn.XLOOKUP(A249,[1]SKU!$A:$A,[1]SKU!$Z:$Z)</f>
        <v>1150000</v>
      </c>
    </row>
    <row r="250" spans="1:14" s="7" customFormat="1">
      <c r="A250" s="1" t="s">
        <v>4780</v>
      </c>
      <c r="B250" s="3" t="s">
        <v>4472</v>
      </c>
      <c r="C250" s="3" t="s">
        <v>362</v>
      </c>
      <c r="D250" s="1" t="s">
        <v>4781</v>
      </c>
      <c r="E250" s="7" t="str">
        <f t="shared" si="21"/>
        <v>DSP</v>
      </c>
      <c r="F250" s="7" t="str">
        <f t="shared" si="22"/>
        <v>UNI</v>
      </c>
      <c r="G250" s="7" t="str">
        <f t="shared" si="23"/>
        <v>HDR</v>
      </c>
      <c r="H250" s="7" t="str">
        <f t="shared" si="24"/>
        <v>TRA</v>
      </c>
      <c r="I250" s="7" t="str">
        <f t="shared" si="25"/>
        <v>ST2</v>
      </c>
      <c r="J250" s="7" t="str">
        <f t="shared" si="26"/>
        <v>DGN</v>
      </c>
      <c r="K250" s="7" t="str">
        <f t="shared" si="27"/>
        <v>0</v>
      </c>
      <c r="L250" s="7">
        <v>0</v>
      </c>
      <c r="M250" s="7" t="s">
        <v>2609</v>
      </c>
      <c r="N250" s="7">
        <f>_xlfn.XLOOKUP(A250,[1]SKU!$A:$A,[1]SKU!$Z:$Z)</f>
        <v>3550000</v>
      </c>
    </row>
    <row r="251" spans="1:14" s="7" customFormat="1">
      <c r="A251" s="1" t="s">
        <v>363</v>
      </c>
      <c r="B251" s="3" t="s">
        <v>19</v>
      </c>
      <c r="C251" s="3" t="s">
        <v>61</v>
      </c>
      <c r="D251" s="1" t="s">
        <v>364</v>
      </c>
      <c r="E251" s="7" t="str">
        <f t="shared" si="21"/>
        <v>OTH</v>
      </c>
      <c r="F251" s="7" t="str">
        <f t="shared" si="22"/>
        <v>UNI</v>
      </c>
      <c r="G251" s="7" t="str">
        <f t="shared" si="23"/>
        <v>SOU</v>
      </c>
      <c r="H251" s="7" t="str">
        <f t="shared" si="24"/>
        <v>NBS</v>
      </c>
      <c r="I251" s="7" t="str">
        <f t="shared" si="25"/>
        <v>RLN</v>
      </c>
      <c r="J251" s="7" t="str">
        <f t="shared" si="26"/>
        <v>CRE</v>
      </c>
      <c r="K251" s="7" t="str">
        <f t="shared" si="27"/>
        <v>A6</v>
      </c>
      <c r="L251" s="7">
        <v>0</v>
      </c>
      <c r="M251" s="7" t="s">
        <v>2609</v>
      </c>
      <c r="N251" s="7">
        <f>_xlfn.XLOOKUP(A251,[1]SKU!$A:$A,[1]SKU!$Z:$Z)</f>
        <v>65000</v>
      </c>
    </row>
    <row r="252" spans="1:14" s="7" customFormat="1">
      <c r="A252" s="1" t="s">
        <v>365</v>
      </c>
      <c r="B252" s="3" t="s">
        <v>3</v>
      </c>
      <c r="C252" s="3" t="s">
        <v>38</v>
      </c>
      <c r="D252" s="1" t="s">
        <v>366</v>
      </c>
      <c r="E252" s="7" t="str">
        <f t="shared" si="21"/>
        <v>GLI</v>
      </c>
      <c r="F252" s="7" t="str">
        <f t="shared" si="22"/>
        <v>MEN</v>
      </c>
      <c r="G252" s="7" t="str">
        <f t="shared" si="23"/>
        <v>SIS</v>
      </c>
      <c r="H252" s="7" t="str">
        <f t="shared" si="24"/>
        <v>CLA</v>
      </c>
      <c r="I252" s="7" t="str">
        <f t="shared" si="25"/>
        <v>LOG</v>
      </c>
      <c r="J252" s="7" t="str">
        <f t="shared" si="26"/>
        <v>CAM</v>
      </c>
      <c r="K252" s="7" t="str">
        <f t="shared" si="27"/>
        <v>XXL</v>
      </c>
      <c r="L252" s="7" t="s">
        <v>2211</v>
      </c>
      <c r="M252" s="7" t="s">
        <v>4464</v>
      </c>
      <c r="N252" s="7">
        <f>_xlfn.XLOOKUP(A252,[1]SKU!$A:$A,[1]SKU!$Z:$Z)</f>
        <v>2590000</v>
      </c>
    </row>
    <row r="253" spans="1:14" s="7" customFormat="1">
      <c r="A253" s="1" t="s">
        <v>4782</v>
      </c>
      <c r="B253" s="3" t="s">
        <v>4472</v>
      </c>
      <c r="C253" s="3" t="s">
        <v>4783</v>
      </c>
      <c r="D253" s="1" t="s">
        <v>4784</v>
      </c>
      <c r="E253" s="7" t="str">
        <f t="shared" si="21"/>
        <v>LAN</v>
      </c>
      <c r="F253" s="7" t="str">
        <f t="shared" si="22"/>
        <v>UNI</v>
      </c>
      <c r="G253" s="7" t="str">
        <f t="shared" si="23"/>
        <v>HWR</v>
      </c>
      <c r="H253" s="7" t="str">
        <f t="shared" si="24"/>
        <v>SC1</v>
      </c>
      <c r="I253" s="7" t="str">
        <f t="shared" si="25"/>
        <v>ATU</v>
      </c>
      <c r="J253" s="7" t="str">
        <f t="shared" si="26"/>
        <v>BLU</v>
      </c>
      <c r="K253" s="7" t="str">
        <f t="shared" si="27"/>
        <v>90x90</v>
      </c>
      <c r="L253" s="7">
        <v>0</v>
      </c>
      <c r="M253" s="7" t="s">
        <v>2609</v>
      </c>
      <c r="N253" s="7">
        <f>_xlfn.XLOOKUP(A253,[1]SKU!$A:$A,[1]SKU!$Z:$Z)</f>
        <v>849000</v>
      </c>
    </row>
    <row r="254" spans="1:14" s="7" customFormat="1">
      <c r="A254" s="1" t="s">
        <v>4785</v>
      </c>
      <c r="B254" s="3" t="s">
        <v>4472</v>
      </c>
      <c r="C254" s="3" t="s">
        <v>4786</v>
      </c>
      <c r="D254" s="1" t="s">
        <v>4787</v>
      </c>
      <c r="E254" s="7" t="str">
        <f t="shared" si="21"/>
        <v>HAM</v>
      </c>
      <c r="F254" s="7" t="str">
        <f t="shared" si="22"/>
        <v>UNI</v>
      </c>
      <c r="G254" s="7" t="str">
        <f t="shared" si="23"/>
        <v>JEW</v>
      </c>
      <c r="H254" s="7" t="str">
        <f t="shared" si="24"/>
        <v>NEC</v>
      </c>
      <c r="I254" s="7" t="str">
        <f t="shared" si="25"/>
        <v>138</v>
      </c>
      <c r="J254" s="7" t="str">
        <f t="shared" si="26"/>
        <v>MIX</v>
      </c>
      <c r="K254" s="7" t="str">
        <f t="shared" si="27"/>
        <v>0</v>
      </c>
      <c r="L254" s="7">
        <v>0</v>
      </c>
      <c r="M254" s="7" t="s">
        <v>2609</v>
      </c>
      <c r="N254" s="7">
        <f>_xlfn.XLOOKUP(A254,[1]SKU!$A:$A,[1]SKU!$Z:$Z)</f>
        <v>3000000</v>
      </c>
    </row>
    <row r="255" spans="1:14" s="7" customFormat="1">
      <c r="A255" s="1" t="s">
        <v>4788</v>
      </c>
      <c r="B255" s="3" t="s">
        <v>4472</v>
      </c>
      <c r="C255" s="3" t="s">
        <v>4789</v>
      </c>
      <c r="D255" s="1" t="s">
        <v>4790</v>
      </c>
      <c r="E255" s="7" t="str">
        <f t="shared" si="21"/>
        <v>HAM</v>
      </c>
      <c r="F255" s="7" t="str">
        <f t="shared" si="22"/>
        <v>UNI</v>
      </c>
      <c r="G255" s="7" t="str">
        <f t="shared" si="23"/>
        <v>JEW</v>
      </c>
      <c r="H255" s="7" t="str">
        <f t="shared" si="24"/>
        <v>EAR</v>
      </c>
      <c r="I255" s="7" t="str">
        <f t="shared" si="25"/>
        <v>E42</v>
      </c>
      <c r="J255" s="7" t="str">
        <f t="shared" si="26"/>
        <v>MIX</v>
      </c>
      <c r="K255" s="7" t="str">
        <f t="shared" si="27"/>
        <v>0</v>
      </c>
      <c r="L255" s="7">
        <v>0</v>
      </c>
      <c r="M255" s="7" t="s">
        <v>2609</v>
      </c>
      <c r="N255" s="7">
        <f>_xlfn.XLOOKUP(A255,[1]SKU!$A:$A,[1]SKU!$Z:$Z)</f>
        <v>1000000</v>
      </c>
    </row>
    <row r="256" spans="1:14" s="7" customFormat="1">
      <c r="A256" s="1" t="s">
        <v>368</v>
      </c>
      <c r="B256" s="3" t="s">
        <v>3</v>
      </c>
      <c r="C256" s="3" t="s">
        <v>58</v>
      </c>
      <c r="D256" s="1" t="s">
        <v>369</v>
      </c>
      <c r="E256" s="7" t="str">
        <f t="shared" si="21"/>
        <v>GLI</v>
      </c>
      <c r="F256" s="7" t="str">
        <f t="shared" si="22"/>
        <v>MEN</v>
      </c>
      <c r="G256" s="7" t="str">
        <f t="shared" si="23"/>
        <v>PAF</v>
      </c>
      <c r="H256" s="7" t="str">
        <f t="shared" si="24"/>
        <v>BBT</v>
      </c>
      <c r="I256" s="7" t="str">
        <f t="shared" si="25"/>
        <v>LIN</v>
      </c>
      <c r="J256" s="7" t="str">
        <f t="shared" si="26"/>
        <v>NAV</v>
      </c>
      <c r="K256" s="7" t="str">
        <f t="shared" si="27"/>
        <v>XL</v>
      </c>
      <c r="L256" s="7" t="s">
        <v>2700</v>
      </c>
      <c r="M256" s="7" t="s">
        <v>4467</v>
      </c>
      <c r="N256" s="7">
        <f>_xlfn.XLOOKUP(A256,[1]SKU!$A:$A,[1]SKU!$Z:$Z)</f>
        <v>2690000</v>
      </c>
    </row>
    <row r="257" spans="1:14" s="7" customFormat="1">
      <c r="A257" s="1" t="s">
        <v>4791</v>
      </c>
      <c r="B257" s="3" t="s">
        <v>4472</v>
      </c>
      <c r="C257" s="3" t="s">
        <v>4792</v>
      </c>
      <c r="D257" s="1" t="s">
        <v>4793</v>
      </c>
      <c r="E257" s="7" t="str">
        <f t="shared" si="21"/>
        <v>LAN</v>
      </c>
      <c r="F257" s="7" t="str">
        <f t="shared" si="22"/>
        <v>UNI</v>
      </c>
      <c r="G257" s="7" t="str">
        <f t="shared" si="23"/>
        <v>HWR</v>
      </c>
      <c r="H257" s="7" t="str">
        <f t="shared" si="24"/>
        <v>SC2</v>
      </c>
      <c r="I257" s="7" t="str">
        <f t="shared" si="25"/>
        <v>SPA</v>
      </c>
      <c r="J257" s="7" t="str">
        <f t="shared" si="26"/>
        <v>PUR</v>
      </c>
      <c r="K257" s="7" t="str">
        <f t="shared" si="27"/>
        <v>90x90</v>
      </c>
      <c r="L257" s="7">
        <v>0</v>
      </c>
      <c r="M257" s="7" t="s">
        <v>2609</v>
      </c>
      <c r="N257" s="7">
        <f>_xlfn.XLOOKUP(A257,[1]SKU!$A:$A,[1]SKU!$Z:$Z)</f>
        <v>989000</v>
      </c>
    </row>
    <row r="258" spans="1:14" s="7" customFormat="1">
      <c r="A258" s="1" t="s">
        <v>4794</v>
      </c>
      <c r="B258" s="3" t="s">
        <v>4472</v>
      </c>
      <c r="C258" s="3" t="s">
        <v>4795</v>
      </c>
      <c r="D258" s="1" t="s">
        <v>4796</v>
      </c>
      <c r="E258" s="7" t="str">
        <f t="shared" si="21"/>
        <v>BLS</v>
      </c>
      <c r="F258" s="7" t="str">
        <f t="shared" si="22"/>
        <v>UNI</v>
      </c>
      <c r="G258" s="7" t="str">
        <f t="shared" si="23"/>
        <v>FNB</v>
      </c>
      <c r="H258" s="7" t="str">
        <f t="shared" si="24"/>
        <v>SAL</v>
      </c>
      <c r="I258" s="7" t="str">
        <f t="shared" si="25"/>
        <v>014</v>
      </c>
      <c r="J258" s="7" t="str">
        <f t="shared" si="26"/>
        <v>MIX</v>
      </c>
      <c r="K258" s="7" t="str">
        <f t="shared" si="27"/>
        <v>50g</v>
      </c>
      <c r="L258" s="7">
        <v>0</v>
      </c>
      <c r="M258" s="7" t="s">
        <v>2609</v>
      </c>
      <c r="N258" s="7">
        <f>_xlfn.XLOOKUP(A258,[1]SKU!$A:$A,[1]SKU!$Z:$Z)</f>
        <v>215000</v>
      </c>
    </row>
    <row r="259" spans="1:14" s="7" customFormat="1">
      <c r="A259" s="1" t="s">
        <v>4794</v>
      </c>
      <c r="B259" s="3" t="s">
        <v>4472</v>
      </c>
      <c r="C259" s="3" t="s">
        <v>4795</v>
      </c>
      <c r="D259" s="1" t="s">
        <v>4796</v>
      </c>
      <c r="E259" s="7" t="str">
        <f t="shared" ref="E259:E322" si="28">_xlfn.TEXTBEFORE(_xlfn.TEXTAFTER(D259,"-"),"-")</f>
        <v>BLS</v>
      </c>
      <c r="F259" s="7" t="str">
        <f t="shared" ref="F259:F322" si="29">_xlfn.TEXTBEFORE(_xlfn.TEXTAFTER(D259,"-",2),"-")</f>
        <v>UNI</v>
      </c>
      <c r="G259" s="7" t="str">
        <f t="shared" ref="G259:G322" si="30">_xlfn.TEXTBEFORE(_xlfn.TEXTAFTER(D259,"-",3),"-")</f>
        <v>FNB</v>
      </c>
      <c r="H259" s="7" t="str">
        <f t="shared" ref="H259:H322" si="31">_xlfn.TEXTBEFORE(_xlfn.TEXTAFTER(D259,"-",4),"-")</f>
        <v>SAL</v>
      </c>
      <c r="I259" s="7" t="str">
        <f t="shared" ref="I259:I322" si="32">_xlfn.TEXTBEFORE(_xlfn.TEXTAFTER(D259,"-",5),"-")</f>
        <v>014</v>
      </c>
      <c r="J259" s="7" t="str">
        <f t="shared" ref="J259:J322" si="33">_xlfn.TEXTBEFORE(_xlfn.TEXTAFTER(D259,"-",6),"-")</f>
        <v>MIX</v>
      </c>
      <c r="K259" s="7" t="str">
        <f t="shared" ref="K259:K322" si="34">_xlfn.TEXTAFTER(D259,"-",7)</f>
        <v>50g</v>
      </c>
      <c r="L259" s="7">
        <v>0</v>
      </c>
      <c r="M259" s="7" t="s">
        <v>2609</v>
      </c>
      <c r="N259" s="7">
        <f>_xlfn.XLOOKUP(A259,[1]SKU!$A:$A,[1]SKU!$Z:$Z)</f>
        <v>215000</v>
      </c>
    </row>
    <row r="260" spans="1:14" s="7" customFormat="1">
      <c r="A260" s="1" t="s">
        <v>370</v>
      </c>
      <c r="B260" s="3" t="s">
        <v>3</v>
      </c>
      <c r="C260" s="3" t="s">
        <v>84</v>
      </c>
      <c r="D260" s="1" t="s">
        <v>371</v>
      </c>
      <c r="E260" s="7" t="str">
        <f t="shared" si="28"/>
        <v>GOR</v>
      </c>
      <c r="F260" s="7" t="str">
        <f t="shared" si="29"/>
        <v>MEN</v>
      </c>
      <c r="G260" s="7" t="str">
        <f t="shared" si="30"/>
        <v>TSS</v>
      </c>
      <c r="H260" s="7" t="str">
        <f t="shared" si="31"/>
        <v>ONE</v>
      </c>
      <c r="I260" s="7" t="str">
        <f t="shared" si="32"/>
        <v>HAI</v>
      </c>
      <c r="J260" s="7" t="str">
        <f t="shared" si="33"/>
        <v>BLK</v>
      </c>
      <c r="K260" s="7" t="str">
        <f t="shared" si="34"/>
        <v>XXL</v>
      </c>
      <c r="L260" s="7" t="s">
        <v>2018</v>
      </c>
      <c r="M260" s="7" t="s">
        <v>4462</v>
      </c>
      <c r="N260" s="7">
        <f>_xlfn.XLOOKUP(A260,[1]SKU!$A:$A,[1]SKU!$Z:$Z)</f>
        <v>790000</v>
      </c>
    </row>
    <row r="261" spans="1:14" s="7" customFormat="1">
      <c r="A261" s="1" t="s">
        <v>4797</v>
      </c>
      <c r="B261" s="3" t="s">
        <v>4472</v>
      </c>
      <c r="C261" s="3" t="s">
        <v>372</v>
      </c>
      <c r="D261" s="1" t="s">
        <v>4798</v>
      </c>
      <c r="E261" s="7" t="str">
        <f t="shared" si="28"/>
        <v>VNE</v>
      </c>
      <c r="F261" s="7" t="str">
        <f t="shared" si="29"/>
        <v>UNI</v>
      </c>
      <c r="G261" s="7" t="str">
        <f t="shared" si="30"/>
        <v>SOU</v>
      </c>
      <c r="H261" s="7" t="str">
        <f t="shared" si="31"/>
        <v>SMS</v>
      </c>
      <c r="I261" s="7" t="str">
        <f t="shared" si="32"/>
        <v>NAK</v>
      </c>
      <c r="J261" s="7" t="str">
        <f t="shared" si="33"/>
        <v>SGR</v>
      </c>
      <c r="K261" s="7" t="str">
        <f t="shared" si="34"/>
        <v>16CM</v>
      </c>
      <c r="L261" s="7">
        <v>0</v>
      </c>
      <c r="M261" s="7" t="s">
        <v>2609</v>
      </c>
      <c r="N261" s="7">
        <f>_xlfn.XLOOKUP(A261,[1]SKU!$A:$A,[1]SKU!$Z:$Z)</f>
        <v>6900000</v>
      </c>
    </row>
    <row r="262" spans="1:14" s="7" customFormat="1">
      <c r="A262" s="1" t="s">
        <v>373</v>
      </c>
      <c r="B262" s="3" t="s">
        <v>3</v>
      </c>
      <c r="C262" s="3" t="s">
        <v>167</v>
      </c>
      <c r="D262" s="1" t="s">
        <v>374</v>
      </c>
      <c r="E262" s="7" t="str">
        <f t="shared" si="28"/>
        <v>GFN</v>
      </c>
      <c r="F262" s="7" t="str">
        <f t="shared" si="29"/>
        <v>MEN</v>
      </c>
      <c r="G262" s="7" t="str">
        <f t="shared" si="30"/>
        <v>SHS</v>
      </c>
      <c r="H262" s="7" t="str">
        <f t="shared" si="31"/>
        <v>EBT</v>
      </c>
      <c r="I262" s="7" t="str">
        <f t="shared" si="32"/>
        <v>TJM</v>
      </c>
      <c r="J262" s="7" t="str">
        <f t="shared" si="33"/>
        <v>NAV</v>
      </c>
      <c r="K262" s="7" t="str">
        <f t="shared" si="34"/>
        <v>S</v>
      </c>
      <c r="L262" s="7" t="s">
        <v>2752</v>
      </c>
      <c r="M262" s="7" t="s">
        <v>4463</v>
      </c>
      <c r="N262" s="7">
        <f>_xlfn.XLOOKUP(A262,[1]SKU!$A:$A,[1]SKU!$Z:$Z)</f>
        <v>1050000</v>
      </c>
    </row>
    <row r="263" spans="1:14" s="7" customFormat="1">
      <c r="A263" s="1" t="s">
        <v>4799</v>
      </c>
      <c r="B263" s="3" t="s">
        <v>4472</v>
      </c>
      <c r="C263" s="3" t="s">
        <v>216</v>
      </c>
      <c r="D263" s="1" t="s">
        <v>4800</v>
      </c>
      <c r="E263" s="7" t="str">
        <f t="shared" si="28"/>
        <v>DSP</v>
      </c>
      <c r="F263" s="7" t="str">
        <f t="shared" si="29"/>
        <v>UNI</v>
      </c>
      <c r="G263" s="7" t="str">
        <f t="shared" si="30"/>
        <v>FWR</v>
      </c>
      <c r="H263" s="7" t="str">
        <f t="shared" si="31"/>
        <v>LES</v>
      </c>
      <c r="I263" s="7" t="str">
        <f t="shared" si="32"/>
        <v>BOX</v>
      </c>
      <c r="J263" s="7" t="str">
        <f t="shared" si="33"/>
        <v>BUR</v>
      </c>
      <c r="K263" s="7" t="str">
        <f t="shared" si="34"/>
        <v>38</v>
      </c>
      <c r="L263" s="7">
        <v>0</v>
      </c>
      <c r="M263" s="7" t="s">
        <v>2609</v>
      </c>
      <c r="N263" s="7">
        <f>_xlfn.XLOOKUP(A263,[1]SKU!$A:$A,[1]SKU!$Z:$Z)</f>
        <v>6200000</v>
      </c>
    </row>
    <row r="264" spans="1:14" s="7" customFormat="1">
      <c r="A264" s="1" t="s">
        <v>4801</v>
      </c>
      <c r="B264" s="3" t="s">
        <v>4472</v>
      </c>
      <c r="C264" s="3" t="s">
        <v>4802</v>
      </c>
      <c r="D264" s="1" t="s">
        <v>4803</v>
      </c>
      <c r="E264" s="7" t="str">
        <f t="shared" si="28"/>
        <v>LAN</v>
      </c>
      <c r="F264" s="7" t="str">
        <f t="shared" si="29"/>
        <v>UNI</v>
      </c>
      <c r="G264" s="7" t="str">
        <f t="shared" si="30"/>
        <v>HWR</v>
      </c>
      <c r="H264" s="7" t="str">
        <f t="shared" si="31"/>
        <v>SC2</v>
      </c>
      <c r="I264" s="7" t="str">
        <f t="shared" si="32"/>
        <v>HTB</v>
      </c>
      <c r="J264" s="7" t="str">
        <f t="shared" si="33"/>
        <v>YEL</v>
      </c>
      <c r="K264" s="7" t="str">
        <f t="shared" si="34"/>
        <v>6x130</v>
      </c>
      <c r="L264" s="7">
        <v>0</v>
      </c>
      <c r="M264" s="7" t="s">
        <v>2609</v>
      </c>
      <c r="N264" s="7">
        <f>_xlfn.XLOOKUP(A264,[1]SKU!$A:$A,[1]SKU!$Z:$Z)</f>
        <v>365000</v>
      </c>
    </row>
    <row r="265" spans="1:14" s="7" customFormat="1">
      <c r="A265" s="1" t="s">
        <v>4804</v>
      </c>
      <c r="B265" s="3" t="s">
        <v>4472</v>
      </c>
      <c r="C265" s="3" t="s">
        <v>375</v>
      </c>
      <c r="D265" s="1" t="s">
        <v>4805</v>
      </c>
      <c r="E265" s="7" t="str">
        <f t="shared" si="28"/>
        <v>DSP</v>
      </c>
      <c r="F265" s="7" t="str">
        <f t="shared" si="29"/>
        <v>UNI</v>
      </c>
      <c r="G265" s="7" t="str">
        <f t="shared" si="30"/>
        <v>FWR</v>
      </c>
      <c r="H265" s="7" t="str">
        <f t="shared" si="31"/>
        <v>LES</v>
      </c>
      <c r="I265" s="7" t="str">
        <f t="shared" si="32"/>
        <v>BLF</v>
      </c>
      <c r="J265" s="7" t="str">
        <f t="shared" si="33"/>
        <v>CHO</v>
      </c>
      <c r="K265" s="7" t="str">
        <f t="shared" si="34"/>
        <v>39</v>
      </c>
      <c r="L265" s="7">
        <v>0</v>
      </c>
      <c r="M265" s="7" t="s">
        <v>2609</v>
      </c>
      <c r="N265" s="7">
        <f>_xlfn.XLOOKUP(A265,[1]SKU!$A:$A,[1]SKU!$Z:$Z)</f>
        <v>5800000</v>
      </c>
    </row>
    <row r="266" spans="1:14" s="7" customFormat="1">
      <c r="A266" s="1" t="s">
        <v>376</v>
      </c>
      <c r="B266" s="3" t="s">
        <v>19</v>
      </c>
      <c r="C266" s="3" t="s">
        <v>377</v>
      </c>
      <c r="D266" s="1" t="s">
        <v>378</v>
      </c>
      <c r="E266" s="7" t="str">
        <f t="shared" si="28"/>
        <v>OTH</v>
      </c>
      <c r="F266" s="7" t="str">
        <f t="shared" si="29"/>
        <v>UNI</v>
      </c>
      <c r="G266" s="7" t="str">
        <f t="shared" si="30"/>
        <v>SOU</v>
      </c>
      <c r="H266" s="7" t="str">
        <f t="shared" si="31"/>
        <v>NBI</v>
      </c>
      <c r="I266" s="7" t="str">
        <f t="shared" si="32"/>
        <v>SGN</v>
      </c>
      <c r="J266" s="7" t="str">
        <f t="shared" si="33"/>
        <v>MIX</v>
      </c>
      <c r="K266" s="7" t="str">
        <f t="shared" si="34"/>
        <v>A5</v>
      </c>
      <c r="L266" s="7">
        <v>0</v>
      </c>
      <c r="M266" s="7" t="s">
        <v>2609</v>
      </c>
      <c r="N266" s="7">
        <f>_xlfn.XLOOKUP(A266,[1]SKU!$A:$A,[1]SKU!$Z:$Z)</f>
        <v>210000</v>
      </c>
    </row>
    <row r="267" spans="1:14" s="7" customFormat="1">
      <c r="A267" s="1" t="s">
        <v>4806</v>
      </c>
      <c r="B267" s="3" t="s">
        <v>4472</v>
      </c>
      <c r="C267" s="3" t="s">
        <v>172</v>
      </c>
      <c r="D267" s="1" t="s">
        <v>4807</v>
      </c>
      <c r="E267" s="7" t="str">
        <f t="shared" si="28"/>
        <v>DSP</v>
      </c>
      <c r="F267" s="7" t="str">
        <f t="shared" si="29"/>
        <v>UNI</v>
      </c>
      <c r="G267" s="7" t="str">
        <f t="shared" si="30"/>
        <v>FWR</v>
      </c>
      <c r="H267" s="7" t="str">
        <f t="shared" si="31"/>
        <v>LES</v>
      </c>
      <c r="I267" s="7" t="str">
        <f t="shared" si="32"/>
        <v>ALF</v>
      </c>
      <c r="J267" s="7" t="str">
        <f t="shared" si="33"/>
        <v>BPA</v>
      </c>
      <c r="K267" s="7" t="str">
        <f t="shared" si="34"/>
        <v>45</v>
      </c>
      <c r="L267" s="7">
        <v>0</v>
      </c>
      <c r="M267" s="7" t="s">
        <v>2609</v>
      </c>
      <c r="N267" s="7">
        <f>_xlfn.XLOOKUP(A267,[1]SKU!$A:$A,[1]SKU!$Z:$Z)</f>
        <v>7800000</v>
      </c>
    </row>
    <row r="268" spans="1:14" s="7" customFormat="1">
      <c r="A268" s="1" t="s">
        <v>4808</v>
      </c>
      <c r="B268" s="3" t="s">
        <v>4472</v>
      </c>
      <c r="C268" s="3" t="s">
        <v>379</v>
      </c>
      <c r="D268" s="1" t="s">
        <v>4809</v>
      </c>
      <c r="E268" s="7" t="str">
        <f t="shared" si="28"/>
        <v>MAZ</v>
      </c>
      <c r="F268" s="7" t="str">
        <f t="shared" si="29"/>
        <v>UNI</v>
      </c>
      <c r="G268" s="7" t="str">
        <f t="shared" si="30"/>
        <v>SOU</v>
      </c>
      <c r="H268" s="7" t="str">
        <f t="shared" si="31"/>
        <v>GAM</v>
      </c>
      <c r="I268" s="7" t="str">
        <f t="shared" si="32"/>
        <v>TTT</v>
      </c>
      <c r="J268" s="7" t="str">
        <f t="shared" si="33"/>
        <v>WOE</v>
      </c>
      <c r="K268" s="7" t="str">
        <f t="shared" si="34"/>
        <v>0</v>
      </c>
      <c r="L268" s="7">
        <v>0</v>
      </c>
      <c r="M268" s="7" t="s">
        <v>2609</v>
      </c>
      <c r="N268" s="7">
        <f>_xlfn.XLOOKUP(A268,[1]SKU!$A:$A,[1]SKU!$Z:$Z)</f>
        <v>1395000</v>
      </c>
    </row>
    <row r="269" spans="1:14" s="7" customFormat="1">
      <c r="A269" s="1" t="s">
        <v>4810</v>
      </c>
      <c r="B269" s="3" t="s">
        <v>4472</v>
      </c>
      <c r="C269" s="3" t="s">
        <v>380</v>
      </c>
      <c r="D269" s="1" t="s">
        <v>4811</v>
      </c>
      <c r="E269" s="7" t="str">
        <f t="shared" si="28"/>
        <v>DSP</v>
      </c>
      <c r="F269" s="7" t="str">
        <f t="shared" si="29"/>
        <v>UNI</v>
      </c>
      <c r="G269" s="7" t="str">
        <f t="shared" si="30"/>
        <v>FWR</v>
      </c>
      <c r="H269" s="7" t="str">
        <f t="shared" si="31"/>
        <v>LES</v>
      </c>
      <c r="I269" s="7" t="str">
        <f t="shared" si="32"/>
        <v>OWE</v>
      </c>
      <c r="J269" s="7" t="str">
        <f t="shared" si="33"/>
        <v>BLK</v>
      </c>
      <c r="K269" s="7" t="str">
        <f t="shared" si="34"/>
        <v>38</v>
      </c>
      <c r="L269" s="7">
        <v>0</v>
      </c>
      <c r="M269" s="7" t="s">
        <v>2609</v>
      </c>
      <c r="N269" s="7">
        <f>_xlfn.XLOOKUP(A269,[1]SKU!$A:$A,[1]SKU!$Z:$Z)</f>
        <v>8250000</v>
      </c>
    </row>
    <row r="270" spans="1:14" s="7" customFormat="1">
      <c r="A270" s="1" t="s">
        <v>4812</v>
      </c>
      <c r="B270" s="3" t="s">
        <v>4472</v>
      </c>
      <c r="C270" s="3" t="s">
        <v>4813</v>
      </c>
      <c r="D270" s="1" t="s">
        <v>4814</v>
      </c>
      <c r="E270" s="7" t="str">
        <f t="shared" si="28"/>
        <v>LAN</v>
      </c>
      <c r="F270" s="7" t="str">
        <f t="shared" si="29"/>
        <v>UNI</v>
      </c>
      <c r="G270" s="7" t="str">
        <f t="shared" si="30"/>
        <v>HWR</v>
      </c>
      <c r="H270" s="7" t="str">
        <f t="shared" si="31"/>
        <v>SC2</v>
      </c>
      <c r="I270" s="7" t="str">
        <f t="shared" si="32"/>
        <v>ATU</v>
      </c>
      <c r="J270" s="7" t="str">
        <f t="shared" si="33"/>
        <v>BLU</v>
      </c>
      <c r="K270" s="7" t="str">
        <f t="shared" si="34"/>
        <v>60x60</v>
      </c>
      <c r="L270" s="7">
        <v>0</v>
      </c>
      <c r="M270" s="7" t="s">
        <v>2609</v>
      </c>
      <c r="N270" s="7">
        <f>_xlfn.XLOOKUP(A270,[1]SKU!$A:$A,[1]SKU!$Z:$Z)</f>
        <v>549000</v>
      </c>
    </row>
    <row r="271" spans="1:14" s="7" customFormat="1">
      <c r="A271" s="1" t="s">
        <v>4815</v>
      </c>
      <c r="B271" s="3" t="s">
        <v>4472</v>
      </c>
      <c r="C271" s="3" t="s">
        <v>216</v>
      </c>
      <c r="D271" s="1" t="s">
        <v>4816</v>
      </c>
      <c r="E271" s="7" t="str">
        <f t="shared" si="28"/>
        <v>DSP</v>
      </c>
      <c r="F271" s="7" t="str">
        <f t="shared" si="29"/>
        <v>UNI</v>
      </c>
      <c r="G271" s="7" t="str">
        <f t="shared" si="30"/>
        <v>FWR</v>
      </c>
      <c r="H271" s="7" t="str">
        <f t="shared" si="31"/>
        <v>LES</v>
      </c>
      <c r="I271" s="7" t="str">
        <f t="shared" si="32"/>
        <v>BOX</v>
      </c>
      <c r="J271" s="7" t="str">
        <f t="shared" si="33"/>
        <v>DRB</v>
      </c>
      <c r="K271" s="7" t="str">
        <f t="shared" si="34"/>
        <v>38</v>
      </c>
      <c r="L271" s="7">
        <v>0</v>
      </c>
      <c r="M271" s="7" t="s">
        <v>2609</v>
      </c>
      <c r="N271" s="7">
        <f>_xlfn.XLOOKUP(A271,[1]SKU!$A:$A,[1]SKU!$Z:$Z)</f>
        <v>6200000</v>
      </c>
    </row>
    <row r="272" spans="1:14" s="7" customFormat="1">
      <c r="A272" s="1" t="s">
        <v>4817</v>
      </c>
      <c r="B272" s="3" t="s">
        <v>4472</v>
      </c>
      <c r="C272" s="3" t="s">
        <v>4818</v>
      </c>
      <c r="D272" s="1" t="s">
        <v>4819</v>
      </c>
      <c r="E272" s="7" t="str">
        <f t="shared" si="28"/>
        <v>HAM</v>
      </c>
      <c r="F272" s="7" t="str">
        <f t="shared" si="29"/>
        <v>UNI</v>
      </c>
      <c r="G272" s="7" t="str">
        <f t="shared" si="30"/>
        <v>JEW</v>
      </c>
      <c r="H272" s="7" t="str">
        <f t="shared" si="31"/>
        <v>NEC</v>
      </c>
      <c r="I272" s="7" t="str">
        <f t="shared" si="32"/>
        <v>027</v>
      </c>
      <c r="J272" s="7" t="str">
        <f t="shared" si="33"/>
        <v>MIX</v>
      </c>
      <c r="K272" s="7" t="str">
        <f t="shared" si="34"/>
        <v>0</v>
      </c>
      <c r="L272" s="7">
        <v>0</v>
      </c>
      <c r="M272" s="7" t="s">
        <v>2609</v>
      </c>
      <c r="N272" s="7">
        <f>_xlfn.XLOOKUP(A272,[1]SKU!$A:$A,[1]SKU!$Z:$Z)</f>
        <v>1250000</v>
      </c>
    </row>
    <row r="273" spans="1:14" s="7" customFormat="1">
      <c r="A273" s="1" t="s">
        <v>4820</v>
      </c>
      <c r="B273" s="3" t="s">
        <v>4472</v>
      </c>
      <c r="C273" s="3" t="s">
        <v>354</v>
      </c>
      <c r="D273" s="1" t="s">
        <v>4821</v>
      </c>
      <c r="E273" s="7" t="str">
        <f t="shared" si="28"/>
        <v>PSD</v>
      </c>
      <c r="F273" s="7" t="str">
        <f t="shared" si="29"/>
        <v>UNI</v>
      </c>
      <c r="G273" s="7" t="str">
        <f t="shared" si="30"/>
        <v>SOU</v>
      </c>
      <c r="H273" s="7" t="str">
        <f t="shared" si="31"/>
        <v>DEC</v>
      </c>
      <c r="I273" s="7" t="str">
        <f t="shared" si="32"/>
        <v>TWB</v>
      </c>
      <c r="J273" s="7" t="str">
        <f t="shared" si="33"/>
        <v>GRN</v>
      </c>
      <c r="K273" s="7" t="str">
        <f t="shared" si="34"/>
        <v>BOX</v>
      </c>
      <c r="L273" s="7">
        <v>0</v>
      </c>
      <c r="M273" s="7" t="s">
        <v>2609</v>
      </c>
      <c r="N273" s="7">
        <f>_xlfn.XLOOKUP(A273,[1]SKU!$A:$A,[1]SKU!$Z:$Z)</f>
        <v>750000</v>
      </c>
    </row>
    <row r="274" spans="1:14" s="7" customFormat="1">
      <c r="A274" s="1" t="s">
        <v>382</v>
      </c>
      <c r="B274" s="3" t="s">
        <v>3</v>
      </c>
      <c r="C274" s="3" t="s">
        <v>383</v>
      </c>
      <c r="D274" s="1" t="s">
        <v>384</v>
      </c>
      <c r="E274" s="7" t="str">
        <f t="shared" si="28"/>
        <v>GFI</v>
      </c>
      <c r="F274" s="7" t="str">
        <f t="shared" si="29"/>
        <v>MEN</v>
      </c>
      <c r="G274" s="7" t="str">
        <f t="shared" si="30"/>
        <v>SWL</v>
      </c>
      <c r="H274" s="7" t="str">
        <f t="shared" si="31"/>
        <v>ONE</v>
      </c>
      <c r="I274" s="7" t="str">
        <f t="shared" si="32"/>
        <v>HCT</v>
      </c>
      <c r="J274" s="7" t="str">
        <f t="shared" si="33"/>
        <v>RED</v>
      </c>
      <c r="K274" s="7" t="str">
        <f t="shared" si="34"/>
        <v>XL</v>
      </c>
      <c r="L274" s="7" t="s">
        <v>2581</v>
      </c>
      <c r="M274" s="7" t="s">
        <v>4464</v>
      </c>
      <c r="N274" s="7">
        <f>_xlfn.XLOOKUP(A274,[1]SKU!$A:$A,[1]SKU!$Z:$Z)</f>
        <v>1290000</v>
      </c>
    </row>
    <row r="275" spans="1:14" s="7" customFormat="1">
      <c r="A275" s="1" t="s">
        <v>4822</v>
      </c>
      <c r="B275" s="3" t="s">
        <v>4481</v>
      </c>
      <c r="C275" s="3" t="s">
        <v>4823</v>
      </c>
      <c r="D275" s="1" t="s">
        <v>4824</v>
      </c>
      <c r="E275" s="7" t="str">
        <f t="shared" si="28"/>
        <v>PAS</v>
      </c>
      <c r="F275" s="7" t="str">
        <f t="shared" si="29"/>
        <v>UNI</v>
      </c>
      <c r="G275" s="7" t="str">
        <f t="shared" si="30"/>
        <v>ART</v>
      </c>
      <c r="H275" s="7" t="str">
        <f t="shared" si="31"/>
        <v>ART</v>
      </c>
      <c r="I275" s="7" t="str">
        <f t="shared" si="32"/>
        <v>GPG</v>
      </c>
      <c r="J275" s="7" t="str">
        <f t="shared" si="33"/>
        <v>MIX</v>
      </c>
      <c r="K275" s="7" t="str">
        <f t="shared" si="34"/>
        <v>A2</v>
      </c>
      <c r="L275" s="7">
        <v>0</v>
      </c>
      <c r="M275" s="7" t="s">
        <v>2609</v>
      </c>
      <c r="N275" s="7">
        <f>_xlfn.XLOOKUP(A275,[1]SKU!$A:$A,[1]SKU!$Z:$Z)</f>
        <v>3000000</v>
      </c>
    </row>
    <row r="276" spans="1:14" s="7" customFormat="1">
      <c r="A276" s="1" t="s">
        <v>4825</v>
      </c>
      <c r="B276" s="3" t="s">
        <v>4472</v>
      </c>
      <c r="C276" s="3" t="s">
        <v>4826</v>
      </c>
      <c r="D276" s="1" t="s">
        <v>4827</v>
      </c>
      <c r="E276" s="7" t="str">
        <f t="shared" si="28"/>
        <v>HAM</v>
      </c>
      <c r="F276" s="7" t="str">
        <f t="shared" si="29"/>
        <v>UNI</v>
      </c>
      <c r="G276" s="7" t="str">
        <f t="shared" si="30"/>
        <v>JEW</v>
      </c>
      <c r="H276" s="7" t="str">
        <f t="shared" si="31"/>
        <v>NEC</v>
      </c>
      <c r="I276" s="7" t="str">
        <f t="shared" si="32"/>
        <v>N17</v>
      </c>
      <c r="J276" s="7" t="str">
        <f t="shared" si="33"/>
        <v>MIX</v>
      </c>
      <c r="K276" s="7" t="str">
        <f t="shared" si="34"/>
        <v>0</v>
      </c>
      <c r="L276" s="7">
        <v>0</v>
      </c>
      <c r="M276" s="7" t="s">
        <v>2609</v>
      </c>
      <c r="N276" s="7">
        <f>_xlfn.XLOOKUP(A276,[1]SKU!$A:$A,[1]SKU!$Z:$Z)</f>
        <v>770000</v>
      </c>
    </row>
    <row r="277" spans="1:14" s="7" customFormat="1">
      <c r="A277" s="1" t="s">
        <v>4828</v>
      </c>
      <c r="B277" s="3" t="s">
        <v>4472</v>
      </c>
      <c r="C277" s="3" t="s">
        <v>4829</v>
      </c>
      <c r="D277" s="1" t="s">
        <v>4830</v>
      </c>
      <c r="E277" s="7" t="str">
        <f t="shared" si="28"/>
        <v>HAM</v>
      </c>
      <c r="F277" s="7" t="str">
        <f t="shared" si="29"/>
        <v>UNI</v>
      </c>
      <c r="G277" s="7" t="str">
        <f t="shared" si="30"/>
        <v>JEW</v>
      </c>
      <c r="H277" s="7" t="str">
        <f t="shared" si="31"/>
        <v>NEC</v>
      </c>
      <c r="I277" s="7" t="str">
        <f t="shared" si="32"/>
        <v>N50</v>
      </c>
      <c r="J277" s="7" t="str">
        <f t="shared" si="33"/>
        <v>MIX</v>
      </c>
      <c r="K277" s="7" t="str">
        <f t="shared" si="34"/>
        <v>0</v>
      </c>
      <c r="L277" s="7">
        <v>0</v>
      </c>
      <c r="M277" s="7" t="s">
        <v>2609</v>
      </c>
      <c r="N277" s="7">
        <f>_xlfn.XLOOKUP(A277,[1]SKU!$A:$A,[1]SKU!$Z:$Z)</f>
        <v>1000000</v>
      </c>
    </row>
    <row r="278" spans="1:14" s="7" customFormat="1">
      <c r="A278" s="1" t="s">
        <v>4831</v>
      </c>
      <c r="B278" s="3" t="s">
        <v>69</v>
      </c>
      <c r="C278" s="3" t="s">
        <v>387</v>
      </c>
      <c r="D278" s="1" t="s">
        <v>4832</v>
      </c>
      <c r="E278" s="7" t="str">
        <f t="shared" si="28"/>
        <v>GCF</v>
      </c>
      <c r="F278" s="7" t="str">
        <f t="shared" si="29"/>
        <v>UNI</v>
      </c>
      <c r="G278" s="7" t="str">
        <f t="shared" si="30"/>
        <v>FNB</v>
      </c>
      <c r="H278" s="7" t="str">
        <f t="shared" si="31"/>
        <v>CFO</v>
      </c>
      <c r="I278" s="7" t="str">
        <f t="shared" si="32"/>
        <v>AME</v>
      </c>
      <c r="J278" s="7" t="str">
        <f t="shared" si="33"/>
        <v>MIX</v>
      </c>
      <c r="K278" s="7" t="str">
        <f t="shared" si="34"/>
        <v>0</v>
      </c>
      <c r="L278" s="7">
        <v>0</v>
      </c>
      <c r="M278" s="7" t="s">
        <v>2609</v>
      </c>
      <c r="N278" s="7">
        <f>_xlfn.XLOOKUP(A278,[1]SKU!$A:$A,[1]SKU!$Z:$Z)</f>
        <v>65000</v>
      </c>
    </row>
    <row r="279" spans="1:14" s="7" customFormat="1">
      <c r="A279" s="1" t="s">
        <v>4833</v>
      </c>
      <c r="B279" s="3" t="s">
        <v>4472</v>
      </c>
      <c r="C279" s="3" t="s">
        <v>100</v>
      </c>
      <c r="D279" s="1" t="s">
        <v>4834</v>
      </c>
      <c r="E279" s="7" t="str">
        <f t="shared" si="28"/>
        <v>PSD</v>
      </c>
      <c r="F279" s="7" t="str">
        <f t="shared" si="29"/>
        <v>UNI</v>
      </c>
      <c r="G279" s="7" t="str">
        <f t="shared" si="30"/>
        <v>SOU</v>
      </c>
      <c r="H279" s="7" t="str">
        <f t="shared" si="31"/>
        <v>DEC</v>
      </c>
      <c r="I279" s="7" t="str">
        <f t="shared" si="32"/>
        <v>LBA</v>
      </c>
      <c r="J279" s="7" t="str">
        <f t="shared" si="33"/>
        <v>YEL</v>
      </c>
      <c r="K279" s="7" t="str">
        <f t="shared" si="34"/>
        <v>18</v>
      </c>
      <c r="L279" s="7">
        <v>0</v>
      </c>
      <c r="M279" s="7" t="s">
        <v>2609</v>
      </c>
      <c r="N279" s="7">
        <f>_xlfn.XLOOKUP(A279,[1]SKU!$A:$A,[1]SKU!$Z:$Z)</f>
        <v>550000</v>
      </c>
    </row>
    <row r="280" spans="1:14" s="7" customFormat="1">
      <c r="A280" s="1" t="s">
        <v>4835</v>
      </c>
      <c r="B280" s="3" t="s">
        <v>4472</v>
      </c>
      <c r="C280" s="3" t="s">
        <v>388</v>
      </c>
      <c r="D280" s="1" t="s">
        <v>4836</v>
      </c>
      <c r="E280" s="7" t="str">
        <f t="shared" si="28"/>
        <v>DSP</v>
      </c>
      <c r="F280" s="7" t="str">
        <f t="shared" si="29"/>
        <v>UNI</v>
      </c>
      <c r="G280" s="7" t="str">
        <f t="shared" si="30"/>
        <v>FWR</v>
      </c>
      <c r="H280" s="7" t="str">
        <f t="shared" si="31"/>
        <v>LES</v>
      </c>
      <c r="I280" s="7" t="str">
        <f t="shared" si="32"/>
        <v>LAW</v>
      </c>
      <c r="J280" s="7" t="str">
        <f t="shared" si="33"/>
        <v>DBN</v>
      </c>
      <c r="K280" s="7" t="str">
        <f t="shared" si="34"/>
        <v>39</v>
      </c>
      <c r="L280" s="7">
        <v>0</v>
      </c>
      <c r="M280" s="7" t="s">
        <v>2609</v>
      </c>
      <c r="N280" s="7">
        <f>_xlfn.XLOOKUP(A280,[1]SKU!$A:$A,[1]SKU!$Z:$Z)</f>
        <v>8250000</v>
      </c>
    </row>
    <row r="281" spans="1:14" s="7" customFormat="1">
      <c r="A281" s="1" t="s">
        <v>389</v>
      </c>
      <c r="B281" s="3" t="s">
        <v>3</v>
      </c>
      <c r="C281" s="3" t="s">
        <v>149</v>
      </c>
      <c r="D281" s="1" t="s">
        <v>390</v>
      </c>
      <c r="E281" s="7" t="str">
        <f t="shared" si="28"/>
        <v>GOR</v>
      </c>
      <c r="F281" s="7" t="str">
        <f t="shared" si="29"/>
        <v>MEN</v>
      </c>
      <c r="G281" s="7" t="str">
        <f t="shared" si="30"/>
        <v>TSS</v>
      </c>
      <c r="H281" s="7" t="str">
        <f t="shared" si="31"/>
        <v>ONE</v>
      </c>
      <c r="I281" s="7" t="str">
        <f t="shared" si="32"/>
        <v>OQR</v>
      </c>
      <c r="J281" s="7" t="str">
        <f t="shared" si="33"/>
        <v>GRE</v>
      </c>
      <c r="K281" s="7" t="str">
        <f t="shared" si="34"/>
        <v>XXL</v>
      </c>
      <c r="L281" s="7" t="s">
        <v>2018</v>
      </c>
      <c r="M281" s="7" t="s">
        <v>4462</v>
      </c>
      <c r="N281" s="7">
        <f>_xlfn.XLOOKUP(A281,[1]SKU!$A:$A,[1]SKU!$Z:$Z)</f>
        <v>790000</v>
      </c>
    </row>
    <row r="282" spans="1:14" s="7" customFormat="1">
      <c r="A282" s="1" t="s">
        <v>391</v>
      </c>
      <c r="B282" s="3" t="s">
        <v>3</v>
      </c>
      <c r="C282" s="3" t="s">
        <v>176</v>
      </c>
      <c r="D282" s="1" t="s">
        <v>392</v>
      </c>
      <c r="E282" s="7" t="str">
        <f t="shared" si="28"/>
        <v>GSL</v>
      </c>
      <c r="F282" s="7" t="str">
        <f t="shared" si="29"/>
        <v>WOM</v>
      </c>
      <c r="G282" s="7" t="str">
        <f t="shared" si="30"/>
        <v>TSB</v>
      </c>
      <c r="H282" s="7" t="str">
        <f t="shared" si="31"/>
        <v>ONE</v>
      </c>
      <c r="I282" s="7" t="str">
        <f t="shared" si="32"/>
        <v>APH</v>
      </c>
      <c r="J282" s="7" t="str">
        <f t="shared" si="33"/>
        <v>CRE</v>
      </c>
      <c r="K282" s="7" t="str">
        <f t="shared" si="34"/>
        <v>S</v>
      </c>
      <c r="L282" s="7" t="s">
        <v>2101</v>
      </c>
      <c r="M282" s="7" t="s">
        <v>4462</v>
      </c>
      <c r="N282" s="7">
        <f>_xlfn.XLOOKUP(A282,[1]SKU!$A:$A,[1]SKU!$Z:$Z)</f>
        <v>810000</v>
      </c>
    </row>
    <row r="283" spans="1:14" s="7" customFormat="1">
      <c r="A283" s="1" t="s">
        <v>393</v>
      </c>
      <c r="B283" s="3" t="s">
        <v>3</v>
      </c>
      <c r="C283" s="3" t="s">
        <v>45</v>
      </c>
      <c r="D283" s="1" t="s">
        <v>394</v>
      </c>
      <c r="E283" s="7" t="str">
        <f t="shared" si="28"/>
        <v>GOR</v>
      </c>
      <c r="F283" s="7" t="str">
        <f t="shared" si="29"/>
        <v>KID</v>
      </c>
      <c r="G283" s="7" t="str">
        <f t="shared" si="30"/>
        <v>TSS</v>
      </c>
      <c r="H283" s="7" t="str">
        <f t="shared" si="31"/>
        <v>ONE</v>
      </c>
      <c r="I283" s="7" t="str">
        <f t="shared" si="32"/>
        <v>DDU</v>
      </c>
      <c r="J283" s="7" t="str">
        <f t="shared" si="33"/>
        <v>BOR</v>
      </c>
      <c r="K283" s="7" t="str">
        <f t="shared" si="34"/>
        <v>10</v>
      </c>
      <c r="L283" s="7" t="s">
        <v>2018</v>
      </c>
      <c r="M283" s="7" t="s">
        <v>4462</v>
      </c>
      <c r="N283" s="7">
        <f>_xlfn.XLOOKUP(A283,[1]SKU!$A:$A,[1]SKU!$Z:$Z)</f>
        <v>590000</v>
      </c>
    </row>
    <row r="284" spans="1:14" s="7" customFormat="1">
      <c r="A284" s="1" t="s">
        <v>395</v>
      </c>
      <c r="B284" s="3" t="s">
        <v>3</v>
      </c>
      <c r="C284" s="3" t="s">
        <v>84</v>
      </c>
      <c r="D284" s="1" t="s">
        <v>396</v>
      </c>
      <c r="E284" s="7" t="str">
        <f t="shared" si="28"/>
        <v>GOR</v>
      </c>
      <c r="F284" s="7" t="str">
        <f t="shared" si="29"/>
        <v>MEN</v>
      </c>
      <c r="G284" s="7" t="str">
        <f t="shared" si="30"/>
        <v>TSP</v>
      </c>
      <c r="H284" s="7" t="str">
        <f t="shared" si="31"/>
        <v>ONE</v>
      </c>
      <c r="I284" s="7" t="str">
        <f t="shared" si="32"/>
        <v>HAI</v>
      </c>
      <c r="J284" s="7" t="str">
        <f t="shared" si="33"/>
        <v>BLK</v>
      </c>
      <c r="K284" s="7" t="str">
        <f t="shared" si="34"/>
        <v>XXL</v>
      </c>
      <c r="L284" s="7" t="s">
        <v>2085</v>
      </c>
      <c r="M284" s="7" t="s">
        <v>4462</v>
      </c>
      <c r="N284" s="7">
        <f>_xlfn.XLOOKUP(A284,[1]SKU!$A:$A,[1]SKU!$Z:$Z)</f>
        <v>790000</v>
      </c>
    </row>
    <row r="285" spans="1:14" s="7" customFormat="1">
      <c r="A285" s="12" t="s">
        <v>4837</v>
      </c>
      <c r="B285" s="3" t="s">
        <v>4472</v>
      </c>
      <c r="C285" s="8" t="s">
        <v>397</v>
      </c>
      <c r="D285" s="1" t="s">
        <v>4838</v>
      </c>
      <c r="E285" s="7" t="str">
        <f t="shared" si="28"/>
        <v>DSP</v>
      </c>
      <c r="F285" s="7" t="str">
        <f t="shared" si="29"/>
        <v>UNI</v>
      </c>
      <c r="G285" s="7" t="str">
        <f t="shared" si="30"/>
        <v>FWR</v>
      </c>
      <c r="H285" s="7" t="str">
        <f t="shared" si="31"/>
        <v>SLI</v>
      </c>
      <c r="I285" s="7" t="str">
        <f t="shared" si="32"/>
        <v>LMS</v>
      </c>
      <c r="J285" s="7" t="str">
        <f t="shared" si="33"/>
        <v>TUR</v>
      </c>
      <c r="K285" s="7" t="str">
        <f t="shared" si="34"/>
        <v>0</v>
      </c>
      <c r="L285" s="7">
        <v>0</v>
      </c>
      <c r="M285" s="7" t="s">
        <v>2609</v>
      </c>
      <c r="N285" s="7">
        <f>_xlfn.XLOOKUP(A285,[1]SKU!$A:$A,[1]SKU!$Z:$Z)</f>
        <v>5200000</v>
      </c>
    </row>
    <row r="286" spans="1:14" s="7" customFormat="1">
      <c r="A286" s="12" t="s">
        <v>4839</v>
      </c>
      <c r="B286" s="3" t="s">
        <v>4472</v>
      </c>
      <c r="C286" s="8" t="s">
        <v>4840</v>
      </c>
      <c r="D286" s="1" t="s">
        <v>4841</v>
      </c>
      <c r="E286" s="7" t="str">
        <f t="shared" si="28"/>
        <v>RUN</v>
      </c>
      <c r="F286" s="7" t="str">
        <f t="shared" si="29"/>
        <v>UNI</v>
      </c>
      <c r="G286" s="7" t="str">
        <f t="shared" si="30"/>
        <v>FNB</v>
      </c>
      <c r="H286" s="7" t="str">
        <f t="shared" si="31"/>
        <v>CFB</v>
      </c>
      <c r="I286" s="7" t="str">
        <f t="shared" si="32"/>
        <v>SO6</v>
      </c>
      <c r="J286" s="7" t="str">
        <f t="shared" si="33"/>
        <v>NON</v>
      </c>
      <c r="K286" s="7" t="str">
        <f t="shared" si="34"/>
        <v>500g</v>
      </c>
      <c r="L286" s="7">
        <v>0</v>
      </c>
      <c r="M286" s="7" t="s">
        <v>2609</v>
      </c>
      <c r="N286" s="7">
        <f>_xlfn.XLOOKUP(A286,[1]SKU!$A:$A,[1]SKU!$Z:$Z)</f>
        <v>324000</v>
      </c>
    </row>
    <row r="287" spans="1:14" s="7" customFormat="1">
      <c r="A287" s="12" t="s">
        <v>4842</v>
      </c>
      <c r="B287" s="3" t="s">
        <v>4472</v>
      </c>
      <c r="C287" s="8" t="s">
        <v>4843</v>
      </c>
      <c r="D287" s="1" t="s">
        <v>4844</v>
      </c>
      <c r="E287" s="7" t="str">
        <f t="shared" si="28"/>
        <v>LAN</v>
      </c>
      <c r="F287" s="7" t="str">
        <f t="shared" si="29"/>
        <v>UNI</v>
      </c>
      <c r="G287" s="7" t="str">
        <f t="shared" si="30"/>
        <v>HWR</v>
      </c>
      <c r="H287" s="7" t="str">
        <f t="shared" si="31"/>
        <v>SC2</v>
      </c>
      <c r="I287" s="7" t="str">
        <f t="shared" si="32"/>
        <v>QHH</v>
      </c>
      <c r="J287" s="7" t="str">
        <f t="shared" si="33"/>
        <v>RED</v>
      </c>
      <c r="K287" s="7" t="str">
        <f t="shared" si="34"/>
        <v>70x70</v>
      </c>
      <c r="L287" s="7">
        <v>0</v>
      </c>
      <c r="M287" s="7" t="s">
        <v>2609</v>
      </c>
      <c r="N287" s="7">
        <f>_xlfn.XLOOKUP(A287,[1]SKU!$A:$A,[1]SKU!$Z:$Z)</f>
        <v>749000</v>
      </c>
    </row>
    <row r="288" spans="1:14" s="7" customFormat="1">
      <c r="A288" s="12" t="s">
        <v>4845</v>
      </c>
      <c r="B288" s="3" t="s">
        <v>4472</v>
      </c>
      <c r="C288" s="8" t="s">
        <v>4846</v>
      </c>
      <c r="D288" s="1" t="s">
        <v>4847</v>
      </c>
      <c r="E288" s="7" t="str">
        <f t="shared" si="28"/>
        <v>LAN</v>
      </c>
      <c r="F288" s="7" t="str">
        <f t="shared" si="29"/>
        <v>UNI</v>
      </c>
      <c r="G288" s="7" t="str">
        <f t="shared" si="30"/>
        <v>HWR</v>
      </c>
      <c r="H288" s="7" t="str">
        <f t="shared" si="31"/>
        <v>SC2</v>
      </c>
      <c r="I288" s="7" t="str">
        <f t="shared" si="32"/>
        <v>NPG</v>
      </c>
      <c r="J288" s="7" t="str">
        <f t="shared" si="33"/>
        <v>PUR</v>
      </c>
      <c r="K288" s="7" t="str">
        <f t="shared" si="34"/>
        <v>60x60</v>
      </c>
      <c r="L288" s="7">
        <v>0</v>
      </c>
      <c r="M288" s="7" t="s">
        <v>2609</v>
      </c>
      <c r="N288" s="7">
        <f>_xlfn.XLOOKUP(A288,[1]SKU!$A:$A,[1]SKU!$Z:$Z)</f>
        <v>549000</v>
      </c>
    </row>
    <row r="289" spans="1:14" s="7" customFormat="1">
      <c r="A289" s="1" t="s">
        <v>4848</v>
      </c>
      <c r="B289" s="3" t="s">
        <v>4472</v>
      </c>
      <c r="C289" s="3" t="s">
        <v>398</v>
      </c>
      <c r="D289" s="1" t="s">
        <v>4849</v>
      </c>
      <c r="E289" s="7" t="str">
        <f t="shared" si="28"/>
        <v>MAZ</v>
      </c>
      <c r="F289" s="7" t="str">
        <f t="shared" si="29"/>
        <v>UNI</v>
      </c>
      <c r="G289" s="7" t="str">
        <f t="shared" si="30"/>
        <v>SOU</v>
      </c>
      <c r="H289" s="7" t="str">
        <f t="shared" si="31"/>
        <v>GAM</v>
      </c>
      <c r="I289" s="7" t="str">
        <f t="shared" si="32"/>
        <v>SGL</v>
      </c>
      <c r="J289" s="7" t="str">
        <f t="shared" si="33"/>
        <v>LUM</v>
      </c>
      <c r="K289" s="7" t="str">
        <f t="shared" si="34"/>
        <v>0</v>
      </c>
      <c r="L289" s="7">
        <v>0</v>
      </c>
      <c r="M289" s="7" t="s">
        <v>2609</v>
      </c>
      <c r="N289" s="7">
        <f>_xlfn.XLOOKUP(A289,[1]SKU!$A:$A,[1]SKU!$Z:$Z)</f>
        <v>2450000</v>
      </c>
    </row>
    <row r="290" spans="1:14" s="7" customFormat="1">
      <c r="A290" s="1" t="s">
        <v>399</v>
      </c>
      <c r="B290" s="3" t="s">
        <v>3</v>
      </c>
      <c r="C290" s="3" t="s">
        <v>23</v>
      </c>
      <c r="D290" s="1" t="s">
        <v>400</v>
      </c>
      <c r="E290" s="7" t="str">
        <f t="shared" si="28"/>
        <v>GOR</v>
      </c>
      <c r="F290" s="7" t="str">
        <f t="shared" si="29"/>
        <v>MEN</v>
      </c>
      <c r="G290" s="7" t="str">
        <f t="shared" si="30"/>
        <v>TSS</v>
      </c>
      <c r="H290" s="7" t="str">
        <f t="shared" si="31"/>
        <v>ONE</v>
      </c>
      <c r="I290" s="7" t="str">
        <f t="shared" si="32"/>
        <v>URB</v>
      </c>
      <c r="J290" s="7" t="str">
        <f t="shared" si="33"/>
        <v>GRE</v>
      </c>
      <c r="K290" s="7" t="str">
        <f t="shared" si="34"/>
        <v>S</v>
      </c>
      <c r="L290" s="7" t="s">
        <v>2018</v>
      </c>
      <c r="M290" s="7" t="s">
        <v>4462</v>
      </c>
      <c r="N290" s="7">
        <f>_xlfn.XLOOKUP(A290,[1]SKU!$A:$A,[1]SKU!$Z:$Z)</f>
        <v>790000</v>
      </c>
    </row>
    <row r="291" spans="1:14" s="7" customFormat="1">
      <c r="A291" s="1" t="s">
        <v>4850</v>
      </c>
      <c r="B291" s="3" t="s">
        <v>4472</v>
      </c>
      <c r="C291" s="3" t="s">
        <v>100</v>
      </c>
      <c r="D291" s="1" t="s">
        <v>4851</v>
      </c>
      <c r="E291" s="7" t="str">
        <f t="shared" si="28"/>
        <v>PSD</v>
      </c>
      <c r="F291" s="7" t="str">
        <f t="shared" si="29"/>
        <v>UNI</v>
      </c>
      <c r="G291" s="7" t="str">
        <f t="shared" si="30"/>
        <v>SOU</v>
      </c>
      <c r="H291" s="7" t="str">
        <f t="shared" si="31"/>
        <v>DEC</v>
      </c>
      <c r="I291" s="7" t="str">
        <f t="shared" si="32"/>
        <v>LBA</v>
      </c>
      <c r="J291" s="7" t="str">
        <f t="shared" si="33"/>
        <v>YEL</v>
      </c>
      <c r="K291" s="7" t="str">
        <f t="shared" si="34"/>
        <v>12</v>
      </c>
      <c r="L291" s="7">
        <v>0</v>
      </c>
      <c r="M291" s="7" t="s">
        <v>2609</v>
      </c>
      <c r="N291" s="7">
        <f>_xlfn.XLOOKUP(A291,[1]SKU!$A:$A,[1]SKU!$Z:$Z)</f>
        <v>395000</v>
      </c>
    </row>
    <row r="292" spans="1:14" s="7" customFormat="1">
      <c r="A292" s="1" t="s">
        <v>4852</v>
      </c>
      <c r="B292" s="3" t="s">
        <v>4472</v>
      </c>
      <c r="C292" s="3" t="s">
        <v>4853</v>
      </c>
      <c r="D292" s="1" t="s">
        <v>4854</v>
      </c>
      <c r="E292" s="7" t="str">
        <f t="shared" si="28"/>
        <v>TOH</v>
      </c>
      <c r="F292" s="7" t="str">
        <f t="shared" si="29"/>
        <v>UNI</v>
      </c>
      <c r="G292" s="7" t="str">
        <f t="shared" si="30"/>
        <v>BAG</v>
      </c>
      <c r="H292" s="7" t="str">
        <f t="shared" si="31"/>
        <v>OTH</v>
      </c>
      <c r="I292" s="7" t="str">
        <f t="shared" si="32"/>
        <v>A21</v>
      </c>
      <c r="J292" s="7" t="str">
        <f t="shared" si="33"/>
        <v>MIX</v>
      </c>
      <c r="K292" s="7" t="str">
        <f t="shared" si="34"/>
        <v>S</v>
      </c>
      <c r="L292" s="7">
        <v>0</v>
      </c>
      <c r="M292" s="7" t="s">
        <v>2609</v>
      </c>
      <c r="N292" s="7">
        <v>560000</v>
      </c>
    </row>
    <row r="293" spans="1:14" s="7" customFormat="1">
      <c r="A293" s="1" t="s">
        <v>401</v>
      </c>
      <c r="B293" s="3" t="s">
        <v>3</v>
      </c>
      <c r="C293" s="3" t="s">
        <v>81</v>
      </c>
      <c r="D293" s="1" t="s">
        <v>402</v>
      </c>
      <c r="E293" s="7" t="str">
        <f t="shared" si="28"/>
        <v>GCV</v>
      </c>
      <c r="F293" s="7" t="str">
        <f t="shared" si="29"/>
        <v>MEN</v>
      </c>
      <c r="G293" s="7" t="str">
        <f t="shared" si="30"/>
        <v>SIS</v>
      </c>
      <c r="H293" s="7" t="str">
        <f t="shared" si="31"/>
        <v>BUT</v>
      </c>
      <c r="I293" s="7" t="str">
        <f t="shared" si="32"/>
        <v>JUN</v>
      </c>
      <c r="J293" s="7" t="str">
        <f t="shared" si="33"/>
        <v>WHI</v>
      </c>
      <c r="K293" s="7" t="str">
        <f t="shared" si="34"/>
        <v>L</v>
      </c>
      <c r="L293" s="7" t="s">
        <v>2211</v>
      </c>
      <c r="M293" s="7" t="s">
        <v>4464</v>
      </c>
      <c r="N293" s="7">
        <f>_xlfn.XLOOKUP(A293,[1]SKU!$A:$A,[1]SKU!$Z:$Z)</f>
        <v>1790000</v>
      </c>
    </row>
    <row r="294" spans="1:14" s="7" customFormat="1">
      <c r="A294" s="1" t="s">
        <v>4855</v>
      </c>
      <c r="B294" s="3" t="s">
        <v>4472</v>
      </c>
      <c r="C294" s="3" t="s">
        <v>4856</v>
      </c>
      <c r="D294" s="1" t="s">
        <v>4857</v>
      </c>
      <c r="E294" s="7" t="str">
        <f t="shared" si="28"/>
        <v>HAM</v>
      </c>
      <c r="F294" s="7" t="str">
        <f t="shared" si="29"/>
        <v>UNI</v>
      </c>
      <c r="G294" s="7" t="str">
        <f t="shared" si="30"/>
        <v>JEW</v>
      </c>
      <c r="H294" s="7" t="str">
        <f t="shared" si="31"/>
        <v>NEC</v>
      </c>
      <c r="I294" s="7" t="str">
        <f t="shared" si="32"/>
        <v>D68</v>
      </c>
      <c r="J294" s="7" t="str">
        <f t="shared" si="33"/>
        <v>MIX</v>
      </c>
      <c r="K294" s="7" t="str">
        <f t="shared" si="34"/>
        <v>0</v>
      </c>
      <c r="L294" s="7">
        <v>0</v>
      </c>
      <c r="M294" s="7" t="s">
        <v>2609</v>
      </c>
      <c r="N294" s="7">
        <f>_xlfn.XLOOKUP(A294,[1]SKU!$A:$A,[1]SKU!$Z:$Z)</f>
        <v>2200000</v>
      </c>
    </row>
    <row r="295" spans="1:14" s="7" customFormat="1">
      <c r="A295" s="1" t="s">
        <v>4858</v>
      </c>
      <c r="B295" s="3" t="s">
        <v>4472</v>
      </c>
      <c r="C295" s="3" t="s">
        <v>288</v>
      </c>
      <c r="D295" s="1" t="s">
        <v>4859</v>
      </c>
      <c r="E295" s="7" t="str">
        <f t="shared" si="28"/>
        <v>DSP</v>
      </c>
      <c r="F295" s="7" t="str">
        <f t="shared" si="29"/>
        <v>UNI</v>
      </c>
      <c r="G295" s="7" t="str">
        <f t="shared" si="30"/>
        <v>BAG</v>
      </c>
      <c r="H295" s="7" t="str">
        <f t="shared" si="31"/>
        <v>CBG</v>
      </c>
      <c r="I295" s="7" t="str">
        <f t="shared" si="32"/>
        <v>RUS</v>
      </c>
      <c r="J295" s="7" t="str">
        <f t="shared" si="33"/>
        <v>BLK</v>
      </c>
      <c r="K295" s="7" t="str">
        <f t="shared" si="34"/>
        <v>0</v>
      </c>
      <c r="L295" s="7">
        <v>0</v>
      </c>
      <c r="M295" s="7" t="s">
        <v>2609</v>
      </c>
      <c r="N295" s="7">
        <f>_xlfn.XLOOKUP(A295,[1]SKU!$A:$A,[1]SKU!$Z:$Z)</f>
        <v>4550000</v>
      </c>
    </row>
    <row r="296" spans="1:14" s="7" customFormat="1">
      <c r="A296" s="1" t="s">
        <v>404</v>
      </c>
      <c r="B296" s="3" t="s">
        <v>19</v>
      </c>
      <c r="C296" s="3" t="s">
        <v>405</v>
      </c>
      <c r="D296" s="1" t="s">
        <v>406</v>
      </c>
      <c r="E296" s="7" t="str">
        <f t="shared" si="28"/>
        <v>OTH</v>
      </c>
      <c r="F296" s="7" t="str">
        <f t="shared" si="29"/>
        <v>UNI</v>
      </c>
      <c r="G296" s="7" t="str">
        <f t="shared" si="30"/>
        <v>SOU</v>
      </c>
      <c r="H296" s="7" t="str">
        <f t="shared" si="31"/>
        <v>POS</v>
      </c>
      <c r="I296" s="7" t="str">
        <f t="shared" si="32"/>
        <v>MIX</v>
      </c>
      <c r="J296" s="7" t="str">
        <f t="shared" si="33"/>
        <v>MIX</v>
      </c>
      <c r="K296" s="7" t="str">
        <f t="shared" si="34"/>
        <v>L</v>
      </c>
      <c r="L296" s="7">
        <v>0</v>
      </c>
      <c r="M296" s="7" t="s">
        <v>2609</v>
      </c>
      <c r="N296" s="7">
        <f>_xlfn.XLOOKUP(A296,[1]SKU!$A:$A,[1]SKU!$Z:$Z)</f>
        <v>55000</v>
      </c>
    </row>
    <row r="297" spans="1:14" s="7" customFormat="1">
      <c r="A297" s="1" t="s">
        <v>4860</v>
      </c>
      <c r="B297" s="3" t="s">
        <v>4472</v>
      </c>
      <c r="C297" s="3" t="s">
        <v>407</v>
      </c>
      <c r="D297" s="1" t="s">
        <v>4861</v>
      </c>
      <c r="E297" s="7" t="str">
        <f t="shared" si="28"/>
        <v>DSP</v>
      </c>
      <c r="F297" s="7" t="str">
        <f t="shared" si="29"/>
        <v>UNI</v>
      </c>
      <c r="G297" s="7" t="str">
        <f t="shared" si="30"/>
        <v>FWR</v>
      </c>
      <c r="H297" s="7" t="str">
        <f t="shared" si="31"/>
        <v>LES</v>
      </c>
      <c r="I297" s="7" t="str">
        <f t="shared" si="32"/>
        <v>LAW</v>
      </c>
      <c r="J297" s="7" t="str">
        <f t="shared" si="33"/>
        <v>TMB</v>
      </c>
      <c r="K297" s="7" t="str">
        <f t="shared" si="34"/>
        <v>37</v>
      </c>
      <c r="L297" s="7">
        <v>0</v>
      </c>
      <c r="M297" s="7" t="s">
        <v>2609</v>
      </c>
      <c r="N297" s="7">
        <f>_xlfn.XLOOKUP(A297,[1]SKU!$A:$A,[1]SKU!$Z:$Z)</f>
        <v>8250000</v>
      </c>
    </row>
    <row r="298" spans="1:14" s="7" customFormat="1">
      <c r="A298" s="1" t="s">
        <v>4862</v>
      </c>
      <c r="B298" s="3" t="s">
        <v>4481</v>
      </c>
      <c r="C298" s="3" t="s">
        <v>408</v>
      </c>
      <c r="D298" s="1" t="s">
        <v>4863</v>
      </c>
      <c r="E298" s="7" t="str">
        <f t="shared" si="28"/>
        <v>PAS</v>
      </c>
      <c r="F298" s="7" t="str">
        <f t="shared" si="29"/>
        <v>UNI</v>
      </c>
      <c r="G298" s="7" t="str">
        <f t="shared" si="30"/>
        <v>ART</v>
      </c>
      <c r="H298" s="7" t="str">
        <f t="shared" si="31"/>
        <v>ART</v>
      </c>
      <c r="I298" s="7" t="str">
        <f t="shared" si="32"/>
        <v>MTB</v>
      </c>
      <c r="J298" s="7" t="str">
        <f t="shared" si="33"/>
        <v>MIX</v>
      </c>
      <c r="K298" s="7" t="str">
        <f t="shared" si="34"/>
        <v>A3</v>
      </c>
      <c r="L298" s="7">
        <v>0</v>
      </c>
      <c r="M298" s="7" t="s">
        <v>2609</v>
      </c>
      <c r="N298" s="7">
        <f>_xlfn.XLOOKUP(A298,[1]SKU!$A:$A,[1]SKU!$Z:$Z)</f>
        <v>5000000</v>
      </c>
    </row>
    <row r="299" spans="1:14" s="7" customFormat="1">
      <c r="A299" s="1" t="s">
        <v>409</v>
      </c>
      <c r="B299" s="3" t="s">
        <v>3</v>
      </c>
      <c r="C299" s="3" t="s">
        <v>176</v>
      </c>
      <c r="D299" s="1" t="s">
        <v>410</v>
      </c>
      <c r="E299" s="7" t="str">
        <f t="shared" si="28"/>
        <v>GSL</v>
      </c>
      <c r="F299" s="7" t="str">
        <f t="shared" si="29"/>
        <v>WOM</v>
      </c>
      <c r="G299" s="7" t="str">
        <f t="shared" si="30"/>
        <v>TSB</v>
      </c>
      <c r="H299" s="7" t="str">
        <f t="shared" si="31"/>
        <v>ONE</v>
      </c>
      <c r="I299" s="7" t="str">
        <f t="shared" si="32"/>
        <v>APH</v>
      </c>
      <c r="J299" s="7" t="str">
        <f t="shared" si="33"/>
        <v>CRE</v>
      </c>
      <c r="K299" s="7" t="str">
        <f t="shared" si="34"/>
        <v>M</v>
      </c>
      <c r="L299" s="7" t="s">
        <v>2101</v>
      </c>
      <c r="M299" s="7" t="s">
        <v>4462</v>
      </c>
      <c r="N299" s="7">
        <f>_xlfn.XLOOKUP(A299,[1]SKU!$A:$A,[1]SKU!$Z:$Z)</f>
        <v>810000</v>
      </c>
    </row>
    <row r="300" spans="1:14" s="7" customFormat="1">
      <c r="A300" s="1" t="s">
        <v>411</v>
      </c>
      <c r="B300" s="3" t="s">
        <v>3</v>
      </c>
      <c r="C300" s="3" t="s">
        <v>412</v>
      </c>
      <c r="D300" s="1" t="s">
        <v>413</v>
      </c>
      <c r="E300" s="7" t="str">
        <f t="shared" si="28"/>
        <v>GCV</v>
      </c>
      <c r="F300" s="7" t="str">
        <f t="shared" si="29"/>
        <v>WOM</v>
      </c>
      <c r="G300" s="7" t="str">
        <f t="shared" si="30"/>
        <v>BLB</v>
      </c>
      <c r="H300" s="7" t="str">
        <f t="shared" si="31"/>
        <v>ONE</v>
      </c>
      <c r="I300" s="7" t="str">
        <f t="shared" si="32"/>
        <v>MWY</v>
      </c>
      <c r="J300" s="7" t="str">
        <f t="shared" si="33"/>
        <v>WHI</v>
      </c>
      <c r="K300" s="7" t="str">
        <f t="shared" si="34"/>
        <v>L</v>
      </c>
      <c r="L300" s="7" t="s">
        <v>2284</v>
      </c>
      <c r="M300" s="7" t="s">
        <v>4465</v>
      </c>
      <c r="N300" s="7">
        <f>_xlfn.XLOOKUP(A300,[1]SKU!$A:$A,[1]SKU!$Z:$Z)</f>
        <v>1190000</v>
      </c>
    </row>
    <row r="301" spans="1:14" s="7" customFormat="1">
      <c r="A301" s="1" t="s">
        <v>4864</v>
      </c>
      <c r="B301" s="3" t="s">
        <v>4472</v>
      </c>
      <c r="C301" s="3" t="s">
        <v>4865</v>
      </c>
      <c r="D301" s="1" t="s">
        <v>4866</v>
      </c>
      <c r="E301" s="7" t="str">
        <f t="shared" si="28"/>
        <v>RUN</v>
      </c>
      <c r="F301" s="7" t="str">
        <f t="shared" si="29"/>
        <v>UNI</v>
      </c>
      <c r="G301" s="7" t="str">
        <f t="shared" si="30"/>
        <v>FNB</v>
      </c>
      <c r="H301" s="7" t="str">
        <f t="shared" si="31"/>
        <v>CFB</v>
      </c>
      <c r="I301" s="7" t="str">
        <f t="shared" si="32"/>
        <v>SO1</v>
      </c>
      <c r="J301" s="7" t="str">
        <f t="shared" si="33"/>
        <v>NON</v>
      </c>
      <c r="K301" s="7" t="str">
        <f t="shared" si="34"/>
        <v>500g</v>
      </c>
      <c r="L301" s="7">
        <v>0</v>
      </c>
      <c r="M301" s="7" t="s">
        <v>2609</v>
      </c>
      <c r="N301" s="7">
        <f>_xlfn.XLOOKUP(A301,[1]SKU!$A:$A,[1]SKU!$Z:$Z)</f>
        <v>513000</v>
      </c>
    </row>
    <row r="302" spans="1:14" s="7" customFormat="1">
      <c r="A302" s="1" t="s">
        <v>4867</v>
      </c>
      <c r="B302" s="3" t="s">
        <v>4472</v>
      </c>
      <c r="C302" s="3" t="s">
        <v>4868</v>
      </c>
      <c r="D302" s="1" t="s">
        <v>4869</v>
      </c>
      <c r="E302" s="7" t="str">
        <f t="shared" si="28"/>
        <v>LAN</v>
      </c>
      <c r="F302" s="7" t="str">
        <f t="shared" si="29"/>
        <v>UNI</v>
      </c>
      <c r="G302" s="7" t="str">
        <f t="shared" si="30"/>
        <v>HWR</v>
      </c>
      <c r="H302" s="7" t="str">
        <f t="shared" si="31"/>
        <v>SC2</v>
      </c>
      <c r="I302" s="7" t="str">
        <f t="shared" si="32"/>
        <v>NHH</v>
      </c>
      <c r="J302" s="7" t="str">
        <f t="shared" si="33"/>
        <v>GRN</v>
      </c>
      <c r="K302" s="7" t="str">
        <f t="shared" si="34"/>
        <v>60x60</v>
      </c>
      <c r="L302" s="7">
        <v>0</v>
      </c>
      <c r="M302" s="7" t="s">
        <v>2609</v>
      </c>
      <c r="N302" s="7">
        <f>_xlfn.XLOOKUP(A302,[1]SKU!$A:$A,[1]SKU!$Z:$Z)</f>
        <v>549000</v>
      </c>
    </row>
    <row r="303" spans="1:14" s="7" customFormat="1">
      <c r="A303" s="1" t="s">
        <v>414</v>
      </c>
      <c r="B303" s="3" t="s">
        <v>3</v>
      </c>
      <c r="C303" s="3" t="s">
        <v>38</v>
      </c>
      <c r="D303" s="1" t="s">
        <v>415</v>
      </c>
      <c r="E303" s="7" t="str">
        <f t="shared" si="28"/>
        <v>GPI</v>
      </c>
      <c r="F303" s="7" t="str">
        <f t="shared" si="29"/>
        <v>MEN</v>
      </c>
      <c r="G303" s="7" t="str">
        <f t="shared" si="30"/>
        <v>POL</v>
      </c>
      <c r="H303" s="7" t="str">
        <f t="shared" si="31"/>
        <v>RIB</v>
      </c>
      <c r="I303" s="7" t="str">
        <f t="shared" si="32"/>
        <v>LOG</v>
      </c>
      <c r="J303" s="7" t="str">
        <f t="shared" si="33"/>
        <v>OLI</v>
      </c>
      <c r="K303" s="7" t="str">
        <f t="shared" si="34"/>
        <v>M</v>
      </c>
      <c r="L303" s="7" t="s">
        <v>1995</v>
      </c>
      <c r="M303" s="7" t="s">
        <v>4468</v>
      </c>
      <c r="N303" s="7">
        <f>_xlfn.XLOOKUP(A303,[1]SKU!$A:$A,[1]SKU!$Z:$Z)</f>
        <v>1390000</v>
      </c>
    </row>
    <row r="304" spans="1:14" s="7" customFormat="1">
      <c r="A304" s="1" t="s">
        <v>4870</v>
      </c>
      <c r="B304" s="8" t="s">
        <v>4472</v>
      </c>
      <c r="C304" s="8" t="s">
        <v>133</v>
      </c>
      <c r="D304" s="1" t="s">
        <v>4871</v>
      </c>
      <c r="E304" s="7" t="str">
        <f t="shared" si="28"/>
        <v>SHI</v>
      </c>
      <c r="F304" s="7" t="str">
        <f t="shared" si="29"/>
        <v>UNI</v>
      </c>
      <c r="G304" s="7" t="str">
        <f t="shared" si="30"/>
        <v>FNB</v>
      </c>
      <c r="H304" s="7" t="str">
        <f t="shared" si="31"/>
        <v>CFP</v>
      </c>
      <c r="I304" s="7" t="str">
        <f t="shared" si="32"/>
        <v>SLB</v>
      </c>
      <c r="J304" s="7" t="str">
        <f t="shared" si="33"/>
        <v>WHI</v>
      </c>
      <c r="K304" s="7" t="str">
        <f t="shared" si="34"/>
        <v>BOX</v>
      </c>
      <c r="L304" s="7">
        <v>0</v>
      </c>
      <c r="M304" s="7" t="s">
        <v>2609</v>
      </c>
      <c r="N304" s="7">
        <f>_xlfn.XLOOKUP(A304,[1]SKU!$A:$A,[1]SKU!$Z:$Z)</f>
        <v>220000</v>
      </c>
    </row>
    <row r="305" spans="1:14" s="7" customFormat="1">
      <c r="A305" s="1" t="s">
        <v>4872</v>
      </c>
      <c r="B305" s="8" t="s">
        <v>4472</v>
      </c>
      <c r="C305" s="8" t="s">
        <v>4873</v>
      </c>
      <c r="D305" s="1" t="s">
        <v>4874</v>
      </c>
      <c r="E305" s="7" t="str">
        <f t="shared" si="28"/>
        <v>HAM</v>
      </c>
      <c r="F305" s="7" t="str">
        <f t="shared" si="29"/>
        <v>UNI</v>
      </c>
      <c r="G305" s="7" t="str">
        <f t="shared" si="30"/>
        <v>JEW</v>
      </c>
      <c r="H305" s="7" t="str">
        <f t="shared" si="31"/>
        <v>NEC</v>
      </c>
      <c r="I305" s="7" t="str">
        <f t="shared" si="32"/>
        <v>128</v>
      </c>
      <c r="J305" s="7" t="str">
        <f t="shared" si="33"/>
        <v>MIX</v>
      </c>
      <c r="K305" s="7" t="str">
        <f t="shared" si="34"/>
        <v>0</v>
      </c>
      <c r="L305" s="7">
        <v>0</v>
      </c>
      <c r="M305" s="7" t="s">
        <v>2609</v>
      </c>
      <c r="N305" s="7">
        <f>_xlfn.XLOOKUP(A305,[1]SKU!$A:$A,[1]SKU!$Z:$Z)</f>
        <v>4200000</v>
      </c>
    </row>
    <row r="306" spans="1:14" s="7" customFormat="1">
      <c r="A306" s="1" t="s">
        <v>4875</v>
      </c>
      <c r="B306" s="3" t="s">
        <v>4472</v>
      </c>
      <c r="C306" s="3" t="s">
        <v>4876</v>
      </c>
      <c r="D306" s="1" t="s">
        <v>4877</v>
      </c>
      <c r="E306" s="7" t="str">
        <f t="shared" si="28"/>
        <v>HAM</v>
      </c>
      <c r="F306" s="7" t="str">
        <f t="shared" si="29"/>
        <v>UNI</v>
      </c>
      <c r="G306" s="7" t="str">
        <f t="shared" si="30"/>
        <v>JEW</v>
      </c>
      <c r="H306" s="7" t="str">
        <f t="shared" si="31"/>
        <v>NEC</v>
      </c>
      <c r="I306" s="7" t="str">
        <f t="shared" si="32"/>
        <v>D45</v>
      </c>
      <c r="J306" s="7" t="str">
        <f t="shared" si="33"/>
        <v>MIX</v>
      </c>
      <c r="K306" s="7" t="str">
        <f t="shared" si="34"/>
        <v>0</v>
      </c>
      <c r="L306" s="7">
        <v>0</v>
      </c>
      <c r="M306" s="7" t="s">
        <v>2609</v>
      </c>
      <c r="N306" s="7">
        <f>_xlfn.XLOOKUP(A306,[1]SKU!$A:$A,[1]SKU!$Z:$Z)</f>
        <v>2000000</v>
      </c>
    </row>
    <row r="307" spans="1:14" s="7" customFormat="1">
      <c r="A307" s="1" t="s">
        <v>4878</v>
      </c>
      <c r="B307" s="3" t="s">
        <v>4472</v>
      </c>
      <c r="C307" s="3" t="s">
        <v>73</v>
      </c>
      <c r="D307" s="1" t="s">
        <v>4879</v>
      </c>
      <c r="E307" s="7" t="str">
        <f t="shared" si="28"/>
        <v>DSP</v>
      </c>
      <c r="F307" s="7" t="str">
        <f t="shared" si="29"/>
        <v>UNI</v>
      </c>
      <c r="G307" s="7" t="str">
        <f t="shared" si="30"/>
        <v>BAG</v>
      </c>
      <c r="H307" s="7" t="str">
        <f t="shared" si="31"/>
        <v>WAL</v>
      </c>
      <c r="I307" s="7" t="str">
        <f t="shared" si="32"/>
        <v>SEU</v>
      </c>
      <c r="J307" s="7" t="str">
        <f t="shared" si="33"/>
        <v>SLR</v>
      </c>
      <c r="K307" s="7" t="str">
        <f t="shared" si="34"/>
        <v>0</v>
      </c>
      <c r="L307" s="7">
        <v>0</v>
      </c>
      <c r="M307" s="7" t="s">
        <v>2609</v>
      </c>
      <c r="N307" s="7">
        <f>_xlfn.XLOOKUP(A307,[1]SKU!$A:$A,[1]SKU!$Z:$Z)</f>
        <v>2900000</v>
      </c>
    </row>
    <row r="308" spans="1:14" s="7" customFormat="1">
      <c r="A308" s="1" t="s">
        <v>4880</v>
      </c>
      <c r="B308" s="3" t="s">
        <v>4472</v>
      </c>
      <c r="C308" s="3" t="s">
        <v>4881</v>
      </c>
      <c r="D308" s="1" t="s">
        <v>4882</v>
      </c>
      <c r="E308" s="7" t="str">
        <f t="shared" si="28"/>
        <v>BLS</v>
      </c>
      <c r="F308" s="7" t="str">
        <f t="shared" si="29"/>
        <v>UNI</v>
      </c>
      <c r="G308" s="7" t="str">
        <f t="shared" si="30"/>
        <v>FNB</v>
      </c>
      <c r="H308" s="7" t="str">
        <f t="shared" si="31"/>
        <v>SAL</v>
      </c>
      <c r="I308" s="7" t="str">
        <f t="shared" si="32"/>
        <v>006</v>
      </c>
      <c r="J308" s="7" t="str">
        <f t="shared" si="33"/>
        <v>MIX</v>
      </c>
      <c r="K308" s="7" t="str">
        <f t="shared" si="34"/>
        <v>100g</v>
      </c>
      <c r="L308" s="7">
        <v>0</v>
      </c>
      <c r="M308" s="7" t="s">
        <v>2609</v>
      </c>
      <c r="N308" s="7">
        <f>_xlfn.XLOOKUP(A308,[1]SKU!$A:$A,[1]SKU!$Z:$Z)</f>
        <v>215000</v>
      </c>
    </row>
    <row r="309" spans="1:14" s="7" customFormat="1">
      <c r="A309" s="1" t="s">
        <v>417</v>
      </c>
      <c r="B309" s="3" t="s">
        <v>3</v>
      </c>
      <c r="C309" s="3" t="s">
        <v>33</v>
      </c>
      <c r="D309" s="1" t="s">
        <v>418</v>
      </c>
      <c r="E309" s="7" t="str">
        <f t="shared" si="28"/>
        <v>GSL</v>
      </c>
      <c r="F309" s="7" t="str">
        <f t="shared" si="29"/>
        <v>WOM</v>
      </c>
      <c r="G309" s="7" t="str">
        <f t="shared" si="30"/>
        <v>TSS</v>
      </c>
      <c r="H309" s="7" t="str">
        <f t="shared" si="31"/>
        <v>VNE</v>
      </c>
      <c r="I309" s="7" t="str">
        <f t="shared" si="32"/>
        <v>VTM</v>
      </c>
      <c r="J309" s="7" t="str">
        <f t="shared" si="33"/>
        <v>WHI</v>
      </c>
      <c r="K309" s="7" t="str">
        <f t="shared" si="34"/>
        <v>L</v>
      </c>
      <c r="L309" s="7" t="s">
        <v>2018</v>
      </c>
      <c r="M309" s="7" t="s">
        <v>4462</v>
      </c>
      <c r="N309" s="7">
        <f>_xlfn.XLOOKUP(A309,[1]SKU!$A:$A,[1]SKU!$Z:$Z)</f>
        <v>750000</v>
      </c>
    </row>
    <row r="310" spans="1:14" s="7" customFormat="1">
      <c r="A310" s="1" t="s">
        <v>419</v>
      </c>
      <c r="B310" s="3" t="s">
        <v>3</v>
      </c>
      <c r="C310" s="3" t="s">
        <v>314</v>
      </c>
      <c r="D310" s="1" t="s">
        <v>420</v>
      </c>
      <c r="E310" s="7" t="str">
        <f t="shared" si="28"/>
        <v>GBA</v>
      </c>
      <c r="F310" s="7" t="str">
        <f t="shared" si="29"/>
        <v>MEN</v>
      </c>
      <c r="G310" s="7" t="str">
        <f t="shared" si="30"/>
        <v>TSP</v>
      </c>
      <c r="H310" s="7" t="str">
        <f t="shared" si="31"/>
        <v>ONE</v>
      </c>
      <c r="I310" s="7" t="str">
        <f t="shared" si="32"/>
        <v>XLO</v>
      </c>
      <c r="J310" s="7" t="str">
        <f t="shared" si="33"/>
        <v>WHI</v>
      </c>
      <c r="K310" s="7" t="str">
        <f t="shared" si="34"/>
        <v>S</v>
      </c>
      <c r="L310" s="7" t="s">
        <v>2085</v>
      </c>
      <c r="M310" s="7" t="s">
        <v>4462</v>
      </c>
      <c r="N310" s="7">
        <f>_xlfn.XLOOKUP(A310,[1]SKU!$A:$A,[1]SKU!$Z:$Z)</f>
        <v>710000</v>
      </c>
    </row>
    <row r="311" spans="1:14" s="7" customFormat="1">
      <c r="A311" s="1" t="s">
        <v>421</v>
      </c>
      <c r="B311" s="3" t="s">
        <v>3</v>
      </c>
      <c r="C311" s="3" t="s">
        <v>38</v>
      </c>
      <c r="D311" s="1" t="s">
        <v>422</v>
      </c>
      <c r="E311" s="7" t="str">
        <f t="shared" si="28"/>
        <v>GBA</v>
      </c>
      <c r="F311" s="7" t="str">
        <f t="shared" si="29"/>
        <v>MEN</v>
      </c>
      <c r="G311" s="7" t="str">
        <f t="shared" si="30"/>
        <v>TSS</v>
      </c>
      <c r="H311" s="7" t="str">
        <f t="shared" si="31"/>
        <v>ONE</v>
      </c>
      <c r="I311" s="7" t="str">
        <f t="shared" si="32"/>
        <v>LOG</v>
      </c>
      <c r="J311" s="7" t="str">
        <f t="shared" si="33"/>
        <v>JBG</v>
      </c>
      <c r="K311" s="7" t="str">
        <f t="shared" si="34"/>
        <v>XL</v>
      </c>
      <c r="L311" s="7" t="s">
        <v>2018</v>
      </c>
      <c r="M311" s="7" t="s">
        <v>4462</v>
      </c>
      <c r="N311" s="7">
        <f>_xlfn.XLOOKUP(A311,[1]SKU!$A:$A,[1]SKU!$Z:$Z)</f>
        <v>710000</v>
      </c>
    </row>
    <row r="312" spans="1:14" s="7" customFormat="1">
      <c r="A312" s="1" t="s">
        <v>423</v>
      </c>
      <c r="B312" s="3" t="s">
        <v>3</v>
      </c>
      <c r="C312" s="3" t="s">
        <v>16</v>
      </c>
      <c r="D312" s="1" t="s">
        <v>424</v>
      </c>
      <c r="E312" s="7" t="str">
        <f t="shared" si="28"/>
        <v>GOR</v>
      </c>
      <c r="F312" s="7" t="str">
        <f t="shared" si="29"/>
        <v>KID</v>
      </c>
      <c r="G312" s="7" t="str">
        <f t="shared" si="30"/>
        <v>TSS</v>
      </c>
      <c r="H312" s="7" t="str">
        <f t="shared" si="31"/>
        <v>ONE</v>
      </c>
      <c r="I312" s="7" t="str">
        <f t="shared" si="32"/>
        <v>SMP</v>
      </c>
      <c r="J312" s="7" t="str">
        <f t="shared" si="33"/>
        <v>WHI</v>
      </c>
      <c r="K312" s="7" t="str">
        <f t="shared" si="34"/>
        <v>6</v>
      </c>
      <c r="L312" s="7" t="s">
        <v>2018</v>
      </c>
      <c r="M312" s="7" t="s">
        <v>4462</v>
      </c>
      <c r="N312" s="7">
        <f>_xlfn.XLOOKUP(A312,[1]SKU!$A:$A,[1]SKU!$Z:$Z)</f>
        <v>590000</v>
      </c>
    </row>
    <row r="313" spans="1:14" s="7" customFormat="1">
      <c r="A313" s="1" t="s">
        <v>425</v>
      </c>
      <c r="B313" s="3" t="s">
        <v>3</v>
      </c>
      <c r="C313" s="3" t="s">
        <v>412</v>
      </c>
      <c r="D313" s="1" t="s">
        <v>426</v>
      </c>
      <c r="E313" s="7" t="str">
        <f t="shared" si="28"/>
        <v>GCV</v>
      </c>
      <c r="F313" s="7" t="str">
        <f t="shared" si="29"/>
        <v>WOM</v>
      </c>
      <c r="G313" s="7" t="str">
        <f t="shared" si="30"/>
        <v>BLB</v>
      </c>
      <c r="H313" s="7" t="str">
        <f t="shared" si="31"/>
        <v>ONE</v>
      </c>
      <c r="I313" s="7" t="str">
        <f t="shared" si="32"/>
        <v>MWY</v>
      </c>
      <c r="J313" s="7" t="str">
        <f t="shared" si="33"/>
        <v>WHI</v>
      </c>
      <c r="K313" s="7" t="str">
        <f t="shared" si="34"/>
        <v>S</v>
      </c>
      <c r="L313" s="7" t="s">
        <v>2284</v>
      </c>
      <c r="M313" s="7" t="s">
        <v>4465</v>
      </c>
      <c r="N313" s="7">
        <f>_xlfn.XLOOKUP(A313,[1]SKU!$A:$A,[1]SKU!$Z:$Z)</f>
        <v>1190000</v>
      </c>
    </row>
    <row r="314" spans="1:14" s="7" customFormat="1">
      <c r="A314" s="1" t="s">
        <v>4883</v>
      </c>
      <c r="B314" s="3" t="s">
        <v>4472</v>
      </c>
      <c r="C314" s="3" t="s">
        <v>289</v>
      </c>
      <c r="D314" s="1" t="s">
        <v>4884</v>
      </c>
      <c r="E314" s="7" t="str">
        <f t="shared" si="28"/>
        <v>DSP</v>
      </c>
      <c r="F314" s="7" t="str">
        <f t="shared" si="29"/>
        <v>UNI</v>
      </c>
      <c r="G314" s="7" t="str">
        <f t="shared" si="30"/>
        <v>FWR</v>
      </c>
      <c r="H314" s="7" t="str">
        <f t="shared" si="31"/>
        <v>SNE</v>
      </c>
      <c r="I314" s="7" t="str">
        <f t="shared" si="32"/>
        <v>SBR</v>
      </c>
      <c r="J314" s="7" t="str">
        <f t="shared" si="33"/>
        <v>LDP</v>
      </c>
      <c r="K314" s="7" t="str">
        <f t="shared" si="34"/>
        <v>39</v>
      </c>
      <c r="L314" s="7">
        <v>0</v>
      </c>
      <c r="M314" s="7" t="s">
        <v>2609</v>
      </c>
      <c r="N314" s="7">
        <f>_xlfn.XLOOKUP(A314,[1]SKU!$A:$A,[1]SKU!$Z:$Z)</f>
        <v>7500000</v>
      </c>
    </row>
    <row r="315" spans="1:14" s="7" customFormat="1">
      <c r="A315" s="1" t="s">
        <v>4885</v>
      </c>
      <c r="B315" s="3" t="s">
        <v>4472</v>
      </c>
      <c r="C315" s="3" t="s">
        <v>287</v>
      </c>
      <c r="D315" s="1" t="s">
        <v>4886</v>
      </c>
      <c r="E315" s="7" t="str">
        <f t="shared" si="28"/>
        <v>SHI</v>
      </c>
      <c r="F315" s="7" t="str">
        <f t="shared" si="29"/>
        <v>UNI</v>
      </c>
      <c r="G315" s="7" t="str">
        <f t="shared" si="30"/>
        <v>FNB</v>
      </c>
      <c r="H315" s="7" t="str">
        <f t="shared" si="31"/>
        <v>CFB</v>
      </c>
      <c r="I315" s="7" t="str">
        <f t="shared" si="32"/>
        <v>KSB</v>
      </c>
      <c r="J315" s="7" t="str">
        <f t="shared" si="33"/>
        <v>WHI</v>
      </c>
      <c r="K315" s="7" t="str">
        <f t="shared" si="34"/>
        <v>CAN</v>
      </c>
      <c r="L315" s="7">
        <v>0</v>
      </c>
      <c r="M315" s="7" t="s">
        <v>2609</v>
      </c>
      <c r="N315" s="7">
        <f>_xlfn.XLOOKUP(A315,[1]SKU!$A:$A,[1]SKU!$Z:$Z)</f>
        <v>250000</v>
      </c>
    </row>
    <row r="316" spans="1:14" s="7" customFormat="1">
      <c r="A316" s="1" t="s">
        <v>427</v>
      </c>
      <c r="B316" s="3" t="s">
        <v>3</v>
      </c>
      <c r="C316" s="3" t="s">
        <v>300</v>
      </c>
      <c r="D316" s="1" t="s">
        <v>428</v>
      </c>
      <c r="E316" s="7" t="str">
        <f t="shared" si="28"/>
        <v>GSL</v>
      </c>
      <c r="F316" s="7" t="str">
        <f t="shared" si="29"/>
        <v>WOM</v>
      </c>
      <c r="G316" s="7" t="str">
        <f t="shared" si="30"/>
        <v>TSS</v>
      </c>
      <c r="H316" s="7" t="str">
        <f t="shared" si="31"/>
        <v>VNE</v>
      </c>
      <c r="I316" s="7" t="str">
        <f t="shared" si="32"/>
        <v>SMP</v>
      </c>
      <c r="J316" s="7" t="str">
        <f t="shared" si="33"/>
        <v>WHI</v>
      </c>
      <c r="K316" s="7" t="str">
        <f t="shared" si="34"/>
        <v>M</v>
      </c>
      <c r="L316" s="7" t="s">
        <v>2018</v>
      </c>
      <c r="M316" s="7" t="s">
        <v>4462</v>
      </c>
      <c r="N316" s="7">
        <f>_xlfn.XLOOKUP(A316,[1]SKU!$A:$A,[1]SKU!$Z:$Z)</f>
        <v>750000</v>
      </c>
    </row>
    <row r="317" spans="1:14" s="7" customFormat="1">
      <c r="A317" s="1" t="s">
        <v>4887</v>
      </c>
      <c r="B317" s="3" t="s">
        <v>4472</v>
      </c>
      <c r="C317" s="3" t="s">
        <v>429</v>
      </c>
      <c r="D317" s="1" t="s">
        <v>4888</v>
      </c>
      <c r="E317" s="7" t="str">
        <f t="shared" si="28"/>
        <v>DSP</v>
      </c>
      <c r="F317" s="7" t="str">
        <f t="shared" si="29"/>
        <v>UNI</v>
      </c>
      <c r="G317" s="7" t="str">
        <f t="shared" si="30"/>
        <v>BAG</v>
      </c>
      <c r="H317" s="7" t="str">
        <f t="shared" si="31"/>
        <v>TTB</v>
      </c>
      <c r="I317" s="7" t="str">
        <f t="shared" si="32"/>
        <v>ALT</v>
      </c>
      <c r="J317" s="7" t="str">
        <f t="shared" si="33"/>
        <v>DRE</v>
      </c>
      <c r="K317" s="7" t="str">
        <f t="shared" si="34"/>
        <v>0</v>
      </c>
      <c r="L317" s="7">
        <v>0</v>
      </c>
      <c r="M317" s="7" t="s">
        <v>2609</v>
      </c>
      <c r="N317" s="7">
        <f>_xlfn.XLOOKUP(A317,[1]SKU!$A:$A,[1]SKU!$Z:$Z)</f>
        <v>14990000</v>
      </c>
    </row>
    <row r="318" spans="1:14" s="7" customFormat="1">
      <c r="A318" s="1" t="s">
        <v>4889</v>
      </c>
      <c r="B318" s="3" t="s">
        <v>4472</v>
      </c>
      <c r="C318" s="3" t="s">
        <v>4890</v>
      </c>
      <c r="D318" s="1" t="s">
        <v>4891</v>
      </c>
      <c r="E318" s="7" t="str">
        <f t="shared" si="28"/>
        <v>LAN</v>
      </c>
      <c r="F318" s="7" t="str">
        <f t="shared" si="29"/>
        <v>UNI</v>
      </c>
      <c r="G318" s="7" t="str">
        <f t="shared" si="30"/>
        <v>HWR</v>
      </c>
      <c r="H318" s="7" t="str">
        <f t="shared" si="31"/>
        <v>SC2</v>
      </c>
      <c r="I318" s="7" t="str">
        <f t="shared" si="32"/>
        <v>QHH</v>
      </c>
      <c r="J318" s="7" t="str">
        <f t="shared" si="33"/>
        <v>RED</v>
      </c>
      <c r="K318" s="7" t="str">
        <f t="shared" si="34"/>
        <v>60x60</v>
      </c>
      <c r="L318" s="7">
        <v>0</v>
      </c>
      <c r="M318" s="7" t="s">
        <v>2609</v>
      </c>
      <c r="N318" s="7">
        <f>_xlfn.XLOOKUP(A318,[1]SKU!$A:$A,[1]SKU!$Z:$Z)</f>
        <v>549000</v>
      </c>
    </row>
    <row r="319" spans="1:14" s="7" customFormat="1">
      <c r="A319" s="1" t="s">
        <v>4892</v>
      </c>
      <c r="B319" s="3" t="s">
        <v>4472</v>
      </c>
      <c r="C319" s="3" t="s">
        <v>4893</v>
      </c>
      <c r="D319" s="1" t="s">
        <v>4894</v>
      </c>
      <c r="E319" s="7" t="str">
        <f t="shared" si="28"/>
        <v>LAN</v>
      </c>
      <c r="F319" s="7" t="str">
        <f t="shared" si="29"/>
        <v>UNI</v>
      </c>
      <c r="G319" s="7" t="str">
        <f t="shared" si="30"/>
        <v>HWR</v>
      </c>
      <c r="H319" s="7" t="str">
        <f t="shared" si="31"/>
        <v>SC2</v>
      </c>
      <c r="I319" s="7" t="str">
        <f t="shared" si="32"/>
        <v>HNI</v>
      </c>
      <c r="J319" s="7" t="str">
        <f t="shared" si="33"/>
        <v>GRN</v>
      </c>
      <c r="K319" s="7" t="str">
        <f t="shared" si="34"/>
        <v>6x130</v>
      </c>
      <c r="L319" s="7">
        <v>0</v>
      </c>
      <c r="M319" s="7" t="s">
        <v>2609</v>
      </c>
      <c r="N319" s="7">
        <f>_xlfn.XLOOKUP(A319,[1]SKU!$A:$A,[1]SKU!$Z:$Z)</f>
        <v>365000</v>
      </c>
    </row>
    <row r="320" spans="1:14" s="7" customFormat="1">
      <c r="A320" s="1" t="s">
        <v>430</v>
      </c>
      <c r="B320" s="3" t="s">
        <v>3</v>
      </c>
      <c r="C320" s="3" t="s">
        <v>26</v>
      </c>
      <c r="D320" s="1" t="s">
        <v>431</v>
      </c>
      <c r="E320" s="7" t="str">
        <f t="shared" si="28"/>
        <v>GSL</v>
      </c>
      <c r="F320" s="7" t="str">
        <f t="shared" si="29"/>
        <v>KID</v>
      </c>
      <c r="G320" s="7" t="str">
        <f t="shared" si="30"/>
        <v>TSS</v>
      </c>
      <c r="H320" s="7" t="str">
        <f t="shared" si="31"/>
        <v>ONE</v>
      </c>
      <c r="I320" s="7" t="str">
        <f t="shared" si="32"/>
        <v>AUL</v>
      </c>
      <c r="J320" s="7" t="str">
        <f t="shared" si="33"/>
        <v>WHI</v>
      </c>
      <c r="K320" s="7" t="str">
        <f t="shared" si="34"/>
        <v>6</v>
      </c>
      <c r="L320" s="7" t="s">
        <v>2018</v>
      </c>
      <c r="M320" s="7" t="s">
        <v>4462</v>
      </c>
      <c r="N320" s="7">
        <f>_xlfn.XLOOKUP(A320,[1]SKU!$A:$A,[1]SKU!$Z:$Z)</f>
        <v>650000</v>
      </c>
    </row>
    <row r="321" spans="1:14" s="7" customFormat="1">
      <c r="A321" s="1" t="s">
        <v>432</v>
      </c>
      <c r="B321" s="3" t="s">
        <v>3</v>
      </c>
      <c r="C321" s="3" t="s">
        <v>84</v>
      </c>
      <c r="D321" s="1" t="s">
        <v>433</v>
      </c>
      <c r="E321" s="7" t="str">
        <f t="shared" si="28"/>
        <v>GBA</v>
      </c>
      <c r="F321" s="7" t="str">
        <f t="shared" si="29"/>
        <v>MEN</v>
      </c>
      <c r="G321" s="7" t="str">
        <f t="shared" si="30"/>
        <v>TSS</v>
      </c>
      <c r="H321" s="7" t="str">
        <f t="shared" si="31"/>
        <v>ONE</v>
      </c>
      <c r="I321" s="7" t="str">
        <f t="shared" si="32"/>
        <v>HAI</v>
      </c>
      <c r="J321" s="7" t="str">
        <f t="shared" si="33"/>
        <v>BLK</v>
      </c>
      <c r="K321" s="7" t="str">
        <f t="shared" si="34"/>
        <v>S</v>
      </c>
      <c r="L321" s="7" t="s">
        <v>2018</v>
      </c>
      <c r="M321" s="7" t="s">
        <v>4462</v>
      </c>
      <c r="N321" s="7">
        <f>_xlfn.XLOOKUP(A321,[1]SKU!$A:$A,[1]SKU!$Z:$Z)</f>
        <v>710000</v>
      </c>
    </row>
    <row r="322" spans="1:14" s="7" customFormat="1">
      <c r="A322" s="1" t="s">
        <v>434</v>
      </c>
      <c r="B322" s="3" t="s">
        <v>3</v>
      </c>
      <c r="C322" s="3" t="s">
        <v>236</v>
      </c>
      <c r="D322" s="1" t="s">
        <v>435</v>
      </c>
      <c r="E322" s="7" t="str">
        <f t="shared" si="28"/>
        <v>GOR</v>
      </c>
      <c r="F322" s="7" t="str">
        <f t="shared" si="29"/>
        <v>KID</v>
      </c>
      <c r="G322" s="7" t="str">
        <f t="shared" si="30"/>
        <v>TSS</v>
      </c>
      <c r="H322" s="7" t="str">
        <f t="shared" si="31"/>
        <v>ONE</v>
      </c>
      <c r="I322" s="7" t="str">
        <f t="shared" si="32"/>
        <v>STA</v>
      </c>
      <c r="J322" s="7" t="str">
        <f t="shared" si="33"/>
        <v>RED</v>
      </c>
      <c r="K322" s="7" t="str">
        <f t="shared" si="34"/>
        <v>8</v>
      </c>
      <c r="L322" s="7" t="s">
        <v>2018</v>
      </c>
      <c r="M322" s="7" t="s">
        <v>4462</v>
      </c>
      <c r="N322" s="7">
        <f>_xlfn.XLOOKUP(A322,[1]SKU!$A:$A,[1]SKU!$Z:$Z)</f>
        <v>590000</v>
      </c>
    </row>
    <row r="323" spans="1:14" s="7" customFormat="1">
      <c r="A323" s="1" t="s">
        <v>4895</v>
      </c>
      <c r="B323" s="3" t="s">
        <v>4472</v>
      </c>
      <c r="C323" s="3" t="s">
        <v>436</v>
      </c>
      <c r="D323" s="1" t="s">
        <v>4896</v>
      </c>
      <c r="E323" s="7" t="str">
        <f t="shared" ref="E323:E386" si="35">_xlfn.TEXTBEFORE(_xlfn.TEXTAFTER(D323,"-"),"-")</f>
        <v>DSP</v>
      </c>
      <c r="F323" s="7" t="str">
        <f t="shared" ref="F323:F386" si="36">_xlfn.TEXTBEFORE(_xlfn.TEXTAFTER(D323,"-",2),"-")</f>
        <v>UNI</v>
      </c>
      <c r="G323" s="7" t="str">
        <f t="shared" ref="G323:G386" si="37">_xlfn.TEXTBEFORE(_xlfn.TEXTAFTER(D323,"-",3),"-")</f>
        <v>FWR</v>
      </c>
      <c r="H323" s="7" t="str">
        <f t="shared" ref="H323:H386" si="38">_xlfn.TEXTBEFORE(_xlfn.TEXTAFTER(D323,"-",4),"-")</f>
        <v>HDB</v>
      </c>
      <c r="I323" s="7" t="str">
        <f t="shared" ref="I323:I386" si="39">_xlfn.TEXTBEFORE(_xlfn.TEXTAFTER(D323,"-",5),"-")</f>
        <v>TAL</v>
      </c>
      <c r="J323" s="7" t="str">
        <f t="shared" ref="J323:J386" si="40">_xlfn.TEXTBEFORE(_xlfn.TEXTAFTER(D323,"-",6),"-")</f>
        <v>GBP</v>
      </c>
      <c r="K323" s="7" t="str">
        <f t="shared" ref="K323:K386" si="41">_xlfn.TEXTAFTER(D323,"-",7)</f>
        <v>40</v>
      </c>
      <c r="L323" s="7">
        <v>0</v>
      </c>
      <c r="M323" s="7" t="s">
        <v>2609</v>
      </c>
      <c r="N323" s="7">
        <f>_xlfn.XLOOKUP(A323,[1]SKU!$A:$A,[1]SKU!$Z:$Z)</f>
        <v>7800000</v>
      </c>
    </row>
    <row r="324" spans="1:14" s="7" customFormat="1">
      <c r="A324" s="1" t="s">
        <v>4897</v>
      </c>
      <c r="B324" s="3" t="s">
        <v>4472</v>
      </c>
      <c r="C324" s="3" t="s">
        <v>4898</v>
      </c>
      <c r="D324" s="1" t="s">
        <v>4899</v>
      </c>
      <c r="E324" s="7" t="str">
        <f t="shared" si="35"/>
        <v>HAM</v>
      </c>
      <c r="F324" s="7" t="str">
        <f t="shared" si="36"/>
        <v>UNI</v>
      </c>
      <c r="G324" s="7" t="str">
        <f t="shared" si="37"/>
        <v>JEW</v>
      </c>
      <c r="H324" s="7" t="str">
        <f t="shared" si="38"/>
        <v>NEC</v>
      </c>
      <c r="I324" s="7" t="str">
        <f t="shared" si="39"/>
        <v>N47</v>
      </c>
      <c r="J324" s="7" t="str">
        <f t="shared" si="40"/>
        <v>MIX</v>
      </c>
      <c r="K324" s="7" t="str">
        <f t="shared" si="41"/>
        <v>0</v>
      </c>
      <c r="L324" s="7">
        <v>0</v>
      </c>
      <c r="M324" s="7" t="s">
        <v>2609</v>
      </c>
      <c r="N324" s="7">
        <f>_xlfn.XLOOKUP(A324,[1]SKU!$A:$A,[1]SKU!$Z:$Z)</f>
        <v>600000</v>
      </c>
    </row>
    <row r="325" spans="1:14" s="7" customFormat="1">
      <c r="A325" s="1" t="s">
        <v>4900</v>
      </c>
      <c r="B325" s="3" t="s">
        <v>4472</v>
      </c>
      <c r="C325" s="3" t="s">
        <v>438</v>
      </c>
      <c r="D325" s="1" t="s">
        <v>4901</v>
      </c>
      <c r="E325" s="7" t="str">
        <f t="shared" si="35"/>
        <v>DSP</v>
      </c>
      <c r="F325" s="7" t="str">
        <f t="shared" si="36"/>
        <v>UNI</v>
      </c>
      <c r="G325" s="7" t="str">
        <f t="shared" si="37"/>
        <v>HDR</v>
      </c>
      <c r="H325" s="7" t="str">
        <f t="shared" si="38"/>
        <v>TRA</v>
      </c>
      <c r="I325" s="7" t="str">
        <f t="shared" si="39"/>
        <v>DSP</v>
      </c>
      <c r="J325" s="7" t="str">
        <f t="shared" si="40"/>
        <v>DGN</v>
      </c>
      <c r="K325" s="7" t="str">
        <f t="shared" si="41"/>
        <v>0</v>
      </c>
      <c r="L325" s="7">
        <v>0</v>
      </c>
      <c r="M325" s="7" t="s">
        <v>2609</v>
      </c>
      <c r="N325" s="7">
        <f>_xlfn.XLOOKUP(A325,[1]SKU!$A:$A,[1]SKU!$Z:$Z)</f>
        <v>4750000</v>
      </c>
    </row>
    <row r="326" spans="1:14" s="7" customFormat="1">
      <c r="A326" s="1" t="s">
        <v>4902</v>
      </c>
      <c r="B326" s="3" t="s">
        <v>4472</v>
      </c>
      <c r="C326" s="3" t="s">
        <v>439</v>
      </c>
      <c r="D326" s="1" t="s">
        <v>4903</v>
      </c>
      <c r="E326" s="7" t="str">
        <f t="shared" si="35"/>
        <v>SHI</v>
      </c>
      <c r="F326" s="7" t="str">
        <f t="shared" si="36"/>
        <v>UNI</v>
      </c>
      <c r="G326" s="7" t="str">
        <f t="shared" si="37"/>
        <v>FNB</v>
      </c>
      <c r="H326" s="7" t="str">
        <f t="shared" si="38"/>
        <v>CFP</v>
      </c>
      <c r="I326" s="7" t="str">
        <f t="shared" si="39"/>
        <v>ALB</v>
      </c>
      <c r="J326" s="7" t="str">
        <f t="shared" si="40"/>
        <v>WHI</v>
      </c>
      <c r="K326" s="7" t="str">
        <f t="shared" si="41"/>
        <v>CAN</v>
      </c>
      <c r="L326" s="7">
        <v>0</v>
      </c>
      <c r="M326" s="7" t="s">
        <v>2609</v>
      </c>
      <c r="N326" s="7">
        <f>_xlfn.XLOOKUP(A326,[1]SKU!$A:$A,[1]SKU!$Z:$Z)</f>
        <v>180000</v>
      </c>
    </row>
    <row r="327" spans="1:14" s="7" customFormat="1">
      <c r="A327" s="1" t="s">
        <v>440</v>
      </c>
      <c r="B327" s="3" t="s">
        <v>3</v>
      </c>
      <c r="C327" s="3" t="s">
        <v>23</v>
      </c>
      <c r="D327" s="1" t="s">
        <v>441</v>
      </c>
      <c r="E327" s="7" t="str">
        <f t="shared" si="35"/>
        <v>GCV</v>
      </c>
      <c r="F327" s="7" t="str">
        <f t="shared" si="36"/>
        <v>MEN</v>
      </c>
      <c r="G327" s="7" t="str">
        <f t="shared" si="37"/>
        <v>SIS</v>
      </c>
      <c r="H327" s="7" t="str">
        <f t="shared" si="38"/>
        <v>BUT</v>
      </c>
      <c r="I327" s="7" t="str">
        <f t="shared" si="39"/>
        <v>URB</v>
      </c>
      <c r="J327" s="7" t="str">
        <f t="shared" si="40"/>
        <v>WHI</v>
      </c>
      <c r="K327" s="7" t="str">
        <f t="shared" si="41"/>
        <v>S</v>
      </c>
      <c r="L327" s="7" t="s">
        <v>2211</v>
      </c>
      <c r="M327" s="7" t="s">
        <v>4464</v>
      </c>
      <c r="N327" s="7">
        <f>_xlfn.XLOOKUP(A327,[1]SKU!$A:$A,[1]SKU!$Z:$Z)</f>
        <v>1790000</v>
      </c>
    </row>
    <row r="328" spans="1:14" s="7" customFormat="1">
      <c r="A328" s="1" t="s">
        <v>442</v>
      </c>
      <c r="B328" s="3" t="s">
        <v>3</v>
      </c>
      <c r="C328" s="3" t="s">
        <v>167</v>
      </c>
      <c r="D328" s="1" t="s">
        <v>443</v>
      </c>
      <c r="E328" s="7" t="str">
        <f t="shared" si="35"/>
        <v>GSP</v>
      </c>
      <c r="F328" s="7" t="str">
        <f t="shared" si="36"/>
        <v>KID</v>
      </c>
      <c r="G328" s="7" t="str">
        <f t="shared" si="37"/>
        <v>TSS</v>
      </c>
      <c r="H328" s="7" t="str">
        <f t="shared" si="38"/>
        <v>ONE</v>
      </c>
      <c r="I328" s="7" t="str">
        <f t="shared" si="39"/>
        <v>TJM</v>
      </c>
      <c r="J328" s="7" t="str">
        <f t="shared" si="40"/>
        <v>EMR</v>
      </c>
      <c r="K328" s="7" t="str">
        <f t="shared" si="41"/>
        <v>10</v>
      </c>
      <c r="L328" s="7" t="s">
        <v>2018</v>
      </c>
      <c r="M328" s="7" t="s">
        <v>4462</v>
      </c>
      <c r="N328" s="7">
        <f>_xlfn.XLOOKUP(A328,[1]SKU!$A:$A,[1]SKU!$Z:$Z)</f>
        <v>590000</v>
      </c>
    </row>
    <row r="329" spans="1:14" s="7" customFormat="1">
      <c r="A329" s="1" t="s">
        <v>444</v>
      </c>
      <c r="B329" s="3" t="s">
        <v>3</v>
      </c>
      <c r="C329" s="3" t="s">
        <v>29</v>
      </c>
      <c r="D329" s="1" t="s">
        <v>445</v>
      </c>
      <c r="E329" s="7" t="str">
        <f t="shared" si="35"/>
        <v>GSP</v>
      </c>
      <c r="F329" s="7" t="str">
        <f t="shared" si="36"/>
        <v>MEN</v>
      </c>
      <c r="G329" s="7" t="str">
        <f t="shared" si="37"/>
        <v>POL</v>
      </c>
      <c r="H329" s="7" t="str">
        <f t="shared" si="38"/>
        <v>MAN</v>
      </c>
      <c r="I329" s="7" t="str">
        <f t="shared" si="39"/>
        <v>SHU</v>
      </c>
      <c r="J329" s="7" t="str">
        <f t="shared" si="40"/>
        <v>NAV</v>
      </c>
      <c r="K329" s="7" t="str">
        <f t="shared" si="41"/>
        <v>M</v>
      </c>
      <c r="L329" s="7" t="s">
        <v>1995</v>
      </c>
      <c r="M329" s="7" t="s">
        <v>4468</v>
      </c>
      <c r="N329" s="7">
        <f>_xlfn.XLOOKUP(A329,[1]SKU!$A:$A,[1]SKU!$Z:$Z)</f>
        <v>1090000</v>
      </c>
    </row>
    <row r="330" spans="1:14" s="7" customFormat="1">
      <c r="A330" s="1" t="s">
        <v>4904</v>
      </c>
      <c r="B330" s="3" t="s">
        <v>4472</v>
      </c>
      <c r="C330" s="3" t="s">
        <v>388</v>
      </c>
      <c r="D330" s="1" t="s">
        <v>4905</v>
      </c>
      <c r="E330" s="7" t="str">
        <f t="shared" si="35"/>
        <v>DSP</v>
      </c>
      <c r="F330" s="7" t="str">
        <f t="shared" si="36"/>
        <v>UNI</v>
      </c>
      <c r="G330" s="7" t="str">
        <f t="shared" si="37"/>
        <v>FWR</v>
      </c>
      <c r="H330" s="7" t="str">
        <f t="shared" si="38"/>
        <v>LES</v>
      </c>
      <c r="I330" s="7" t="str">
        <f t="shared" si="39"/>
        <v>LAW</v>
      </c>
      <c r="J330" s="7" t="str">
        <f t="shared" si="40"/>
        <v>bul</v>
      </c>
      <c r="K330" s="7" t="str">
        <f t="shared" si="41"/>
        <v>38</v>
      </c>
      <c r="L330" s="7">
        <v>0</v>
      </c>
      <c r="M330" s="7" t="s">
        <v>2609</v>
      </c>
      <c r="N330" s="7">
        <f>_xlfn.XLOOKUP(A330,[1]SKU!$A:$A,[1]SKU!$Z:$Z)</f>
        <v>8250000</v>
      </c>
    </row>
    <row r="331" spans="1:14" s="7" customFormat="1">
      <c r="A331" s="1" t="s">
        <v>4906</v>
      </c>
      <c r="B331" s="3" t="s">
        <v>4472</v>
      </c>
      <c r="C331" s="3" t="s">
        <v>4907</v>
      </c>
      <c r="D331" s="1" t="s">
        <v>4908</v>
      </c>
      <c r="E331" s="7" t="str">
        <f t="shared" si="35"/>
        <v>DSP</v>
      </c>
      <c r="F331" s="7" t="str">
        <f t="shared" si="36"/>
        <v>UNI</v>
      </c>
      <c r="G331" s="7" t="str">
        <f t="shared" si="37"/>
        <v>BAG</v>
      </c>
      <c r="H331" s="7" t="str">
        <f t="shared" si="38"/>
        <v>WAL</v>
      </c>
      <c r="I331" s="7" t="str">
        <f t="shared" si="39"/>
        <v>GC0</v>
      </c>
      <c r="J331" s="7" t="str">
        <f t="shared" si="40"/>
        <v>BLK</v>
      </c>
      <c r="K331" s="7" t="str">
        <f t="shared" si="41"/>
        <v>0</v>
      </c>
      <c r="L331" s="7">
        <v>0</v>
      </c>
      <c r="M331" s="7" t="s">
        <v>2609</v>
      </c>
      <c r="N331" s="7">
        <f>_xlfn.XLOOKUP(A331,[1]SKU!$A:$A,[1]SKU!$Z:$Z)</f>
        <v>1350000</v>
      </c>
    </row>
    <row r="332" spans="1:14" s="7" customFormat="1">
      <c r="A332" s="1" t="s">
        <v>446</v>
      </c>
      <c r="B332" s="3" t="s">
        <v>3</v>
      </c>
      <c r="C332" s="3" t="s">
        <v>447</v>
      </c>
      <c r="D332" s="1" t="s">
        <v>448</v>
      </c>
      <c r="E332" s="7" t="str">
        <f t="shared" si="35"/>
        <v>GBA</v>
      </c>
      <c r="F332" s="7" t="str">
        <f t="shared" si="36"/>
        <v>MEN</v>
      </c>
      <c r="G332" s="7" t="str">
        <f t="shared" si="37"/>
        <v>TSS</v>
      </c>
      <c r="H332" s="7" t="str">
        <f t="shared" si="38"/>
        <v>ONE</v>
      </c>
      <c r="I332" s="7" t="str">
        <f t="shared" si="39"/>
        <v>GVT</v>
      </c>
      <c r="J332" s="7" t="str">
        <f t="shared" si="40"/>
        <v>WHI</v>
      </c>
      <c r="K332" s="7" t="str">
        <f t="shared" si="41"/>
        <v>M</v>
      </c>
      <c r="L332" s="7" t="s">
        <v>2018</v>
      </c>
      <c r="M332" s="7" t="s">
        <v>4462</v>
      </c>
      <c r="N332" s="7">
        <f>_xlfn.XLOOKUP(A332,[1]SKU!$A:$A,[1]SKU!$Z:$Z)</f>
        <v>710000</v>
      </c>
    </row>
    <row r="333" spans="1:14" s="7" customFormat="1">
      <c r="A333" s="1" t="s">
        <v>449</v>
      </c>
      <c r="B333" s="3" t="s">
        <v>3</v>
      </c>
      <c r="C333" s="3" t="s">
        <v>450</v>
      </c>
      <c r="D333" s="1" t="s">
        <v>451</v>
      </c>
      <c r="E333" s="7" t="str">
        <f t="shared" si="35"/>
        <v>GOR</v>
      </c>
      <c r="F333" s="7" t="str">
        <f t="shared" si="36"/>
        <v>MEN</v>
      </c>
      <c r="G333" s="7" t="str">
        <f t="shared" si="37"/>
        <v>TSP</v>
      </c>
      <c r="H333" s="7" t="str">
        <f t="shared" si="38"/>
        <v>ONE</v>
      </c>
      <c r="I333" s="7" t="str">
        <f t="shared" si="39"/>
        <v>HNB</v>
      </c>
      <c r="J333" s="7" t="str">
        <f t="shared" si="40"/>
        <v>RED</v>
      </c>
      <c r="K333" s="7" t="str">
        <f t="shared" si="41"/>
        <v>XXL</v>
      </c>
      <c r="L333" s="7" t="s">
        <v>2085</v>
      </c>
      <c r="M333" s="7" t="s">
        <v>4462</v>
      </c>
      <c r="N333" s="7">
        <f>_xlfn.XLOOKUP(A333,[1]SKU!$A:$A,[1]SKU!$Z:$Z)</f>
        <v>790000</v>
      </c>
    </row>
    <row r="334" spans="1:14" s="7" customFormat="1">
      <c r="A334" s="1" t="s">
        <v>452</v>
      </c>
      <c r="B334" s="3" t="s">
        <v>3</v>
      </c>
      <c r="C334" s="3" t="s">
        <v>75</v>
      </c>
      <c r="D334" s="1" t="s">
        <v>453</v>
      </c>
      <c r="E334" s="7" t="str">
        <f t="shared" si="35"/>
        <v>GSL</v>
      </c>
      <c r="F334" s="7" t="str">
        <f t="shared" si="36"/>
        <v>WOM</v>
      </c>
      <c r="G334" s="7" t="str">
        <f t="shared" si="37"/>
        <v>APP</v>
      </c>
      <c r="H334" s="7" t="str">
        <f t="shared" si="38"/>
        <v>BNE</v>
      </c>
      <c r="I334" s="7" t="str">
        <f t="shared" si="39"/>
        <v>HOA</v>
      </c>
      <c r="J334" s="7" t="str">
        <f t="shared" si="40"/>
        <v>WHI</v>
      </c>
      <c r="K334" s="7" t="str">
        <f t="shared" si="41"/>
        <v>L</v>
      </c>
      <c r="L334" s="7" t="s">
        <v>2117</v>
      </c>
      <c r="M334" s="7" t="s">
        <v>2117</v>
      </c>
      <c r="N334" s="7">
        <f>_xlfn.XLOOKUP(A334,[1]SKU!$A:$A,[1]SKU!$Z:$Z)</f>
        <v>750000</v>
      </c>
    </row>
    <row r="335" spans="1:14" s="7" customFormat="1">
      <c r="A335" s="1" t="s">
        <v>454</v>
      </c>
      <c r="B335" s="3" t="s">
        <v>3</v>
      </c>
      <c r="C335" s="3" t="s">
        <v>455</v>
      </c>
      <c r="D335" s="1" t="s">
        <v>456</v>
      </c>
      <c r="E335" s="7" t="str">
        <f t="shared" si="35"/>
        <v>GOR</v>
      </c>
      <c r="F335" s="7" t="str">
        <f t="shared" si="36"/>
        <v>MEN</v>
      </c>
      <c r="G335" s="7" t="str">
        <f t="shared" si="37"/>
        <v>TSS</v>
      </c>
      <c r="H335" s="7" t="str">
        <f t="shared" si="38"/>
        <v>ONE</v>
      </c>
      <c r="I335" s="7" t="str">
        <f t="shared" si="39"/>
        <v>RTE</v>
      </c>
      <c r="J335" s="7" t="str">
        <f t="shared" si="40"/>
        <v>BLK</v>
      </c>
      <c r="K335" s="7" t="str">
        <f t="shared" si="41"/>
        <v>M</v>
      </c>
      <c r="L335" s="7" t="s">
        <v>2018</v>
      </c>
      <c r="M335" s="7" t="s">
        <v>4462</v>
      </c>
      <c r="N335" s="7">
        <f>_xlfn.XLOOKUP(A335,[1]SKU!$A:$A,[1]SKU!$Z:$Z)</f>
        <v>990000</v>
      </c>
    </row>
    <row r="336" spans="1:14" s="7" customFormat="1">
      <c r="A336" s="1" t="s">
        <v>457</v>
      </c>
      <c r="B336" s="3" t="s">
        <v>3</v>
      </c>
      <c r="C336" s="3" t="s">
        <v>23</v>
      </c>
      <c r="D336" s="1" t="s">
        <v>458</v>
      </c>
      <c r="E336" s="7" t="str">
        <f t="shared" si="35"/>
        <v>GCV</v>
      </c>
      <c r="F336" s="7" t="str">
        <f t="shared" si="36"/>
        <v>MEN</v>
      </c>
      <c r="G336" s="7" t="str">
        <f t="shared" si="37"/>
        <v>SIS</v>
      </c>
      <c r="H336" s="7" t="str">
        <f t="shared" si="38"/>
        <v>BUT</v>
      </c>
      <c r="I336" s="7" t="str">
        <f t="shared" si="39"/>
        <v>URB</v>
      </c>
      <c r="J336" s="7" t="str">
        <f t="shared" si="40"/>
        <v>WHI</v>
      </c>
      <c r="K336" s="7" t="str">
        <f t="shared" si="41"/>
        <v>XXL</v>
      </c>
      <c r="L336" s="7" t="s">
        <v>2211</v>
      </c>
      <c r="M336" s="7" t="s">
        <v>4464</v>
      </c>
      <c r="N336" s="7">
        <f>_xlfn.XLOOKUP(A336,[1]SKU!$A:$A,[1]SKU!$Z:$Z)</f>
        <v>1790000</v>
      </c>
    </row>
    <row r="337" spans="1:14" s="7" customFormat="1">
      <c r="A337" s="1" t="s">
        <v>4909</v>
      </c>
      <c r="B337" s="3" t="s">
        <v>4472</v>
      </c>
      <c r="C337" s="3" t="s">
        <v>4755</v>
      </c>
      <c r="D337" s="1" t="s">
        <v>4910</v>
      </c>
      <c r="E337" s="7" t="str">
        <f t="shared" si="35"/>
        <v>NGO</v>
      </c>
      <c r="F337" s="7" t="str">
        <f t="shared" si="36"/>
        <v>UNI</v>
      </c>
      <c r="G337" s="7" t="str">
        <f t="shared" si="37"/>
        <v>FWR</v>
      </c>
      <c r="H337" s="7" t="str">
        <f t="shared" si="38"/>
        <v>SNE</v>
      </c>
      <c r="I337" s="7" t="str">
        <f t="shared" si="39"/>
        <v>HAI</v>
      </c>
      <c r="J337" s="7" t="str">
        <f t="shared" si="40"/>
        <v>MPE</v>
      </c>
      <c r="K337" s="7" t="str">
        <f t="shared" si="41"/>
        <v>43</v>
      </c>
      <c r="L337" s="7">
        <v>0</v>
      </c>
      <c r="M337" s="7" t="s">
        <v>2609</v>
      </c>
      <c r="N337" s="7">
        <f>_xlfn.XLOOKUP(A337,[1]SKU!$A:$A,[1]SKU!$Z:$Z)</f>
        <v>3990000</v>
      </c>
    </row>
    <row r="338" spans="1:14" s="7" customFormat="1">
      <c r="A338" s="1" t="s">
        <v>4911</v>
      </c>
      <c r="B338" s="3" t="s">
        <v>4472</v>
      </c>
      <c r="C338" s="3" t="s">
        <v>4912</v>
      </c>
      <c r="D338" s="1" t="s">
        <v>4913</v>
      </c>
      <c r="E338" s="7" t="str">
        <f t="shared" si="35"/>
        <v>TOH</v>
      </c>
      <c r="F338" s="7" t="str">
        <f t="shared" si="36"/>
        <v>UNI</v>
      </c>
      <c r="G338" s="7" t="str">
        <f t="shared" si="37"/>
        <v>BAG</v>
      </c>
      <c r="H338" s="7" t="str">
        <f t="shared" si="38"/>
        <v>TTB</v>
      </c>
      <c r="I338" s="7" t="str">
        <f t="shared" si="39"/>
        <v>AT2</v>
      </c>
      <c r="J338" s="7" t="str">
        <f t="shared" si="40"/>
        <v>MIX</v>
      </c>
      <c r="K338" s="7" t="str">
        <f t="shared" si="41"/>
        <v>S</v>
      </c>
      <c r="L338" s="7">
        <v>0</v>
      </c>
      <c r="M338" s="7" t="s">
        <v>2609</v>
      </c>
      <c r="N338" s="7">
        <f>_xlfn.XLOOKUP(A338,[1]SKU!$A:$A,[1]SKU!$Z:$Z)</f>
        <v>320000</v>
      </c>
    </row>
    <row r="339" spans="1:14" s="7" customFormat="1">
      <c r="A339" s="1" t="s">
        <v>4914</v>
      </c>
      <c r="B339" s="3" t="s">
        <v>4472</v>
      </c>
      <c r="C339" s="3" t="s">
        <v>4915</v>
      </c>
      <c r="D339" s="1" t="s">
        <v>4916</v>
      </c>
      <c r="E339" s="7" t="str">
        <f t="shared" si="35"/>
        <v>EDE</v>
      </c>
      <c r="F339" s="7" t="str">
        <f t="shared" si="36"/>
        <v>UNI</v>
      </c>
      <c r="G339" s="7" t="str">
        <f t="shared" si="37"/>
        <v>BAG</v>
      </c>
      <c r="H339" s="7" t="str">
        <f t="shared" si="38"/>
        <v>CLU</v>
      </c>
      <c r="I339" s="7" t="str">
        <f t="shared" si="39"/>
        <v>YOK</v>
      </c>
      <c r="J339" s="7" t="str">
        <f t="shared" si="40"/>
        <v>MIX</v>
      </c>
      <c r="K339" s="7" t="str">
        <f t="shared" si="41"/>
        <v>0</v>
      </c>
      <c r="L339" s="7">
        <v>0</v>
      </c>
      <c r="M339" s="7" t="s">
        <v>2609</v>
      </c>
      <c r="N339" s="7">
        <f>_xlfn.XLOOKUP(A339,[1]SKU!$A:$A,[1]SKU!$Z:$Z)</f>
        <v>310000</v>
      </c>
    </row>
    <row r="340" spans="1:14" s="7" customFormat="1">
      <c r="A340" s="1" t="s">
        <v>4917</v>
      </c>
      <c r="B340" s="3" t="s">
        <v>4472</v>
      </c>
      <c r="C340" s="3" t="s">
        <v>460</v>
      </c>
      <c r="D340" s="1" t="s">
        <v>4918</v>
      </c>
      <c r="E340" s="7" t="str">
        <f t="shared" si="35"/>
        <v>SHI</v>
      </c>
      <c r="F340" s="7" t="str">
        <f t="shared" si="36"/>
        <v>UNI</v>
      </c>
      <c r="G340" s="7" t="str">
        <f t="shared" si="37"/>
        <v>FNB</v>
      </c>
      <c r="H340" s="7" t="str">
        <f t="shared" si="38"/>
        <v>CFB</v>
      </c>
      <c r="I340" s="7" t="str">
        <f t="shared" si="39"/>
        <v>PBO</v>
      </c>
      <c r="J340" s="7" t="str">
        <f t="shared" si="40"/>
        <v>WHI</v>
      </c>
      <c r="K340" s="7" t="str">
        <f t="shared" si="41"/>
        <v>BAG</v>
      </c>
      <c r="L340" s="7">
        <v>0</v>
      </c>
      <c r="M340" s="7" t="s">
        <v>2609</v>
      </c>
      <c r="N340" s="7">
        <f>_xlfn.XLOOKUP(A340,[1]SKU!$A:$A,[1]SKU!$Z:$Z)</f>
        <v>250000</v>
      </c>
    </row>
    <row r="341" spans="1:14" s="7" customFormat="1">
      <c r="A341" s="1" t="s">
        <v>4919</v>
      </c>
      <c r="B341" s="3" t="s">
        <v>4472</v>
      </c>
      <c r="C341" s="3" t="s">
        <v>4920</v>
      </c>
      <c r="D341" s="1" t="s">
        <v>4921</v>
      </c>
      <c r="E341" s="7" t="str">
        <f t="shared" si="35"/>
        <v>DSP</v>
      </c>
      <c r="F341" s="7" t="str">
        <f t="shared" si="36"/>
        <v>UNI</v>
      </c>
      <c r="G341" s="7" t="str">
        <f t="shared" si="37"/>
        <v>BAG</v>
      </c>
      <c r="H341" s="7" t="str">
        <f t="shared" si="38"/>
        <v>COS</v>
      </c>
      <c r="I341" s="7" t="str">
        <f t="shared" si="39"/>
        <v>MON</v>
      </c>
      <c r="J341" s="7" t="str">
        <f t="shared" si="40"/>
        <v>PUR</v>
      </c>
      <c r="K341" s="7" t="str">
        <f t="shared" si="41"/>
        <v>0</v>
      </c>
      <c r="L341" s="7">
        <v>0</v>
      </c>
      <c r="M341" s="7" t="s">
        <v>2609</v>
      </c>
      <c r="N341" s="7">
        <f>_xlfn.XLOOKUP(A341,[1]SKU!$A:$A,[1]SKU!$Z:$Z)</f>
        <v>4200000</v>
      </c>
    </row>
    <row r="342" spans="1:14" s="7" customFormat="1">
      <c r="A342" s="1" t="s">
        <v>4922</v>
      </c>
      <c r="B342" s="3" t="s">
        <v>4472</v>
      </c>
      <c r="C342" s="3" t="s">
        <v>461</v>
      </c>
      <c r="D342" s="1" t="s">
        <v>4923</v>
      </c>
      <c r="E342" s="7" t="str">
        <f t="shared" si="35"/>
        <v>DSP</v>
      </c>
      <c r="F342" s="7" t="str">
        <f t="shared" si="36"/>
        <v>UNI</v>
      </c>
      <c r="G342" s="7" t="str">
        <f t="shared" si="37"/>
        <v>ACC</v>
      </c>
      <c r="H342" s="7" t="str">
        <f t="shared" si="38"/>
        <v>KEY</v>
      </c>
      <c r="I342" s="7" t="str">
        <f t="shared" si="39"/>
        <v>DU1</v>
      </c>
      <c r="J342" s="7" t="str">
        <f t="shared" si="40"/>
        <v>CHE</v>
      </c>
      <c r="K342" s="7" t="str">
        <f t="shared" si="41"/>
        <v>0</v>
      </c>
      <c r="L342" s="7">
        <v>0</v>
      </c>
      <c r="M342" s="7" t="s">
        <v>2609</v>
      </c>
      <c r="N342" s="7">
        <f>_xlfn.XLOOKUP(A342,[1]SKU!$A:$A,[1]SKU!$Z:$Z)</f>
        <v>670000</v>
      </c>
    </row>
    <row r="343" spans="1:14" s="7" customFormat="1">
      <c r="A343" s="1" t="s">
        <v>462</v>
      </c>
      <c r="B343" s="3" t="s">
        <v>3</v>
      </c>
      <c r="C343" s="3" t="s">
        <v>268</v>
      </c>
      <c r="D343" s="1" t="s">
        <v>463</v>
      </c>
      <c r="E343" s="7" t="str">
        <f t="shared" si="35"/>
        <v>GOR</v>
      </c>
      <c r="F343" s="7" t="str">
        <f t="shared" si="36"/>
        <v>MEN</v>
      </c>
      <c r="G343" s="7" t="str">
        <f t="shared" si="37"/>
        <v>TSS</v>
      </c>
      <c r="H343" s="7" t="str">
        <f t="shared" si="38"/>
        <v>ONE</v>
      </c>
      <c r="I343" s="7" t="str">
        <f t="shared" si="39"/>
        <v>SSY</v>
      </c>
      <c r="J343" s="7" t="str">
        <f t="shared" si="40"/>
        <v>WHI</v>
      </c>
      <c r="K343" s="7" t="str">
        <f t="shared" si="41"/>
        <v>XL</v>
      </c>
      <c r="L343" s="7" t="s">
        <v>2018</v>
      </c>
      <c r="M343" s="7" t="s">
        <v>4462</v>
      </c>
      <c r="N343" s="7">
        <f>_xlfn.XLOOKUP(A343,[1]SKU!$A:$A,[1]SKU!$Z:$Z)</f>
        <v>790000</v>
      </c>
    </row>
    <row r="344" spans="1:14" s="7" customFormat="1">
      <c r="A344" s="1" t="s">
        <v>4924</v>
      </c>
      <c r="B344" s="3" t="s">
        <v>4472</v>
      </c>
      <c r="C344" s="3" t="s">
        <v>464</v>
      </c>
      <c r="D344" s="1" t="s">
        <v>4925</v>
      </c>
      <c r="E344" s="7" t="str">
        <f t="shared" si="35"/>
        <v>TKC</v>
      </c>
      <c r="F344" s="7" t="str">
        <f t="shared" si="36"/>
        <v>UNI</v>
      </c>
      <c r="G344" s="7" t="str">
        <f t="shared" si="37"/>
        <v>FNB</v>
      </c>
      <c r="H344" s="7" t="str">
        <f t="shared" si="38"/>
        <v>CFB</v>
      </c>
      <c r="I344" s="7" t="str">
        <f t="shared" si="39"/>
        <v>DS</v>
      </c>
      <c r="J344" s="7" t="str">
        <f t="shared" si="40"/>
        <v>NON</v>
      </c>
      <c r="K344" s="7" t="str">
        <f t="shared" si="41"/>
        <v>250g</v>
      </c>
      <c r="L344" s="7">
        <v>0</v>
      </c>
      <c r="M344" s="7" t="s">
        <v>2609</v>
      </c>
      <c r="N344" s="7">
        <f>_xlfn.XLOOKUP(A344,[1]SKU!$A:$A,[1]SKU!$Z:$Z)</f>
        <v>245000</v>
      </c>
    </row>
    <row r="345" spans="1:14" s="7" customFormat="1">
      <c r="A345" s="1" t="s">
        <v>465</v>
      </c>
      <c r="B345" s="3" t="s">
        <v>3</v>
      </c>
      <c r="C345" s="3" t="s">
        <v>268</v>
      </c>
      <c r="D345" s="1" t="s">
        <v>466</v>
      </c>
      <c r="E345" s="7" t="str">
        <f t="shared" si="35"/>
        <v>GOR</v>
      </c>
      <c r="F345" s="7" t="str">
        <f t="shared" si="36"/>
        <v>MEN</v>
      </c>
      <c r="G345" s="7" t="str">
        <f t="shared" si="37"/>
        <v>TSS</v>
      </c>
      <c r="H345" s="7" t="str">
        <f t="shared" si="38"/>
        <v>ONE</v>
      </c>
      <c r="I345" s="7" t="str">
        <f t="shared" si="39"/>
        <v>SSY</v>
      </c>
      <c r="J345" s="7" t="str">
        <f t="shared" si="40"/>
        <v>GRE</v>
      </c>
      <c r="K345" s="7" t="str">
        <f t="shared" si="41"/>
        <v>S</v>
      </c>
      <c r="L345" s="7" t="s">
        <v>2018</v>
      </c>
      <c r="M345" s="7" t="s">
        <v>4462</v>
      </c>
      <c r="N345" s="7">
        <f>_xlfn.XLOOKUP(A345,[1]SKU!$A:$A,[1]SKU!$Z:$Z)</f>
        <v>790000</v>
      </c>
    </row>
    <row r="346" spans="1:14" s="7" customFormat="1">
      <c r="A346" s="1" t="s">
        <v>4926</v>
      </c>
      <c r="B346" s="3" t="s">
        <v>4472</v>
      </c>
      <c r="C346" s="3" t="s">
        <v>467</v>
      </c>
      <c r="D346" s="1" t="s">
        <v>4927</v>
      </c>
      <c r="E346" s="7" t="str">
        <f t="shared" si="35"/>
        <v>DSP</v>
      </c>
      <c r="F346" s="7" t="str">
        <f t="shared" si="36"/>
        <v>UNI</v>
      </c>
      <c r="G346" s="7" t="str">
        <f t="shared" si="37"/>
        <v>FWR</v>
      </c>
      <c r="H346" s="7" t="str">
        <f t="shared" si="38"/>
        <v>LES</v>
      </c>
      <c r="I346" s="7" t="str">
        <f t="shared" si="39"/>
        <v>DRI</v>
      </c>
      <c r="J346" s="7" t="str">
        <f t="shared" si="40"/>
        <v>RED</v>
      </c>
      <c r="K346" s="7" t="str">
        <f t="shared" si="41"/>
        <v>39</v>
      </c>
      <c r="L346" s="7">
        <v>0</v>
      </c>
      <c r="M346" s="7" t="s">
        <v>2609</v>
      </c>
      <c r="N346" s="7">
        <f>_xlfn.XLOOKUP(A346,[1]SKU!$A:$A,[1]SKU!$Z:$Z)</f>
        <v>6200000</v>
      </c>
    </row>
    <row r="347" spans="1:14" s="7" customFormat="1">
      <c r="A347" s="1" t="s">
        <v>4928</v>
      </c>
      <c r="B347" s="3" t="s">
        <v>4472</v>
      </c>
      <c r="C347" s="3" t="s">
        <v>468</v>
      </c>
      <c r="D347" s="1" t="s">
        <v>4929</v>
      </c>
      <c r="E347" s="7" t="str">
        <f t="shared" si="35"/>
        <v>DSP</v>
      </c>
      <c r="F347" s="7" t="str">
        <f t="shared" si="36"/>
        <v>UNI</v>
      </c>
      <c r="G347" s="7" t="str">
        <f t="shared" si="37"/>
        <v>FWR</v>
      </c>
      <c r="H347" s="7" t="str">
        <f t="shared" si="38"/>
        <v>LES</v>
      </c>
      <c r="I347" s="7" t="str">
        <f t="shared" si="39"/>
        <v>BYR</v>
      </c>
      <c r="J347" s="7" t="str">
        <f t="shared" si="40"/>
        <v>BLK</v>
      </c>
      <c r="K347" s="7" t="str">
        <f t="shared" si="41"/>
        <v>47</v>
      </c>
      <c r="L347" s="7">
        <v>0</v>
      </c>
      <c r="M347" s="7" t="s">
        <v>2609</v>
      </c>
      <c r="N347" s="7">
        <f>_xlfn.XLOOKUP(A347,[1]SKU!$A:$A,[1]SKU!$Z:$Z)</f>
        <v>8250000</v>
      </c>
    </row>
    <row r="348" spans="1:14" s="7" customFormat="1">
      <c r="A348" s="1" t="s">
        <v>469</v>
      </c>
      <c r="B348" s="3" t="s">
        <v>3</v>
      </c>
      <c r="C348" s="3" t="s">
        <v>23</v>
      </c>
      <c r="D348" s="1" t="s">
        <v>470</v>
      </c>
      <c r="E348" s="7" t="str">
        <f t="shared" si="35"/>
        <v>GBA</v>
      </c>
      <c r="F348" s="7" t="str">
        <f t="shared" si="36"/>
        <v>MEN</v>
      </c>
      <c r="G348" s="7" t="str">
        <f t="shared" si="37"/>
        <v>TSS</v>
      </c>
      <c r="H348" s="7" t="str">
        <f t="shared" si="38"/>
        <v>ONE</v>
      </c>
      <c r="I348" s="7" t="str">
        <f t="shared" si="39"/>
        <v>URB</v>
      </c>
      <c r="J348" s="7" t="str">
        <f t="shared" si="40"/>
        <v>GRE</v>
      </c>
      <c r="K348" s="7" t="str">
        <f t="shared" si="41"/>
        <v>M</v>
      </c>
      <c r="L348" s="7" t="s">
        <v>2018</v>
      </c>
      <c r="M348" s="7" t="s">
        <v>4462</v>
      </c>
      <c r="N348" s="7">
        <f>_xlfn.XLOOKUP(A348,[1]SKU!$A:$A,[1]SKU!$Z:$Z)</f>
        <v>710000</v>
      </c>
    </row>
    <row r="349" spans="1:14" s="7" customFormat="1">
      <c r="A349" s="1" t="s">
        <v>4930</v>
      </c>
      <c r="B349" s="3" t="s">
        <v>4472</v>
      </c>
      <c r="C349" s="3" t="s">
        <v>4931</v>
      </c>
      <c r="D349" s="1" t="s">
        <v>4932</v>
      </c>
      <c r="E349" s="7" t="str">
        <f t="shared" si="35"/>
        <v>HAM</v>
      </c>
      <c r="F349" s="7" t="str">
        <f t="shared" si="36"/>
        <v>UNI</v>
      </c>
      <c r="G349" s="7" t="str">
        <f t="shared" si="37"/>
        <v>JEW</v>
      </c>
      <c r="H349" s="7" t="str">
        <f t="shared" si="38"/>
        <v>NEC</v>
      </c>
      <c r="I349" s="7" t="str">
        <f t="shared" si="39"/>
        <v>L32</v>
      </c>
      <c r="J349" s="7" t="str">
        <f t="shared" si="40"/>
        <v>MIX</v>
      </c>
      <c r="K349" s="7" t="str">
        <f t="shared" si="41"/>
        <v>0</v>
      </c>
      <c r="L349" s="7">
        <v>0</v>
      </c>
      <c r="M349" s="7" t="s">
        <v>2609</v>
      </c>
      <c r="N349" s="7">
        <f>_xlfn.XLOOKUP(A349,[1]SKU!$A:$A,[1]SKU!$Z:$Z)</f>
        <v>2000000</v>
      </c>
    </row>
    <row r="350" spans="1:14" s="7" customFormat="1">
      <c r="A350" s="1" t="s">
        <v>4933</v>
      </c>
      <c r="B350" s="3" t="s">
        <v>4472</v>
      </c>
      <c r="C350" s="3" t="s">
        <v>4547</v>
      </c>
      <c r="D350" s="1" t="s">
        <v>4934</v>
      </c>
      <c r="E350" s="7" t="str">
        <f t="shared" si="35"/>
        <v>HAM</v>
      </c>
      <c r="F350" s="7" t="str">
        <f t="shared" si="36"/>
        <v>UNI</v>
      </c>
      <c r="G350" s="7" t="str">
        <f t="shared" si="37"/>
        <v>JEW</v>
      </c>
      <c r="H350" s="7" t="str">
        <f t="shared" si="38"/>
        <v>NEC</v>
      </c>
      <c r="I350" s="7" t="str">
        <f t="shared" si="39"/>
        <v>A36</v>
      </c>
      <c r="J350" s="7" t="str">
        <f t="shared" si="40"/>
        <v>MIX</v>
      </c>
      <c r="K350" s="7" t="str">
        <f t="shared" si="41"/>
        <v>0</v>
      </c>
      <c r="L350" s="7">
        <v>0</v>
      </c>
      <c r="M350" s="7" t="s">
        <v>2609</v>
      </c>
      <c r="N350" s="7">
        <f>_xlfn.XLOOKUP(A350,[1]SKU!$A:$A,[1]SKU!$Z:$Z)</f>
        <v>2200000</v>
      </c>
    </row>
    <row r="351" spans="1:14" s="7" customFormat="1">
      <c r="A351" s="1" t="s">
        <v>473</v>
      </c>
      <c r="B351" s="3" t="s">
        <v>3</v>
      </c>
      <c r="C351" s="3" t="s">
        <v>167</v>
      </c>
      <c r="D351" s="1" t="s">
        <v>474</v>
      </c>
      <c r="E351" s="7" t="str">
        <f t="shared" si="35"/>
        <v>GOR</v>
      </c>
      <c r="F351" s="7" t="str">
        <f t="shared" si="36"/>
        <v>MEN</v>
      </c>
      <c r="G351" s="7" t="str">
        <f t="shared" si="37"/>
        <v>TSP</v>
      </c>
      <c r="H351" s="7" t="str">
        <f t="shared" si="38"/>
        <v>ONE</v>
      </c>
      <c r="I351" s="7" t="str">
        <f t="shared" si="39"/>
        <v>TJM</v>
      </c>
      <c r="J351" s="7" t="str">
        <f t="shared" si="40"/>
        <v>OLI</v>
      </c>
      <c r="K351" s="7" t="str">
        <f t="shared" si="41"/>
        <v>L</v>
      </c>
      <c r="L351" s="7" t="s">
        <v>2085</v>
      </c>
      <c r="M351" s="7" t="s">
        <v>4462</v>
      </c>
      <c r="N351" s="7">
        <f>_xlfn.XLOOKUP(A351,[1]SKU!$A:$A,[1]SKU!$Z:$Z)</f>
        <v>790000</v>
      </c>
    </row>
    <row r="352" spans="1:14" s="7" customFormat="1">
      <c r="A352" s="1" t="s">
        <v>475</v>
      </c>
      <c r="B352" s="3" t="s">
        <v>3</v>
      </c>
      <c r="C352" s="3" t="s">
        <v>311</v>
      </c>
      <c r="D352" s="1" t="s">
        <v>476</v>
      </c>
      <c r="E352" s="7" t="str">
        <f t="shared" si="35"/>
        <v>GSL</v>
      </c>
      <c r="F352" s="7" t="str">
        <f t="shared" si="36"/>
        <v>WOM</v>
      </c>
      <c r="G352" s="7" t="str">
        <f t="shared" si="37"/>
        <v>APP</v>
      </c>
      <c r="H352" s="7" t="str">
        <f t="shared" si="38"/>
        <v>BNE</v>
      </c>
      <c r="I352" s="7" t="str">
        <f t="shared" si="39"/>
        <v>GL2</v>
      </c>
      <c r="J352" s="7" t="str">
        <f t="shared" si="40"/>
        <v>GPE</v>
      </c>
      <c r="K352" s="7" t="str">
        <f t="shared" si="41"/>
        <v>S</v>
      </c>
      <c r="L352" s="7" t="s">
        <v>2117</v>
      </c>
      <c r="M352" s="7" t="s">
        <v>2117</v>
      </c>
      <c r="N352" s="7">
        <f>_xlfn.XLOOKUP(A352,[1]SKU!$A:$A,[1]SKU!$Z:$Z)</f>
        <v>750000</v>
      </c>
    </row>
    <row r="353" spans="1:14" s="7" customFormat="1">
      <c r="A353" s="1" t="s">
        <v>4935</v>
      </c>
      <c r="B353" s="3" t="s">
        <v>4472</v>
      </c>
      <c r="C353" s="3" t="s">
        <v>477</v>
      </c>
      <c r="D353" s="1" t="s">
        <v>4936</v>
      </c>
      <c r="E353" s="7" t="str">
        <f t="shared" si="35"/>
        <v>SHI</v>
      </c>
      <c r="F353" s="7" t="str">
        <f t="shared" si="36"/>
        <v>UNI</v>
      </c>
      <c r="G353" s="7" t="str">
        <f t="shared" si="37"/>
        <v>FNB</v>
      </c>
      <c r="H353" s="7" t="str">
        <f t="shared" si="38"/>
        <v>CFP</v>
      </c>
      <c r="I353" s="7" t="str">
        <f t="shared" si="39"/>
        <v>DLB</v>
      </c>
      <c r="J353" s="7" t="str">
        <f t="shared" si="40"/>
        <v>WHI</v>
      </c>
      <c r="K353" s="7" t="str">
        <f t="shared" si="41"/>
        <v>BOX</v>
      </c>
      <c r="L353" s="7">
        <v>0</v>
      </c>
      <c r="M353" s="7" t="s">
        <v>2609</v>
      </c>
      <c r="N353" s="7">
        <f>_xlfn.XLOOKUP(A353,[1]SKU!$A:$A,[1]SKU!$Z:$Z)</f>
        <v>220000</v>
      </c>
    </row>
    <row r="354" spans="1:14" s="7" customFormat="1">
      <c r="A354" s="1" t="s">
        <v>4937</v>
      </c>
      <c r="B354" s="3" t="s">
        <v>4472</v>
      </c>
      <c r="C354" s="3" t="s">
        <v>478</v>
      </c>
      <c r="D354" s="1" t="s">
        <v>4938</v>
      </c>
      <c r="E354" s="7" t="str">
        <f t="shared" si="35"/>
        <v>DSP</v>
      </c>
      <c r="F354" s="7" t="str">
        <f t="shared" si="36"/>
        <v>UNI</v>
      </c>
      <c r="G354" s="7" t="str">
        <f t="shared" si="37"/>
        <v>FWR</v>
      </c>
      <c r="H354" s="7" t="str">
        <f t="shared" si="38"/>
        <v>LES</v>
      </c>
      <c r="I354" s="7" t="str">
        <f t="shared" si="39"/>
        <v>GAB</v>
      </c>
      <c r="J354" s="7" t="str">
        <f t="shared" si="40"/>
        <v>BLK</v>
      </c>
      <c r="K354" s="7" t="str">
        <f t="shared" si="41"/>
        <v>40</v>
      </c>
      <c r="L354" s="7">
        <v>0</v>
      </c>
      <c r="M354" s="7" t="s">
        <v>2609</v>
      </c>
      <c r="N354" s="7">
        <f>_xlfn.XLOOKUP(A354,[1]SKU!$A:$A,[1]SKU!$Z:$Z)</f>
        <v>7500000</v>
      </c>
    </row>
    <row r="355" spans="1:14" s="7" customFormat="1">
      <c r="A355" s="1" t="s">
        <v>479</v>
      </c>
      <c r="B355" s="3" t="s">
        <v>3</v>
      </c>
      <c r="C355" s="3" t="s">
        <v>48</v>
      </c>
      <c r="D355" s="1" t="s">
        <v>480</v>
      </c>
      <c r="E355" s="7" t="str">
        <f t="shared" si="35"/>
        <v>GOR</v>
      </c>
      <c r="F355" s="7" t="str">
        <f t="shared" si="36"/>
        <v>MEN</v>
      </c>
      <c r="G355" s="7" t="str">
        <f t="shared" si="37"/>
        <v>TSS</v>
      </c>
      <c r="H355" s="7" t="str">
        <f t="shared" si="38"/>
        <v>HNE</v>
      </c>
      <c r="I355" s="7" t="str">
        <f t="shared" si="39"/>
        <v>GAO</v>
      </c>
      <c r="J355" s="7" t="str">
        <f t="shared" si="40"/>
        <v>BLK</v>
      </c>
      <c r="K355" s="7" t="str">
        <f t="shared" si="41"/>
        <v>XL</v>
      </c>
      <c r="L355" s="7" t="s">
        <v>2018</v>
      </c>
      <c r="M355" s="7" t="s">
        <v>4462</v>
      </c>
      <c r="N355" s="7">
        <f>_xlfn.XLOOKUP(A355,[1]SKU!$A:$A,[1]SKU!$Z:$Z)</f>
        <v>1650000</v>
      </c>
    </row>
    <row r="356" spans="1:14" s="7" customFormat="1">
      <c r="A356" s="1" t="s">
        <v>4939</v>
      </c>
      <c r="B356" s="3" t="s">
        <v>4472</v>
      </c>
      <c r="C356" s="3" t="s">
        <v>282</v>
      </c>
      <c r="D356" s="1" t="s">
        <v>4940</v>
      </c>
      <c r="E356" s="7" t="str">
        <f t="shared" si="35"/>
        <v>PSD</v>
      </c>
      <c r="F356" s="7" t="str">
        <f t="shared" si="36"/>
        <v>UNI</v>
      </c>
      <c r="G356" s="7" t="str">
        <f t="shared" si="37"/>
        <v>SOU</v>
      </c>
      <c r="H356" s="7" t="str">
        <f t="shared" si="38"/>
        <v>DEC</v>
      </c>
      <c r="I356" s="7" t="str">
        <f t="shared" si="39"/>
        <v>BCB</v>
      </c>
      <c r="J356" s="7" t="str">
        <f t="shared" si="40"/>
        <v>BLU</v>
      </c>
      <c r="K356" s="7" t="str">
        <f t="shared" si="41"/>
        <v>0</v>
      </c>
      <c r="L356" s="7">
        <v>0</v>
      </c>
      <c r="M356" s="7" t="s">
        <v>2609</v>
      </c>
      <c r="N356" s="7">
        <f>_xlfn.XLOOKUP(A356,[1]SKU!$A:$A,[1]SKU!$Z:$Z)</f>
        <v>1700000</v>
      </c>
    </row>
    <row r="357" spans="1:14" s="7" customFormat="1">
      <c r="A357" s="1" t="s">
        <v>481</v>
      </c>
      <c r="B357" s="3" t="s">
        <v>3</v>
      </c>
      <c r="C357" s="3" t="s">
        <v>326</v>
      </c>
      <c r="D357" s="1" t="s">
        <v>482</v>
      </c>
      <c r="E357" s="7" t="str">
        <f t="shared" si="35"/>
        <v>GCL</v>
      </c>
      <c r="F357" s="7" t="str">
        <f t="shared" si="36"/>
        <v>MEN</v>
      </c>
      <c r="G357" s="7" t="str">
        <f t="shared" si="37"/>
        <v>TSO</v>
      </c>
      <c r="H357" s="7" t="str">
        <f t="shared" si="38"/>
        <v>ONE</v>
      </c>
      <c r="I357" s="7" t="str">
        <f t="shared" si="39"/>
        <v>TMG</v>
      </c>
      <c r="J357" s="7" t="str">
        <f t="shared" si="40"/>
        <v>RED</v>
      </c>
      <c r="K357" s="7" t="str">
        <f t="shared" si="41"/>
        <v>M</v>
      </c>
      <c r="L357" s="7" t="s">
        <v>2071</v>
      </c>
      <c r="M357" s="7" t="s">
        <v>4462</v>
      </c>
      <c r="N357" s="7">
        <f>_xlfn.XLOOKUP(A357,[1]SKU!$A:$A,[1]SKU!$Z:$Z)</f>
        <v>1390000</v>
      </c>
    </row>
    <row r="358" spans="1:14" s="7" customFormat="1">
      <c r="A358" s="1" t="s">
        <v>4941</v>
      </c>
      <c r="B358" s="3" t="s">
        <v>4472</v>
      </c>
      <c r="C358" s="3" t="s">
        <v>198</v>
      </c>
      <c r="D358" s="1" t="s">
        <v>4942</v>
      </c>
      <c r="E358" s="7" t="str">
        <f t="shared" si="35"/>
        <v>DSP</v>
      </c>
      <c r="F358" s="7" t="str">
        <f t="shared" si="36"/>
        <v>UNI</v>
      </c>
      <c r="G358" s="7" t="str">
        <f t="shared" si="37"/>
        <v>FWR</v>
      </c>
      <c r="H358" s="7" t="str">
        <f t="shared" si="38"/>
        <v>LES</v>
      </c>
      <c r="I358" s="7" t="str">
        <f t="shared" si="39"/>
        <v>EL1</v>
      </c>
      <c r="J358" s="7" t="str">
        <f t="shared" si="40"/>
        <v>PBP</v>
      </c>
      <c r="K358" s="7" t="str">
        <f t="shared" si="41"/>
        <v>41</v>
      </c>
      <c r="L358" s="7">
        <v>0</v>
      </c>
      <c r="M358" s="7" t="s">
        <v>2609</v>
      </c>
      <c r="N358" s="7">
        <f>_xlfn.XLOOKUP(A358,[1]SKU!$A:$A,[1]SKU!$Z:$Z)</f>
        <v>6200000</v>
      </c>
    </row>
    <row r="359" spans="1:14" s="7" customFormat="1">
      <c r="A359" s="1" t="s">
        <v>4943</v>
      </c>
      <c r="B359" s="3" t="s">
        <v>4472</v>
      </c>
      <c r="C359" s="3" t="s">
        <v>483</v>
      </c>
      <c r="D359" s="1" t="s">
        <v>4944</v>
      </c>
      <c r="E359" s="7" t="str">
        <f t="shared" si="35"/>
        <v>TKC</v>
      </c>
      <c r="F359" s="7" t="str">
        <f t="shared" si="36"/>
        <v>UNI</v>
      </c>
      <c r="G359" s="7" t="str">
        <f t="shared" si="37"/>
        <v>FNB</v>
      </c>
      <c r="H359" s="7" t="str">
        <f t="shared" si="38"/>
        <v>CFB</v>
      </c>
      <c r="I359" s="7" t="str">
        <f t="shared" si="39"/>
        <v>ARA</v>
      </c>
      <c r="J359" s="7" t="str">
        <f t="shared" si="40"/>
        <v>NON</v>
      </c>
      <c r="K359" s="7" t="str">
        <f t="shared" si="41"/>
        <v>250g</v>
      </c>
      <c r="L359" s="7">
        <v>0</v>
      </c>
      <c r="M359" s="7" t="s">
        <v>2609</v>
      </c>
      <c r="N359" s="7">
        <f>_xlfn.XLOOKUP(A359,[1]SKU!$A:$A,[1]SKU!$Z:$Z)</f>
        <v>280000</v>
      </c>
    </row>
    <row r="360" spans="1:14" s="7" customFormat="1">
      <c r="A360" s="1" t="s">
        <v>4945</v>
      </c>
      <c r="B360" s="3" t="s">
        <v>4472</v>
      </c>
      <c r="C360" s="3" t="s">
        <v>4547</v>
      </c>
      <c r="D360" s="1" t="s">
        <v>4946</v>
      </c>
      <c r="E360" s="7" t="str">
        <f t="shared" si="35"/>
        <v>HAM</v>
      </c>
      <c r="F360" s="7" t="str">
        <f t="shared" si="36"/>
        <v>UNI</v>
      </c>
      <c r="G360" s="7" t="str">
        <f t="shared" si="37"/>
        <v>JEW</v>
      </c>
      <c r="H360" s="7" t="str">
        <f t="shared" si="38"/>
        <v>NEC</v>
      </c>
      <c r="I360" s="7" t="str">
        <f t="shared" si="39"/>
        <v>L36</v>
      </c>
      <c r="J360" s="7" t="str">
        <f t="shared" si="40"/>
        <v>MIX</v>
      </c>
      <c r="K360" s="7" t="str">
        <f t="shared" si="41"/>
        <v>0</v>
      </c>
      <c r="L360" s="7">
        <v>0</v>
      </c>
      <c r="M360" s="7" t="s">
        <v>2609</v>
      </c>
      <c r="N360" s="7">
        <f>_xlfn.XLOOKUP(A360,[1]SKU!$A:$A,[1]SKU!$Z:$Z)</f>
        <v>2200000</v>
      </c>
    </row>
    <row r="361" spans="1:14" s="7" customFormat="1">
      <c r="A361" s="1" t="s">
        <v>4947</v>
      </c>
      <c r="B361" s="3" t="s">
        <v>4472</v>
      </c>
      <c r="C361" s="3" t="s">
        <v>71</v>
      </c>
      <c r="D361" s="1" t="s">
        <v>4948</v>
      </c>
      <c r="E361" s="7" t="str">
        <f t="shared" si="35"/>
        <v>DSP</v>
      </c>
      <c r="F361" s="7" t="str">
        <f t="shared" si="36"/>
        <v>UNI</v>
      </c>
      <c r="G361" s="7" t="str">
        <f t="shared" si="37"/>
        <v>BAG</v>
      </c>
      <c r="H361" s="7" t="str">
        <f t="shared" si="38"/>
        <v>CCR</v>
      </c>
      <c r="I361" s="7" t="str">
        <f t="shared" si="39"/>
        <v>AZ1</v>
      </c>
      <c r="J361" s="7" t="str">
        <f t="shared" si="40"/>
        <v>BLK</v>
      </c>
      <c r="K361" s="7" t="str">
        <f t="shared" si="41"/>
        <v>0</v>
      </c>
      <c r="L361" s="7">
        <v>0</v>
      </c>
      <c r="M361" s="7" t="s">
        <v>2609</v>
      </c>
      <c r="N361" s="7">
        <f>_xlfn.XLOOKUP(A361,[1]SKU!$A:$A,[1]SKU!$Z:$Z)</f>
        <v>2100000</v>
      </c>
    </row>
    <row r="362" spans="1:14" s="7" customFormat="1">
      <c r="A362" s="1" t="s">
        <v>4949</v>
      </c>
      <c r="B362" s="3" t="s">
        <v>4472</v>
      </c>
      <c r="C362" s="3" t="s">
        <v>354</v>
      </c>
      <c r="D362" s="1" t="s">
        <v>4950</v>
      </c>
      <c r="E362" s="7" t="str">
        <f t="shared" si="35"/>
        <v>PSD</v>
      </c>
      <c r="F362" s="7" t="str">
        <f t="shared" si="36"/>
        <v>UNI</v>
      </c>
      <c r="G362" s="7" t="str">
        <f t="shared" si="37"/>
        <v>SOU</v>
      </c>
      <c r="H362" s="7" t="str">
        <f t="shared" si="38"/>
        <v>DEC</v>
      </c>
      <c r="I362" s="7" t="str">
        <f t="shared" si="39"/>
        <v>TWB</v>
      </c>
      <c r="J362" s="7" t="str">
        <f t="shared" si="40"/>
        <v>RED</v>
      </c>
      <c r="K362" s="7" t="str">
        <f t="shared" si="41"/>
        <v>BOX</v>
      </c>
      <c r="L362" s="7">
        <v>0</v>
      </c>
      <c r="M362" s="7" t="s">
        <v>2609</v>
      </c>
      <c r="N362" s="7">
        <f>_xlfn.XLOOKUP(A362,[1]SKU!$A:$A,[1]SKU!$Z:$Z)</f>
        <v>750000</v>
      </c>
    </row>
    <row r="363" spans="1:14" s="7" customFormat="1">
      <c r="A363" s="1" t="s">
        <v>485</v>
      </c>
      <c r="B363" s="3" t="s">
        <v>3</v>
      </c>
      <c r="C363" s="3" t="s">
        <v>358</v>
      </c>
      <c r="D363" s="1" t="s">
        <v>486</v>
      </c>
      <c r="E363" s="7" t="str">
        <f t="shared" si="35"/>
        <v>GOR</v>
      </c>
      <c r="F363" s="7" t="str">
        <f t="shared" si="36"/>
        <v>MEN</v>
      </c>
      <c r="G363" s="7" t="str">
        <f t="shared" si="37"/>
        <v>TSS</v>
      </c>
      <c r="H363" s="7" t="str">
        <f t="shared" si="38"/>
        <v>HNE</v>
      </c>
      <c r="I363" s="7" t="str">
        <f t="shared" si="39"/>
        <v>THB</v>
      </c>
      <c r="J363" s="7" t="str">
        <f t="shared" si="40"/>
        <v>WHI</v>
      </c>
      <c r="K363" s="7" t="str">
        <f t="shared" si="41"/>
        <v>L</v>
      </c>
      <c r="L363" s="7" t="s">
        <v>2018</v>
      </c>
      <c r="M363" s="7" t="s">
        <v>4462</v>
      </c>
      <c r="N363" s="7">
        <f>_xlfn.XLOOKUP(A363,[1]SKU!$A:$A,[1]SKU!$Z:$Z)</f>
        <v>1190000</v>
      </c>
    </row>
    <row r="364" spans="1:14" s="7" customFormat="1">
      <c r="A364" s="1" t="s">
        <v>487</v>
      </c>
      <c r="B364" s="3" t="s">
        <v>3</v>
      </c>
      <c r="C364" s="3" t="s">
        <v>84</v>
      </c>
      <c r="D364" s="1" t="s">
        <v>488</v>
      </c>
      <c r="E364" s="7" t="str">
        <f t="shared" si="35"/>
        <v>GOR</v>
      </c>
      <c r="F364" s="7" t="str">
        <f t="shared" si="36"/>
        <v>MEN</v>
      </c>
      <c r="G364" s="7" t="str">
        <f t="shared" si="37"/>
        <v>TSS</v>
      </c>
      <c r="H364" s="7" t="str">
        <f t="shared" si="38"/>
        <v>ONE</v>
      </c>
      <c r="I364" s="7" t="str">
        <f t="shared" si="39"/>
        <v>HAI</v>
      </c>
      <c r="J364" s="7" t="str">
        <f t="shared" si="40"/>
        <v>BLK</v>
      </c>
      <c r="K364" s="7" t="str">
        <f t="shared" si="41"/>
        <v>L</v>
      </c>
      <c r="L364" s="7" t="s">
        <v>2018</v>
      </c>
      <c r="M364" s="7" t="s">
        <v>4462</v>
      </c>
      <c r="N364" s="7">
        <f>_xlfn.XLOOKUP(A364,[1]SKU!$A:$A,[1]SKU!$Z:$Z)</f>
        <v>790000</v>
      </c>
    </row>
    <row r="365" spans="1:14" s="7" customFormat="1">
      <c r="A365" s="1" t="s">
        <v>489</v>
      </c>
      <c r="B365" s="3" t="s">
        <v>3</v>
      </c>
      <c r="C365" s="3" t="s">
        <v>300</v>
      </c>
      <c r="D365" s="1" t="s">
        <v>490</v>
      </c>
      <c r="E365" s="7" t="str">
        <f t="shared" si="35"/>
        <v>GSL</v>
      </c>
      <c r="F365" s="7" t="str">
        <f t="shared" si="36"/>
        <v>KID</v>
      </c>
      <c r="G365" s="7" t="str">
        <f t="shared" si="37"/>
        <v>TSS</v>
      </c>
      <c r="H365" s="7" t="str">
        <f t="shared" si="38"/>
        <v>ONE</v>
      </c>
      <c r="I365" s="7" t="str">
        <f t="shared" si="39"/>
        <v>SMP</v>
      </c>
      <c r="J365" s="7" t="str">
        <f t="shared" si="40"/>
        <v>WHI</v>
      </c>
      <c r="K365" s="7" t="str">
        <f t="shared" si="41"/>
        <v>4</v>
      </c>
      <c r="L365" s="7" t="s">
        <v>2018</v>
      </c>
      <c r="M365" s="7" t="s">
        <v>4462</v>
      </c>
      <c r="N365" s="7">
        <f>_xlfn.XLOOKUP(A365,[1]SKU!$A:$A,[1]SKU!$Z:$Z)</f>
        <v>550000</v>
      </c>
    </row>
    <row r="366" spans="1:14" s="7" customFormat="1">
      <c r="A366" s="1" t="s">
        <v>491</v>
      </c>
      <c r="B366" s="3" t="s">
        <v>3</v>
      </c>
      <c r="C366" s="3" t="s">
        <v>192</v>
      </c>
      <c r="D366" s="1" t="s">
        <v>492</v>
      </c>
      <c r="E366" s="7" t="str">
        <f t="shared" si="35"/>
        <v>GOR</v>
      </c>
      <c r="F366" s="7" t="str">
        <f t="shared" si="36"/>
        <v>WOM</v>
      </c>
      <c r="G366" s="7" t="str">
        <f t="shared" si="37"/>
        <v>TTB</v>
      </c>
      <c r="H366" s="7" t="str">
        <f t="shared" si="38"/>
        <v>BNE</v>
      </c>
      <c r="I366" s="7" t="str">
        <f t="shared" si="39"/>
        <v>VNM</v>
      </c>
      <c r="J366" s="7" t="str">
        <f t="shared" si="40"/>
        <v>ATT</v>
      </c>
      <c r="K366" s="7" t="str">
        <f t="shared" si="41"/>
        <v>S</v>
      </c>
      <c r="L366" s="7" t="s">
        <v>2326</v>
      </c>
      <c r="M366" s="7" t="s">
        <v>4469</v>
      </c>
      <c r="N366" s="7">
        <f>_xlfn.XLOOKUP(A366,[1]SKU!$A:$A,[1]SKU!$Z:$Z)</f>
        <v>790000</v>
      </c>
    </row>
    <row r="367" spans="1:14" s="7" customFormat="1">
      <c r="A367" s="1" t="s">
        <v>4951</v>
      </c>
      <c r="B367" s="3" t="s">
        <v>4472</v>
      </c>
      <c r="C367" s="3" t="s">
        <v>4547</v>
      </c>
      <c r="D367" s="1" t="s">
        <v>4952</v>
      </c>
      <c r="E367" s="7" t="str">
        <f t="shared" si="35"/>
        <v>HAM</v>
      </c>
      <c r="F367" s="7" t="str">
        <f t="shared" si="36"/>
        <v>UNI</v>
      </c>
      <c r="G367" s="7" t="str">
        <f t="shared" si="37"/>
        <v>JEW</v>
      </c>
      <c r="H367" s="7" t="str">
        <f t="shared" si="38"/>
        <v>NEC</v>
      </c>
      <c r="I367" s="7" t="str">
        <f t="shared" si="39"/>
        <v>A42</v>
      </c>
      <c r="J367" s="7" t="str">
        <f t="shared" si="40"/>
        <v>MIX</v>
      </c>
      <c r="K367" s="7" t="str">
        <f t="shared" si="41"/>
        <v>0</v>
      </c>
      <c r="L367" s="7">
        <v>0</v>
      </c>
      <c r="M367" s="7" t="s">
        <v>2609</v>
      </c>
      <c r="N367" s="7">
        <f>_xlfn.XLOOKUP(A367,[1]SKU!$A:$A,[1]SKU!$Z:$Z)</f>
        <v>2000000</v>
      </c>
    </row>
    <row r="368" spans="1:14" s="7" customFormat="1">
      <c r="A368" s="1" t="s">
        <v>4953</v>
      </c>
      <c r="B368" s="3" t="s">
        <v>4472</v>
      </c>
      <c r="C368" s="3" t="s">
        <v>354</v>
      </c>
      <c r="D368" s="1" t="s">
        <v>4954</v>
      </c>
      <c r="E368" s="7" t="str">
        <f t="shared" si="35"/>
        <v>PSD</v>
      </c>
      <c r="F368" s="7" t="str">
        <f t="shared" si="36"/>
        <v>UNI</v>
      </c>
      <c r="G368" s="7" t="str">
        <f t="shared" si="37"/>
        <v>SOU</v>
      </c>
      <c r="H368" s="7" t="str">
        <f t="shared" si="38"/>
        <v>DEC</v>
      </c>
      <c r="I368" s="7" t="str">
        <f t="shared" si="39"/>
        <v>TWB</v>
      </c>
      <c r="J368" s="7" t="str">
        <f t="shared" si="40"/>
        <v>BRO</v>
      </c>
      <c r="K368" s="7" t="str">
        <f t="shared" si="41"/>
        <v>BOX</v>
      </c>
      <c r="L368" s="7">
        <v>0</v>
      </c>
      <c r="M368" s="7" t="s">
        <v>2609</v>
      </c>
      <c r="N368" s="7">
        <f>_xlfn.XLOOKUP(A368,[1]SKU!$A:$A,[1]SKU!$Z:$Z)</f>
        <v>750000</v>
      </c>
    </row>
    <row r="369" spans="1:14" s="7" customFormat="1">
      <c r="A369" s="1" t="s">
        <v>494</v>
      </c>
      <c r="B369" s="3" t="s">
        <v>3</v>
      </c>
      <c r="C369" s="3" t="s">
        <v>233</v>
      </c>
      <c r="D369" s="1" t="s">
        <v>495</v>
      </c>
      <c r="E369" s="7" t="str">
        <f t="shared" si="35"/>
        <v>GOR</v>
      </c>
      <c r="F369" s="7" t="str">
        <f t="shared" si="36"/>
        <v>MEN</v>
      </c>
      <c r="G369" s="7" t="str">
        <f t="shared" si="37"/>
        <v>TSS</v>
      </c>
      <c r="H369" s="7" t="str">
        <f t="shared" si="38"/>
        <v>ONE</v>
      </c>
      <c r="I369" s="7" t="str">
        <f t="shared" si="39"/>
        <v>SMR</v>
      </c>
      <c r="J369" s="7" t="str">
        <f t="shared" si="40"/>
        <v>WHI</v>
      </c>
      <c r="K369" s="7" t="str">
        <f t="shared" si="41"/>
        <v>XL</v>
      </c>
      <c r="L369" s="7" t="s">
        <v>2018</v>
      </c>
      <c r="M369" s="7" t="s">
        <v>4462</v>
      </c>
      <c r="N369" s="7">
        <f>_xlfn.XLOOKUP(A369,[1]SKU!$A:$A,[1]SKU!$Z:$Z)</f>
        <v>790000</v>
      </c>
    </row>
    <row r="370" spans="1:14" s="7" customFormat="1">
      <c r="A370" s="1" t="s">
        <v>496</v>
      </c>
      <c r="B370" s="3" t="s">
        <v>3</v>
      </c>
      <c r="C370" s="3" t="s">
        <v>7</v>
      </c>
      <c r="D370" s="1" t="s">
        <v>497</v>
      </c>
      <c r="E370" s="7" t="str">
        <f t="shared" si="35"/>
        <v>GKK</v>
      </c>
      <c r="F370" s="7" t="str">
        <f t="shared" si="36"/>
        <v>WOM</v>
      </c>
      <c r="G370" s="7" t="str">
        <f t="shared" si="37"/>
        <v>SHD</v>
      </c>
      <c r="H370" s="7" t="str">
        <f t="shared" si="38"/>
        <v>FBT</v>
      </c>
      <c r="I370" s="7" t="str">
        <f t="shared" si="39"/>
        <v>FLH</v>
      </c>
      <c r="J370" s="7" t="str">
        <f t="shared" si="40"/>
        <v>BLK</v>
      </c>
      <c r="K370" s="7" t="str">
        <f t="shared" si="41"/>
        <v>M</v>
      </c>
      <c r="L370" s="7" t="s">
        <v>2774</v>
      </c>
      <c r="M370" s="7" t="s">
        <v>4463</v>
      </c>
      <c r="N370" s="7">
        <f>_xlfn.XLOOKUP(A370,[1]SKU!$A:$A,[1]SKU!$Z:$Z)</f>
        <v>1650000</v>
      </c>
    </row>
    <row r="371" spans="1:14" s="7" customFormat="1">
      <c r="A371" s="1" t="s">
        <v>4955</v>
      </c>
      <c r="B371" s="3" t="s">
        <v>69</v>
      </c>
      <c r="C371" s="3" t="s">
        <v>498</v>
      </c>
      <c r="D371" s="1" t="s">
        <v>4956</v>
      </c>
      <c r="E371" s="7" t="str">
        <f t="shared" si="35"/>
        <v>GCF</v>
      </c>
      <c r="F371" s="7" t="str">
        <f t="shared" si="36"/>
        <v>UNI</v>
      </c>
      <c r="G371" s="7" t="str">
        <f t="shared" si="37"/>
        <v>FNB</v>
      </c>
      <c r="H371" s="7" t="str">
        <f t="shared" si="38"/>
        <v>CFO</v>
      </c>
      <c r="I371" s="7" t="str">
        <f t="shared" si="39"/>
        <v>SPK</v>
      </c>
      <c r="J371" s="7" t="str">
        <f t="shared" si="40"/>
        <v>MIX</v>
      </c>
      <c r="K371" s="7" t="str">
        <f t="shared" si="41"/>
        <v>0</v>
      </c>
      <c r="L371" s="7">
        <v>0</v>
      </c>
      <c r="M371" s="7" t="s">
        <v>2609</v>
      </c>
      <c r="N371" s="7">
        <f>_xlfn.XLOOKUP(A371,[1]SKU!$A:$A,[1]SKU!$Z:$Z)</f>
        <v>89000</v>
      </c>
    </row>
    <row r="372" spans="1:14" s="7" customFormat="1">
      <c r="A372" s="1" t="s">
        <v>499</v>
      </c>
      <c r="B372" s="3" t="s">
        <v>3</v>
      </c>
      <c r="C372" s="3" t="s">
        <v>447</v>
      </c>
      <c r="D372" s="1" t="s">
        <v>500</v>
      </c>
      <c r="E372" s="7" t="str">
        <f t="shared" si="35"/>
        <v>GOR</v>
      </c>
      <c r="F372" s="7" t="str">
        <f t="shared" si="36"/>
        <v>MEN</v>
      </c>
      <c r="G372" s="7" t="str">
        <f t="shared" si="37"/>
        <v>TSS</v>
      </c>
      <c r="H372" s="7" t="str">
        <f t="shared" si="38"/>
        <v>ONE</v>
      </c>
      <c r="I372" s="7" t="str">
        <f t="shared" si="39"/>
        <v>GVT</v>
      </c>
      <c r="J372" s="7" t="str">
        <f t="shared" si="40"/>
        <v>WHI</v>
      </c>
      <c r="K372" s="7" t="str">
        <f t="shared" si="41"/>
        <v>XXL</v>
      </c>
      <c r="L372" s="7" t="s">
        <v>2018</v>
      </c>
      <c r="M372" s="7" t="s">
        <v>4462</v>
      </c>
      <c r="N372" s="7">
        <f>_xlfn.XLOOKUP(A372,[1]SKU!$A:$A,[1]SKU!$Z:$Z)</f>
        <v>790000</v>
      </c>
    </row>
    <row r="373" spans="1:14" s="7" customFormat="1">
      <c r="A373" s="1" t="s">
        <v>4957</v>
      </c>
      <c r="B373" s="3" t="s">
        <v>4472</v>
      </c>
      <c r="C373" s="3" t="s">
        <v>501</v>
      </c>
      <c r="D373" s="1" t="s">
        <v>4958</v>
      </c>
      <c r="E373" s="7" t="str">
        <f t="shared" si="35"/>
        <v>VNE</v>
      </c>
      <c r="F373" s="7" t="str">
        <f t="shared" si="36"/>
        <v>UNI</v>
      </c>
      <c r="G373" s="7" t="str">
        <f t="shared" si="37"/>
        <v>SOU</v>
      </c>
      <c r="H373" s="7" t="str">
        <f t="shared" si="38"/>
        <v>SMS</v>
      </c>
      <c r="I373" s="7" t="str">
        <f t="shared" si="39"/>
        <v>PET</v>
      </c>
      <c r="J373" s="7" t="str">
        <f t="shared" si="40"/>
        <v>SGR</v>
      </c>
      <c r="K373" s="7" t="str">
        <f t="shared" si="41"/>
        <v>12CM</v>
      </c>
      <c r="L373" s="7">
        <v>0</v>
      </c>
      <c r="M373" s="7" t="s">
        <v>2609</v>
      </c>
      <c r="N373" s="7">
        <f>_xlfn.XLOOKUP(A373,[1]SKU!$A:$A,[1]SKU!$Z:$Z)</f>
        <v>3900000</v>
      </c>
    </row>
    <row r="374" spans="1:14" s="7" customFormat="1">
      <c r="A374" s="1" t="s">
        <v>502</v>
      </c>
      <c r="B374" s="3" t="s">
        <v>3</v>
      </c>
      <c r="C374" s="3" t="s">
        <v>358</v>
      </c>
      <c r="D374" s="1" t="s">
        <v>503</v>
      </c>
      <c r="E374" s="7" t="str">
        <f t="shared" si="35"/>
        <v>GOR</v>
      </c>
      <c r="F374" s="7" t="str">
        <f t="shared" si="36"/>
        <v>MEN</v>
      </c>
      <c r="G374" s="7" t="str">
        <f t="shared" si="37"/>
        <v>TSS</v>
      </c>
      <c r="H374" s="7" t="str">
        <f t="shared" si="38"/>
        <v>HNE</v>
      </c>
      <c r="I374" s="7" t="str">
        <f t="shared" si="39"/>
        <v>THB</v>
      </c>
      <c r="J374" s="7" t="str">
        <f t="shared" si="40"/>
        <v>WHI</v>
      </c>
      <c r="K374" s="7" t="str">
        <f t="shared" si="41"/>
        <v>S</v>
      </c>
      <c r="L374" s="7" t="s">
        <v>2018</v>
      </c>
      <c r="M374" s="7" t="s">
        <v>4462</v>
      </c>
      <c r="N374" s="7">
        <f>_xlfn.XLOOKUP(A374,[1]SKU!$A:$A,[1]SKU!$Z:$Z)</f>
        <v>1190000</v>
      </c>
    </row>
    <row r="375" spans="1:14" s="7" customFormat="1">
      <c r="A375" s="1" t="s">
        <v>4959</v>
      </c>
      <c r="B375" s="3" t="s">
        <v>4472</v>
      </c>
      <c r="C375" s="3" t="s">
        <v>4960</v>
      </c>
      <c r="D375" s="1" t="s">
        <v>4961</v>
      </c>
      <c r="E375" s="7" t="str">
        <f t="shared" si="35"/>
        <v>DSP</v>
      </c>
      <c r="F375" s="7" t="str">
        <f t="shared" si="36"/>
        <v>UNI</v>
      </c>
      <c r="G375" s="7" t="str">
        <f t="shared" si="37"/>
        <v>BAG</v>
      </c>
      <c r="H375" s="7" t="str">
        <f t="shared" si="38"/>
        <v>CLU</v>
      </c>
      <c r="I375" s="7" t="str">
        <f t="shared" si="39"/>
        <v>ML0</v>
      </c>
      <c r="J375" s="7" t="str">
        <f t="shared" si="40"/>
        <v>GRE</v>
      </c>
      <c r="K375" s="7" t="str">
        <f t="shared" si="41"/>
        <v>0</v>
      </c>
      <c r="L375" s="7">
        <v>0</v>
      </c>
      <c r="M375" s="7" t="s">
        <v>2609</v>
      </c>
      <c r="N375" s="7">
        <f>_xlfn.XLOOKUP(A375,[1]SKU!$A:$A,[1]SKU!$Z:$Z)</f>
        <v>7200000</v>
      </c>
    </row>
    <row r="376" spans="1:14" s="7" customFormat="1">
      <c r="A376" s="1" t="s">
        <v>504</v>
      </c>
      <c r="B376" s="3" t="s">
        <v>3</v>
      </c>
      <c r="C376" s="3" t="s">
        <v>110</v>
      </c>
      <c r="D376" s="1" t="s">
        <v>505</v>
      </c>
      <c r="E376" s="7" t="str">
        <f t="shared" si="35"/>
        <v>GSL</v>
      </c>
      <c r="F376" s="7" t="str">
        <f t="shared" si="36"/>
        <v>KID</v>
      </c>
      <c r="G376" s="7" t="str">
        <f t="shared" si="37"/>
        <v>TSS</v>
      </c>
      <c r="H376" s="7" t="str">
        <f t="shared" si="38"/>
        <v>ONE</v>
      </c>
      <c r="I376" s="7" t="str">
        <f t="shared" si="39"/>
        <v>TLT</v>
      </c>
      <c r="J376" s="7" t="str">
        <f t="shared" si="40"/>
        <v>BLK</v>
      </c>
      <c r="K376" s="7" t="str">
        <f t="shared" si="41"/>
        <v>10</v>
      </c>
      <c r="L376" s="7" t="s">
        <v>2018</v>
      </c>
      <c r="M376" s="7" t="s">
        <v>4462</v>
      </c>
      <c r="N376" s="7">
        <f>_xlfn.XLOOKUP(A376,[1]SKU!$A:$A,[1]SKU!$Z:$Z)</f>
        <v>550000</v>
      </c>
    </row>
    <row r="377" spans="1:14" s="7" customFormat="1">
      <c r="A377" s="1" t="s">
        <v>4962</v>
      </c>
      <c r="B377" s="3" t="s">
        <v>4472</v>
      </c>
      <c r="C377" s="3" t="s">
        <v>51</v>
      </c>
      <c r="D377" s="1" t="s">
        <v>4963</v>
      </c>
      <c r="E377" s="7" t="str">
        <f t="shared" si="35"/>
        <v>DSP</v>
      </c>
      <c r="F377" s="7" t="str">
        <f t="shared" si="36"/>
        <v>UNI</v>
      </c>
      <c r="G377" s="7" t="str">
        <f t="shared" si="37"/>
        <v>BAG</v>
      </c>
      <c r="H377" s="7" t="str">
        <f t="shared" si="38"/>
        <v>CHR</v>
      </c>
      <c r="I377" s="7" t="str">
        <f t="shared" si="39"/>
        <v>SCH</v>
      </c>
      <c r="J377" s="7" t="str">
        <f t="shared" si="40"/>
        <v>CMB</v>
      </c>
      <c r="K377" s="7" t="str">
        <f t="shared" si="41"/>
        <v>0</v>
      </c>
      <c r="L377" s="7">
        <v>0</v>
      </c>
      <c r="M377" s="7" t="s">
        <v>2609</v>
      </c>
      <c r="N377" s="7">
        <f>_xlfn.XLOOKUP(A377,[1]SKU!$A:$A,[1]SKU!$Z:$Z)</f>
        <v>1150000</v>
      </c>
    </row>
    <row r="378" spans="1:14" s="7" customFormat="1">
      <c r="A378" s="1" t="s">
        <v>4964</v>
      </c>
      <c r="B378" s="3" t="s">
        <v>4472</v>
      </c>
      <c r="C378" s="3" t="s">
        <v>40</v>
      </c>
      <c r="D378" s="1" t="s">
        <v>4965</v>
      </c>
      <c r="E378" s="7" t="str">
        <f t="shared" si="35"/>
        <v>DSP</v>
      </c>
      <c r="F378" s="7" t="str">
        <f t="shared" si="36"/>
        <v>UNI</v>
      </c>
      <c r="G378" s="7" t="str">
        <f t="shared" si="37"/>
        <v>FWR</v>
      </c>
      <c r="H378" s="7" t="str">
        <f t="shared" si="38"/>
        <v>FLA</v>
      </c>
      <c r="I378" s="7" t="str">
        <f t="shared" si="39"/>
        <v>CO1</v>
      </c>
      <c r="J378" s="7" t="str">
        <f t="shared" si="40"/>
        <v>CRE</v>
      </c>
      <c r="K378" s="7" t="str">
        <f t="shared" si="41"/>
        <v>39</v>
      </c>
      <c r="L378" s="7">
        <v>0</v>
      </c>
      <c r="M378" s="7" t="s">
        <v>2609</v>
      </c>
      <c r="N378" s="7">
        <f>_xlfn.XLOOKUP(A378,[1]SKU!$A:$A,[1]SKU!$Z:$Z)</f>
        <v>5950000</v>
      </c>
    </row>
    <row r="379" spans="1:14" s="7" customFormat="1">
      <c r="A379" s="1" t="s">
        <v>506</v>
      </c>
      <c r="B379" s="3" t="s">
        <v>3</v>
      </c>
      <c r="C379" s="3" t="s">
        <v>38</v>
      </c>
      <c r="D379" s="1" t="s">
        <v>507</v>
      </c>
      <c r="E379" s="7" t="str">
        <f t="shared" si="35"/>
        <v>GLI</v>
      </c>
      <c r="F379" s="7" t="str">
        <f t="shared" si="36"/>
        <v>MEN</v>
      </c>
      <c r="G379" s="7" t="str">
        <f t="shared" si="37"/>
        <v>SIS</v>
      </c>
      <c r="H379" s="7" t="str">
        <f t="shared" si="38"/>
        <v>MAN</v>
      </c>
      <c r="I379" s="7" t="str">
        <f t="shared" si="39"/>
        <v>LOG</v>
      </c>
      <c r="J379" s="7" t="str">
        <f t="shared" si="40"/>
        <v>WHI</v>
      </c>
      <c r="K379" s="7" t="str">
        <f t="shared" si="41"/>
        <v>L</v>
      </c>
      <c r="L379" s="7" t="s">
        <v>2211</v>
      </c>
      <c r="M379" s="7" t="s">
        <v>4464</v>
      </c>
      <c r="N379" s="7">
        <f>_xlfn.XLOOKUP(A379,[1]SKU!$A:$A,[1]SKU!$Z:$Z)</f>
        <v>2790000</v>
      </c>
    </row>
    <row r="380" spans="1:14" s="7" customFormat="1">
      <c r="A380" s="1" t="s">
        <v>4966</v>
      </c>
      <c r="B380" s="3" t="s">
        <v>4472</v>
      </c>
      <c r="C380" s="3" t="s">
        <v>4967</v>
      </c>
      <c r="D380" s="1" t="s">
        <v>4968</v>
      </c>
      <c r="E380" s="7" t="str">
        <f t="shared" si="35"/>
        <v>LAN</v>
      </c>
      <c r="F380" s="7" t="str">
        <f t="shared" si="36"/>
        <v>UNI</v>
      </c>
      <c r="G380" s="7" t="str">
        <f t="shared" si="37"/>
        <v>HWR</v>
      </c>
      <c r="H380" s="7" t="str">
        <f t="shared" si="38"/>
        <v>SC1</v>
      </c>
      <c r="I380" s="7" t="str">
        <f t="shared" si="39"/>
        <v>SNA</v>
      </c>
      <c r="J380" s="7" t="str">
        <f t="shared" si="40"/>
        <v>YEL</v>
      </c>
      <c r="K380" s="7" t="str">
        <f t="shared" si="41"/>
        <v>90x90</v>
      </c>
      <c r="L380" s="7">
        <v>0</v>
      </c>
      <c r="M380" s="7" t="s">
        <v>2609</v>
      </c>
      <c r="N380" s="7">
        <f>_xlfn.XLOOKUP(A380,[1]SKU!$A:$A,[1]SKU!$Z:$Z)</f>
        <v>849000</v>
      </c>
    </row>
    <row r="381" spans="1:14" s="7" customFormat="1">
      <c r="A381" s="1" t="s">
        <v>4969</v>
      </c>
      <c r="B381" s="3" t="s">
        <v>4472</v>
      </c>
      <c r="C381" s="3" t="s">
        <v>171</v>
      </c>
      <c r="D381" s="1" t="s">
        <v>4970</v>
      </c>
      <c r="E381" s="7" t="str">
        <f t="shared" si="35"/>
        <v>DSP</v>
      </c>
      <c r="F381" s="7" t="str">
        <f t="shared" si="36"/>
        <v>UNI</v>
      </c>
      <c r="G381" s="7" t="str">
        <f t="shared" si="37"/>
        <v>FWR</v>
      </c>
      <c r="H381" s="7" t="str">
        <f t="shared" si="38"/>
        <v>SLI</v>
      </c>
      <c r="I381" s="7" t="str">
        <f t="shared" si="39"/>
        <v>MAS</v>
      </c>
      <c r="J381" s="7" t="str">
        <f t="shared" si="40"/>
        <v>DED</v>
      </c>
      <c r="K381" s="7" t="str">
        <f t="shared" si="41"/>
        <v>37</v>
      </c>
      <c r="L381" s="7">
        <v>0</v>
      </c>
      <c r="M381" s="7" t="s">
        <v>2609</v>
      </c>
      <c r="N381" s="7">
        <f>_xlfn.XLOOKUP(A381,[1]SKU!$A:$A,[1]SKU!$Z:$Z)</f>
        <v>6200000</v>
      </c>
    </row>
    <row r="382" spans="1:14" s="7" customFormat="1">
      <c r="A382" s="1" t="s">
        <v>508</v>
      </c>
      <c r="B382" s="3" t="s">
        <v>3</v>
      </c>
      <c r="C382" s="3" t="s">
        <v>509</v>
      </c>
      <c r="D382" s="1" t="s">
        <v>510</v>
      </c>
      <c r="E382" s="7" t="str">
        <f t="shared" si="35"/>
        <v>GOR</v>
      </c>
      <c r="F382" s="7" t="str">
        <f t="shared" si="36"/>
        <v>MEN</v>
      </c>
      <c r="G382" s="7" t="str">
        <f t="shared" si="37"/>
        <v>TSS</v>
      </c>
      <c r="H382" s="7" t="str">
        <f t="shared" si="38"/>
        <v>HNE</v>
      </c>
      <c r="I382" s="7" t="str">
        <f t="shared" si="39"/>
        <v>FPC</v>
      </c>
      <c r="J382" s="7" t="str">
        <f t="shared" si="40"/>
        <v>BDE</v>
      </c>
      <c r="K382" s="7" t="str">
        <f t="shared" si="41"/>
        <v>L</v>
      </c>
      <c r="L382" s="7" t="s">
        <v>2018</v>
      </c>
      <c r="M382" s="7" t="s">
        <v>4462</v>
      </c>
      <c r="N382" s="7">
        <f>_xlfn.XLOOKUP(A382,[1]SKU!$A:$A,[1]SKU!$Z:$Z)</f>
        <v>1190000</v>
      </c>
    </row>
    <row r="383" spans="1:14" s="7" customFormat="1">
      <c r="A383" s="1" t="s">
        <v>4971</v>
      </c>
      <c r="B383" s="3" t="s">
        <v>4472</v>
      </c>
      <c r="C383" s="3" t="s">
        <v>4972</v>
      </c>
      <c r="D383" s="1" t="s">
        <v>4973</v>
      </c>
      <c r="E383" s="7" t="str">
        <f t="shared" si="35"/>
        <v>EDE</v>
      </c>
      <c r="F383" s="7" t="str">
        <f t="shared" si="36"/>
        <v>UNI</v>
      </c>
      <c r="G383" s="7" t="str">
        <f t="shared" si="37"/>
        <v>BAG</v>
      </c>
      <c r="H383" s="7" t="str">
        <f t="shared" si="38"/>
        <v>TTB</v>
      </c>
      <c r="I383" s="7" t="str">
        <f t="shared" si="39"/>
        <v>XUA</v>
      </c>
      <c r="J383" s="7" t="str">
        <f t="shared" si="40"/>
        <v>GRE</v>
      </c>
      <c r="K383" s="7" t="str">
        <f t="shared" si="41"/>
        <v>0</v>
      </c>
      <c r="L383" s="7">
        <v>0</v>
      </c>
      <c r="M383" s="7" t="s">
        <v>2609</v>
      </c>
      <c r="N383" s="7">
        <f>_xlfn.XLOOKUP(A383,[1]SKU!$A:$A,[1]SKU!$Z:$Z)</f>
        <v>470000</v>
      </c>
    </row>
    <row r="384" spans="1:14" s="7" customFormat="1">
      <c r="A384" s="1" t="s">
        <v>511</v>
      </c>
      <c r="B384" s="3" t="s">
        <v>3</v>
      </c>
      <c r="C384" s="3" t="s">
        <v>137</v>
      </c>
      <c r="D384" s="1" t="s">
        <v>512</v>
      </c>
      <c r="E384" s="7" t="str">
        <f t="shared" si="35"/>
        <v>GBA</v>
      </c>
      <c r="F384" s="7" t="str">
        <f t="shared" si="36"/>
        <v>WOM</v>
      </c>
      <c r="G384" s="7" t="str">
        <f t="shared" si="37"/>
        <v>PZE</v>
      </c>
      <c r="H384" s="7" t="str">
        <f t="shared" si="38"/>
        <v>ONE</v>
      </c>
      <c r="I384" s="7" t="str">
        <f t="shared" si="39"/>
        <v>HHA</v>
      </c>
      <c r="J384" s="7" t="str">
        <f t="shared" si="40"/>
        <v>WHI</v>
      </c>
      <c r="K384" s="7" t="str">
        <f t="shared" si="41"/>
        <v>XL</v>
      </c>
      <c r="L384" s="7" t="s">
        <v>2167</v>
      </c>
      <c r="M384" s="7" t="s">
        <v>2167</v>
      </c>
      <c r="N384" s="7">
        <f>_xlfn.XLOOKUP(A384,[1]SKU!$A:$A,[1]SKU!$Z:$Z)</f>
        <v>890000</v>
      </c>
    </row>
    <row r="385" spans="1:14" s="7" customFormat="1">
      <c r="A385" s="1" t="s">
        <v>4974</v>
      </c>
      <c r="B385" s="3" t="s">
        <v>4472</v>
      </c>
      <c r="C385" s="3" t="s">
        <v>513</v>
      </c>
      <c r="D385" s="1" t="s">
        <v>4975</v>
      </c>
      <c r="E385" s="7" t="str">
        <f t="shared" si="35"/>
        <v>DSP</v>
      </c>
      <c r="F385" s="7" t="str">
        <f t="shared" si="36"/>
        <v>UNI</v>
      </c>
      <c r="G385" s="7" t="str">
        <f t="shared" si="37"/>
        <v>HDR</v>
      </c>
      <c r="H385" s="7" t="str">
        <f t="shared" si="38"/>
        <v>SAS</v>
      </c>
      <c r="I385" s="7" t="str">
        <f t="shared" si="39"/>
        <v>DEL</v>
      </c>
      <c r="J385" s="7" t="str">
        <f t="shared" si="40"/>
        <v>CHE</v>
      </c>
      <c r="K385" s="7" t="str">
        <f t="shared" si="41"/>
        <v>0</v>
      </c>
      <c r="L385" s="7">
        <v>0</v>
      </c>
      <c r="M385" s="7" t="s">
        <v>2609</v>
      </c>
      <c r="N385" s="7">
        <f>_xlfn.XLOOKUP(A385,[1]SKU!$A:$A,[1]SKU!$Z:$Z)</f>
        <v>1400000</v>
      </c>
    </row>
    <row r="386" spans="1:14" s="7" customFormat="1">
      <c r="A386" s="1" t="s">
        <v>4976</v>
      </c>
      <c r="B386" s="3" t="s">
        <v>4472</v>
      </c>
      <c r="C386" s="3" t="s">
        <v>514</v>
      </c>
      <c r="D386" s="1" t="s">
        <v>4977</v>
      </c>
      <c r="E386" s="7" t="str">
        <f t="shared" si="35"/>
        <v>RUN</v>
      </c>
      <c r="F386" s="7" t="str">
        <f t="shared" si="36"/>
        <v>UNI</v>
      </c>
      <c r="G386" s="7" t="str">
        <f t="shared" si="37"/>
        <v>SOU</v>
      </c>
      <c r="H386" s="7" t="str">
        <f t="shared" si="38"/>
        <v>SAS</v>
      </c>
      <c r="I386" s="7" t="str">
        <f t="shared" si="39"/>
        <v>HXN</v>
      </c>
      <c r="J386" s="7" t="str">
        <f t="shared" si="40"/>
        <v>MIX</v>
      </c>
      <c r="K386" s="7" t="str">
        <f t="shared" si="41"/>
        <v>0</v>
      </c>
      <c r="L386" s="7">
        <v>0</v>
      </c>
      <c r="M386" s="7" t="s">
        <v>2609</v>
      </c>
      <c r="N386" s="7">
        <f>_xlfn.XLOOKUP(A386,[1]SKU!$A:$A,[1]SKU!$Z:$Z)</f>
        <v>519000</v>
      </c>
    </row>
    <row r="387" spans="1:14" s="7" customFormat="1">
      <c r="A387" s="1" t="s">
        <v>4978</v>
      </c>
      <c r="B387" s="3" t="s">
        <v>4472</v>
      </c>
      <c r="C387" s="3" t="s">
        <v>4755</v>
      </c>
      <c r="D387" s="1" t="s">
        <v>4979</v>
      </c>
      <c r="E387" s="7" t="str">
        <f t="shared" ref="E387:E450" si="42">_xlfn.TEXTBEFORE(_xlfn.TEXTAFTER(D387,"-"),"-")</f>
        <v>NGO</v>
      </c>
      <c r="F387" s="7" t="str">
        <f t="shared" ref="F387:F450" si="43">_xlfn.TEXTBEFORE(_xlfn.TEXTAFTER(D387,"-",2),"-")</f>
        <v>UNI</v>
      </c>
      <c r="G387" s="7" t="str">
        <f t="shared" ref="G387:G450" si="44">_xlfn.TEXTBEFORE(_xlfn.TEXTAFTER(D387,"-",3),"-")</f>
        <v>FWR</v>
      </c>
      <c r="H387" s="7" t="str">
        <f t="shared" ref="H387:H450" si="45">_xlfn.TEXTBEFORE(_xlfn.TEXTAFTER(D387,"-",4),"-")</f>
        <v>SNE</v>
      </c>
      <c r="I387" s="7" t="str">
        <f t="shared" ref="I387:I450" si="46">_xlfn.TEXTBEFORE(_xlfn.TEXTAFTER(D387,"-",5),"-")</f>
        <v>HAI</v>
      </c>
      <c r="J387" s="7" t="str">
        <f t="shared" ref="J387:J450" si="47">_xlfn.TEXTBEFORE(_xlfn.TEXTAFTER(D387,"-",6),"-")</f>
        <v>MPE</v>
      </c>
      <c r="K387" s="7" t="str">
        <f t="shared" ref="K387:K450" si="48">_xlfn.TEXTAFTER(D387,"-",7)</f>
        <v>37</v>
      </c>
      <c r="L387" s="7">
        <v>0</v>
      </c>
      <c r="M387" s="7" t="s">
        <v>2609</v>
      </c>
      <c r="N387" s="7">
        <f>_xlfn.XLOOKUP(A387,[1]SKU!$A:$A,[1]SKU!$Z:$Z)</f>
        <v>3990000</v>
      </c>
    </row>
    <row r="388" spans="1:14" s="7" customFormat="1">
      <c r="A388" s="1" t="s">
        <v>4980</v>
      </c>
      <c r="B388" s="3" t="s">
        <v>4472</v>
      </c>
      <c r="C388" s="3" t="s">
        <v>515</v>
      </c>
      <c r="D388" s="1" t="s">
        <v>4981</v>
      </c>
      <c r="E388" s="7" t="str">
        <f t="shared" si="42"/>
        <v>DSP</v>
      </c>
      <c r="F388" s="7" t="str">
        <f t="shared" si="43"/>
        <v>UNI</v>
      </c>
      <c r="G388" s="7" t="str">
        <f t="shared" si="44"/>
        <v>BAG</v>
      </c>
      <c r="H388" s="7" t="str">
        <f t="shared" si="45"/>
        <v>CHR</v>
      </c>
      <c r="I388" s="7" t="str">
        <f t="shared" si="46"/>
        <v>BV3</v>
      </c>
      <c r="J388" s="7" t="str">
        <f t="shared" si="47"/>
        <v>CHO</v>
      </c>
      <c r="K388" s="7" t="str">
        <f t="shared" si="48"/>
        <v>0</v>
      </c>
      <c r="L388" s="7">
        <v>0</v>
      </c>
      <c r="M388" s="7" t="s">
        <v>2609</v>
      </c>
      <c r="N388" s="7">
        <f>_xlfn.XLOOKUP(A388,[1]SKU!$A:$A,[1]SKU!$Z:$Z)</f>
        <v>780000</v>
      </c>
    </row>
    <row r="389" spans="1:14" s="7" customFormat="1">
      <c r="A389" s="1" t="s">
        <v>4982</v>
      </c>
      <c r="B389" s="3" t="s">
        <v>4472</v>
      </c>
      <c r="C389" s="3" t="s">
        <v>72</v>
      </c>
      <c r="D389" s="1" t="s">
        <v>4983</v>
      </c>
      <c r="E389" s="7" t="str">
        <f t="shared" si="42"/>
        <v>DSP</v>
      </c>
      <c r="F389" s="7" t="str">
        <f t="shared" si="43"/>
        <v>UNI</v>
      </c>
      <c r="G389" s="7" t="str">
        <f t="shared" si="44"/>
        <v>FWR</v>
      </c>
      <c r="H389" s="7" t="str">
        <f t="shared" si="45"/>
        <v>LES</v>
      </c>
      <c r="I389" s="7" t="str">
        <f t="shared" si="46"/>
        <v>BL1</v>
      </c>
      <c r="J389" s="7" t="str">
        <f t="shared" si="47"/>
        <v>ORA</v>
      </c>
      <c r="K389" s="7" t="str">
        <f t="shared" si="48"/>
        <v>37</v>
      </c>
      <c r="L389" s="7">
        <v>0</v>
      </c>
      <c r="M389" s="7" t="s">
        <v>2609</v>
      </c>
      <c r="N389" s="7">
        <f>_xlfn.XLOOKUP(A389,[1]SKU!$A:$A,[1]SKU!$Z:$Z)</f>
        <v>5800000</v>
      </c>
    </row>
    <row r="390" spans="1:14" s="7" customFormat="1">
      <c r="A390" s="1" t="s">
        <v>516</v>
      </c>
      <c r="B390" s="3" t="s">
        <v>3</v>
      </c>
      <c r="C390" s="3" t="s">
        <v>517</v>
      </c>
      <c r="D390" s="1" t="s">
        <v>518</v>
      </c>
      <c r="E390" s="7" t="str">
        <f t="shared" si="42"/>
        <v>GSP</v>
      </c>
      <c r="F390" s="7" t="str">
        <f t="shared" si="43"/>
        <v>MEN</v>
      </c>
      <c r="G390" s="7" t="str">
        <f t="shared" si="44"/>
        <v>POL</v>
      </c>
      <c r="H390" s="7" t="str">
        <f t="shared" si="45"/>
        <v>MAN</v>
      </c>
      <c r="I390" s="7" t="str">
        <f t="shared" si="46"/>
        <v>BBP</v>
      </c>
      <c r="J390" s="7" t="str">
        <f t="shared" si="47"/>
        <v>WHI</v>
      </c>
      <c r="K390" s="7" t="str">
        <f t="shared" si="48"/>
        <v>S</v>
      </c>
      <c r="L390" s="7" t="s">
        <v>1995</v>
      </c>
      <c r="M390" s="7" t="s">
        <v>4468</v>
      </c>
      <c r="N390" s="7">
        <f>_xlfn.XLOOKUP(A390,[1]SKU!$A:$A,[1]SKU!$Z:$Z)</f>
        <v>1090000</v>
      </c>
    </row>
    <row r="391" spans="1:14" s="7" customFormat="1">
      <c r="A391" s="1" t="s">
        <v>519</v>
      </c>
      <c r="B391" s="3" t="s">
        <v>3</v>
      </c>
      <c r="C391" s="3" t="s">
        <v>81</v>
      </c>
      <c r="D391" s="1" t="s">
        <v>520</v>
      </c>
      <c r="E391" s="7" t="str">
        <f t="shared" si="42"/>
        <v>GOR</v>
      </c>
      <c r="F391" s="7" t="str">
        <f t="shared" si="43"/>
        <v>MEN</v>
      </c>
      <c r="G391" s="7" t="str">
        <f t="shared" si="44"/>
        <v>TSP</v>
      </c>
      <c r="H391" s="7" t="str">
        <f t="shared" si="45"/>
        <v>ONE</v>
      </c>
      <c r="I391" s="7" t="str">
        <f t="shared" si="46"/>
        <v>JUN</v>
      </c>
      <c r="J391" s="7" t="str">
        <f t="shared" si="47"/>
        <v>JBG</v>
      </c>
      <c r="K391" s="7" t="str">
        <f t="shared" si="48"/>
        <v>L</v>
      </c>
      <c r="L391" s="7" t="s">
        <v>2085</v>
      </c>
      <c r="M391" s="7" t="s">
        <v>4462</v>
      </c>
      <c r="N391" s="7">
        <f>_xlfn.XLOOKUP(A391,[1]SKU!$A:$A,[1]SKU!$Z:$Z)</f>
        <v>990000</v>
      </c>
    </row>
    <row r="392" spans="1:14" s="7" customFormat="1">
      <c r="A392" s="1" t="s">
        <v>4984</v>
      </c>
      <c r="B392" s="3" t="s">
        <v>4472</v>
      </c>
      <c r="C392" s="3" t="s">
        <v>4985</v>
      </c>
      <c r="D392" s="1" t="s">
        <v>4986</v>
      </c>
      <c r="E392" s="7" t="str">
        <f t="shared" si="42"/>
        <v>HAM</v>
      </c>
      <c r="F392" s="7" t="str">
        <f t="shared" si="43"/>
        <v>UNI</v>
      </c>
      <c r="G392" s="7" t="str">
        <f t="shared" si="44"/>
        <v>JEW</v>
      </c>
      <c r="H392" s="7" t="str">
        <f t="shared" si="45"/>
        <v>NEC</v>
      </c>
      <c r="I392" s="7" t="str">
        <f t="shared" si="46"/>
        <v>119</v>
      </c>
      <c r="J392" s="7" t="str">
        <f t="shared" si="47"/>
        <v>MIX</v>
      </c>
      <c r="K392" s="7" t="str">
        <f t="shared" si="48"/>
        <v>0</v>
      </c>
      <c r="L392" s="7">
        <v>0</v>
      </c>
      <c r="M392" s="7" t="s">
        <v>2609</v>
      </c>
      <c r="N392" s="7">
        <f>_xlfn.XLOOKUP(A392,[1]SKU!$A:$A,[1]SKU!$Z:$Z)</f>
        <v>2800000</v>
      </c>
    </row>
    <row r="393" spans="1:14" s="7" customFormat="1">
      <c r="A393" s="1" t="s">
        <v>522</v>
      </c>
      <c r="B393" s="3" t="s">
        <v>3</v>
      </c>
      <c r="C393" s="3" t="s">
        <v>223</v>
      </c>
      <c r="D393" s="1" t="s">
        <v>523</v>
      </c>
      <c r="E393" s="7" t="str">
        <f t="shared" si="42"/>
        <v>GSU</v>
      </c>
      <c r="F393" s="7" t="str">
        <f t="shared" si="43"/>
        <v>WOM</v>
      </c>
      <c r="G393" s="7" t="str">
        <f t="shared" si="44"/>
        <v>TTB</v>
      </c>
      <c r="H393" s="7" t="str">
        <f t="shared" si="45"/>
        <v>BNE</v>
      </c>
      <c r="I393" s="7" t="str">
        <f t="shared" si="46"/>
        <v>BLF</v>
      </c>
      <c r="J393" s="7" t="str">
        <f t="shared" si="47"/>
        <v>WHI</v>
      </c>
      <c r="K393" s="7" t="str">
        <f t="shared" si="48"/>
        <v>L</v>
      </c>
      <c r="L393" s="7" t="s">
        <v>2326</v>
      </c>
      <c r="M393" s="7" t="s">
        <v>4469</v>
      </c>
      <c r="N393" s="7">
        <f>_xlfn.XLOOKUP(A393,[1]SKU!$A:$A,[1]SKU!$Z:$Z)</f>
        <v>850000</v>
      </c>
    </row>
    <row r="394" spans="1:14" s="7" customFormat="1">
      <c r="A394" s="1" t="s">
        <v>4987</v>
      </c>
      <c r="B394" s="3" t="s">
        <v>4472</v>
      </c>
      <c r="C394" s="3" t="s">
        <v>4988</v>
      </c>
      <c r="D394" s="1" t="s">
        <v>4989</v>
      </c>
      <c r="E394" s="7" t="str">
        <f t="shared" si="42"/>
        <v>NGO</v>
      </c>
      <c r="F394" s="7" t="str">
        <f t="shared" si="43"/>
        <v>UNI</v>
      </c>
      <c r="G394" s="7" t="str">
        <f t="shared" si="44"/>
        <v>FWR</v>
      </c>
      <c r="H394" s="7" t="str">
        <f t="shared" si="45"/>
        <v>SNE</v>
      </c>
      <c r="I394" s="7" t="str">
        <f t="shared" si="46"/>
        <v>MCS</v>
      </c>
      <c r="J394" s="7" t="str">
        <f t="shared" si="47"/>
        <v>BRO</v>
      </c>
      <c r="K394" s="7" t="str">
        <f t="shared" si="48"/>
        <v>40</v>
      </c>
      <c r="L394" s="7">
        <v>0</v>
      </c>
      <c r="M394" s="7" t="s">
        <v>2609</v>
      </c>
      <c r="N394" s="7">
        <f>_xlfn.XLOOKUP(A394,[1]SKU!$A:$A,[1]SKU!$Z:$Z)</f>
        <v>2650000</v>
      </c>
    </row>
    <row r="395" spans="1:14" s="7" customFormat="1">
      <c r="A395" s="1" t="s">
        <v>524</v>
      </c>
      <c r="B395" s="3" t="s">
        <v>3</v>
      </c>
      <c r="C395" s="3" t="s">
        <v>110</v>
      </c>
      <c r="D395" s="1" t="s">
        <v>525</v>
      </c>
      <c r="E395" s="7" t="str">
        <f t="shared" si="42"/>
        <v>GSL</v>
      </c>
      <c r="F395" s="7" t="str">
        <f t="shared" si="43"/>
        <v>KID</v>
      </c>
      <c r="G395" s="7" t="str">
        <f t="shared" si="44"/>
        <v>TSS</v>
      </c>
      <c r="H395" s="7" t="str">
        <f t="shared" si="45"/>
        <v>ONE</v>
      </c>
      <c r="I395" s="7" t="str">
        <f t="shared" si="46"/>
        <v>TLT</v>
      </c>
      <c r="J395" s="7" t="str">
        <f t="shared" si="47"/>
        <v>BLK</v>
      </c>
      <c r="K395" s="7" t="str">
        <f t="shared" si="48"/>
        <v>8</v>
      </c>
      <c r="L395" s="7" t="s">
        <v>2018</v>
      </c>
      <c r="M395" s="7" t="s">
        <v>4462</v>
      </c>
      <c r="N395" s="7">
        <f>_xlfn.XLOOKUP(A395,[1]SKU!$A:$A,[1]SKU!$Z:$Z)</f>
        <v>550000</v>
      </c>
    </row>
    <row r="396" spans="1:14" s="7" customFormat="1">
      <c r="A396" s="1" t="s">
        <v>4990</v>
      </c>
      <c r="B396" s="3" t="s">
        <v>4472</v>
      </c>
      <c r="C396" s="3" t="s">
        <v>4991</v>
      </c>
      <c r="D396" s="1" t="s">
        <v>4992</v>
      </c>
      <c r="E396" s="7" t="str">
        <f t="shared" si="42"/>
        <v>LAN</v>
      </c>
      <c r="F396" s="7" t="str">
        <f t="shared" si="43"/>
        <v>UNI</v>
      </c>
      <c r="G396" s="7" t="str">
        <f t="shared" si="44"/>
        <v>HWR</v>
      </c>
      <c r="H396" s="7" t="str">
        <f t="shared" si="45"/>
        <v>SC2</v>
      </c>
      <c r="I396" s="7" t="str">
        <f t="shared" si="46"/>
        <v>SNA</v>
      </c>
      <c r="J396" s="7" t="str">
        <f t="shared" si="47"/>
        <v>YEL</v>
      </c>
      <c r="K396" s="7" t="str">
        <f t="shared" si="48"/>
        <v>90x90</v>
      </c>
      <c r="L396" s="7">
        <v>0</v>
      </c>
      <c r="M396" s="7" t="s">
        <v>2609</v>
      </c>
      <c r="N396" s="7">
        <f>_xlfn.XLOOKUP(A396,[1]SKU!$A:$A,[1]SKU!$Z:$Z)</f>
        <v>989000</v>
      </c>
    </row>
    <row r="397" spans="1:14" s="7" customFormat="1">
      <c r="A397" s="1" t="s">
        <v>526</v>
      </c>
      <c r="B397" s="3" t="s">
        <v>3</v>
      </c>
      <c r="C397" s="3" t="s">
        <v>204</v>
      </c>
      <c r="D397" s="1" t="s">
        <v>527</v>
      </c>
      <c r="E397" s="7" t="str">
        <f t="shared" si="42"/>
        <v>GFI</v>
      </c>
      <c r="F397" s="7" t="str">
        <f t="shared" si="43"/>
        <v>MEN</v>
      </c>
      <c r="G397" s="7" t="str">
        <f t="shared" si="44"/>
        <v>HLS</v>
      </c>
      <c r="H397" s="7" t="str">
        <f t="shared" si="45"/>
        <v>ONE</v>
      </c>
      <c r="I397" s="7" t="str">
        <f t="shared" si="46"/>
        <v>GEC</v>
      </c>
      <c r="J397" s="7" t="str">
        <f t="shared" si="47"/>
        <v>RED</v>
      </c>
      <c r="K397" s="7" t="str">
        <f t="shared" si="48"/>
        <v>M</v>
      </c>
      <c r="L397" s="7" t="s">
        <v>2494</v>
      </c>
      <c r="M397" s="7" t="s">
        <v>4466</v>
      </c>
      <c r="N397" s="7">
        <f>_xlfn.XLOOKUP(A397,[1]SKU!$A:$A,[1]SKU!$Z:$Z)</f>
        <v>1590000</v>
      </c>
    </row>
    <row r="398" spans="1:14" s="7" customFormat="1">
      <c r="A398" s="1" t="s">
        <v>528</v>
      </c>
      <c r="B398" s="3" t="s">
        <v>3</v>
      </c>
      <c r="C398" s="3" t="s">
        <v>110</v>
      </c>
      <c r="D398" s="1" t="s">
        <v>529</v>
      </c>
      <c r="E398" s="7" t="str">
        <f t="shared" si="42"/>
        <v>GBA</v>
      </c>
      <c r="F398" s="7" t="str">
        <f t="shared" si="43"/>
        <v>MEN</v>
      </c>
      <c r="G398" s="7" t="str">
        <f t="shared" si="44"/>
        <v>TSS</v>
      </c>
      <c r="H398" s="7" t="str">
        <f t="shared" si="45"/>
        <v>ONE</v>
      </c>
      <c r="I398" s="7" t="str">
        <f t="shared" si="46"/>
        <v>TLT</v>
      </c>
      <c r="J398" s="7" t="str">
        <f t="shared" si="47"/>
        <v>BLK</v>
      </c>
      <c r="K398" s="7" t="str">
        <f t="shared" si="48"/>
        <v>M</v>
      </c>
      <c r="L398" s="7" t="s">
        <v>2018</v>
      </c>
      <c r="M398" s="7" t="s">
        <v>4462</v>
      </c>
      <c r="N398" s="7">
        <f>_xlfn.XLOOKUP(A398,[1]SKU!$A:$A,[1]SKU!$Z:$Z)</f>
        <v>710000</v>
      </c>
    </row>
    <row r="399" spans="1:14" s="7" customFormat="1">
      <c r="A399" s="1" t="s">
        <v>4993</v>
      </c>
      <c r="B399" s="3" t="s">
        <v>4472</v>
      </c>
      <c r="C399" s="3" t="s">
        <v>4994</v>
      </c>
      <c r="D399" s="1" t="s">
        <v>4995</v>
      </c>
      <c r="E399" s="7" t="str">
        <f t="shared" si="42"/>
        <v>LAN</v>
      </c>
      <c r="F399" s="7" t="str">
        <f t="shared" si="43"/>
        <v>UNI</v>
      </c>
      <c r="G399" s="7" t="str">
        <f t="shared" si="44"/>
        <v>HWR</v>
      </c>
      <c r="H399" s="7" t="str">
        <f t="shared" si="45"/>
        <v>SC2</v>
      </c>
      <c r="I399" s="7" t="str">
        <f t="shared" si="46"/>
        <v>HXH</v>
      </c>
      <c r="J399" s="7" t="str">
        <f t="shared" si="47"/>
        <v>BLU</v>
      </c>
      <c r="K399" s="7" t="str">
        <f t="shared" si="48"/>
        <v>60x60</v>
      </c>
      <c r="L399" s="7">
        <v>0</v>
      </c>
      <c r="M399" s="7" t="s">
        <v>2609</v>
      </c>
      <c r="N399" s="7">
        <f>_xlfn.XLOOKUP(A399,[1]SKU!$A:$A,[1]SKU!$Z:$Z)</f>
        <v>549000</v>
      </c>
    </row>
    <row r="400" spans="1:14" s="7" customFormat="1">
      <c r="A400" s="1" t="s">
        <v>4996</v>
      </c>
      <c r="B400" s="3" t="s">
        <v>4481</v>
      </c>
      <c r="C400" s="3" t="s">
        <v>530</v>
      </c>
      <c r="D400" s="1" t="s">
        <v>4997</v>
      </c>
      <c r="E400" s="7" t="str">
        <f t="shared" si="42"/>
        <v>PAS</v>
      </c>
      <c r="F400" s="7" t="str">
        <f t="shared" si="43"/>
        <v>UNI</v>
      </c>
      <c r="G400" s="7" t="str">
        <f t="shared" si="44"/>
        <v>ART</v>
      </c>
      <c r="H400" s="7" t="str">
        <f t="shared" si="45"/>
        <v>ART</v>
      </c>
      <c r="I400" s="7" t="str">
        <f t="shared" si="46"/>
        <v>TMG</v>
      </c>
      <c r="J400" s="7" t="str">
        <f t="shared" si="47"/>
        <v>MIX</v>
      </c>
      <c r="K400" s="7" t="str">
        <f t="shared" si="48"/>
        <v>A3</v>
      </c>
      <c r="L400" s="7">
        <v>0</v>
      </c>
      <c r="M400" s="7" t="s">
        <v>2609</v>
      </c>
      <c r="N400" s="7">
        <f>_xlfn.XLOOKUP(A400,[1]SKU!$A:$A,[1]SKU!$Z:$Z)</f>
        <v>6000000</v>
      </c>
    </row>
    <row r="401" spans="1:14" s="7" customFormat="1">
      <c r="A401" s="1" t="s">
        <v>531</v>
      </c>
      <c r="B401" s="3" t="s">
        <v>3</v>
      </c>
      <c r="C401" s="3" t="s">
        <v>532</v>
      </c>
      <c r="D401" s="1" t="s">
        <v>533</v>
      </c>
      <c r="E401" s="7" t="str">
        <f t="shared" si="42"/>
        <v>GBA</v>
      </c>
      <c r="F401" s="7" t="str">
        <f t="shared" si="43"/>
        <v>MEN</v>
      </c>
      <c r="G401" s="7" t="str">
        <f t="shared" si="44"/>
        <v>TSS</v>
      </c>
      <c r="H401" s="7" t="str">
        <f t="shared" si="45"/>
        <v>ONE</v>
      </c>
      <c r="I401" s="7" t="str">
        <f t="shared" si="46"/>
        <v>SCR</v>
      </c>
      <c r="J401" s="7" t="str">
        <f t="shared" si="47"/>
        <v>WHI</v>
      </c>
      <c r="K401" s="7" t="str">
        <f t="shared" si="48"/>
        <v>XL</v>
      </c>
      <c r="L401" s="7" t="s">
        <v>2018</v>
      </c>
      <c r="M401" s="7" t="s">
        <v>4462</v>
      </c>
      <c r="N401" s="7">
        <f>_xlfn.XLOOKUP(A401,[1]SKU!$A:$A,[1]SKU!$Z:$Z)</f>
        <v>950000</v>
      </c>
    </row>
    <row r="402" spans="1:14" s="7" customFormat="1">
      <c r="A402" s="1" t="s">
        <v>534</v>
      </c>
      <c r="B402" s="3" t="s">
        <v>3</v>
      </c>
      <c r="C402" s="3" t="s">
        <v>146</v>
      </c>
      <c r="D402" s="1" t="s">
        <v>535</v>
      </c>
      <c r="E402" s="7" t="str">
        <f t="shared" si="42"/>
        <v>GOR</v>
      </c>
      <c r="F402" s="7" t="str">
        <f t="shared" si="43"/>
        <v>MEN</v>
      </c>
      <c r="G402" s="7" t="str">
        <f t="shared" si="44"/>
        <v>TSS</v>
      </c>
      <c r="H402" s="7" t="str">
        <f t="shared" si="45"/>
        <v>ONE</v>
      </c>
      <c r="I402" s="7" t="str">
        <f t="shared" si="46"/>
        <v>BPP</v>
      </c>
      <c r="J402" s="7" t="str">
        <f t="shared" si="47"/>
        <v>BLK</v>
      </c>
      <c r="K402" s="7" t="str">
        <f t="shared" si="48"/>
        <v>L</v>
      </c>
      <c r="L402" s="7" t="s">
        <v>2018</v>
      </c>
      <c r="M402" s="7" t="s">
        <v>4462</v>
      </c>
      <c r="N402" s="7">
        <f>_xlfn.XLOOKUP(A402,[1]SKU!$A:$A,[1]SKU!$Z:$Z)</f>
        <v>810000</v>
      </c>
    </row>
    <row r="403" spans="1:14" s="7" customFormat="1">
      <c r="A403" s="1" t="s">
        <v>536</v>
      </c>
      <c r="B403" s="3" t="s">
        <v>3</v>
      </c>
      <c r="C403" s="3" t="s">
        <v>110</v>
      </c>
      <c r="D403" s="1" t="s">
        <v>537</v>
      </c>
      <c r="E403" s="7" t="str">
        <f t="shared" si="42"/>
        <v>GSL</v>
      </c>
      <c r="F403" s="7" t="str">
        <f t="shared" si="43"/>
        <v>KID</v>
      </c>
      <c r="G403" s="7" t="str">
        <f t="shared" si="44"/>
        <v>TSS</v>
      </c>
      <c r="H403" s="7" t="str">
        <f t="shared" si="45"/>
        <v>ONE</v>
      </c>
      <c r="I403" s="7" t="str">
        <f t="shared" si="46"/>
        <v>TLT</v>
      </c>
      <c r="J403" s="7" t="str">
        <f t="shared" si="47"/>
        <v>BLK</v>
      </c>
      <c r="K403" s="7" t="str">
        <f t="shared" si="48"/>
        <v>4</v>
      </c>
      <c r="L403" s="7" t="s">
        <v>2018</v>
      </c>
      <c r="M403" s="7" t="s">
        <v>4462</v>
      </c>
      <c r="N403" s="7">
        <f>_xlfn.XLOOKUP(A403,[1]SKU!$A:$A,[1]SKU!$Z:$Z)</f>
        <v>550000</v>
      </c>
    </row>
    <row r="404" spans="1:14" s="7" customFormat="1">
      <c r="A404" s="1" t="s">
        <v>538</v>
      </c>
      <c r="B404" s="3" t="s">
        <v>3</v>
      </c>
      <c r="C404" s="3" t="s">
        <v>23</v>
      </c>
      <c r="D404" s="1" t="s">
        <v>539</v>
      </c>
      <c r="E404" s="7" t="str">
        <f t="shared" si="42"/>
        <v>GBA</v>
      </c>
      <c r="F404" s="7" t="str">
        <f t="shared" si="43"/>
        <v>MEN</v>
      </c>
      <c r="G404" s="7" t="str">
        <f t="shared" si="44"/>
        <v>TSS</v>
      </c>
      <c r="H404" s="7" t="str">
        <f t="shared" si="45"/>
        <v>ONE</v>
      </c>
      <c r="I404" s="7" t="str">
        <f t="shared" si="46"/>
        <v>URB</v>
      </c>
      <c r="J404" s="7" t="str">
        <f t="shared" si="47"/>
        <v>JBG</v>
      </c>
      <c r="K404" s="7" t="str">
        <f t="shared" si="48"/>
        <v>S</v>
      </c>
      <c r="L404" s="7" t="s">
        <v>2018</v>
      </c>
      <c r="M404" s="7" t="s">
        <v>4462</v>
      </c>
      <c r="N404" s="7">
        <f>_xlfn.XLOOKUP(A404,[1]SKU!$A:$A,[1]SKU!$Z:$Z)</f>
        <v>710000</v>
      </c>
    </row>
    <row r="405" spans="1:14" s="7" customFormat="1">
      <c r="A405" s="1" t="s">
        <v>4998</v>
      </c>
      <c r="B405" s="3" t="s">
        <v>4472</v>
      </c>
      <c r="C405" s="3" t="s">
        <v>540</v>
      </c>
      <c r="D405" s="1" t="s">
        <v>4999</v>
      </c>
      <c r="E405" s="7" t="str">
        <f t="shared" si="42"/>
        <v>DSP</v>
      </c>
      <c r="F405" s="7" t="str">
        <f t="shared" si="43"/>
        <v>UNI</v>
      </c>
      <c r="G405" s="7" t="str">
        <f t="shared" si="44"/>
        <v>FWR</v>
      </c>
      <c r="H405" s="7" t="str">
        <f t="shared" si="45"/>
        <v>LES</v>
      </c>
      <c r="I405" s="7" t="str">
        <f t="shared" si="46"/>
        <v>BLA</v>
      </c>
      <c r="J405" s="7" t="str">
        <f t="shared" si="47"/>
        <v>BLK</v>
      </c>
      <c r="K405" s="7" t="str">
        <f t="shared" si="48"/>
        <v>41</v>
      </c>
      <c r="L405" s="7">
        <v>0</v>
      </c>
      <c r="M405" s="7" t="s">
        <v>2609</v>
      </c>
      <c r="N405" s="7">
        <f>_xlfn.XLOOKUP(A405,[1]SKU!$A:$A,[1]SKU!$Z:$Z)</f>
        <v>10800000</v>
      </c>
    </row>
    <row r="406" spans="1:14" s="7" customFormat="1">
      <c r="A406" s="1" t="s">
        <v>541</v>
      </c>
      <c r="B406" s="3" t="s">
        <v>3</v>
      </c>
      <c r="C406" s="3" t="s">
        <v>229</v>
      </c>
      <c r="D406" s="1" t="s">
        <v>542</v>
      </c>
      <c r="E406" s="7" t="str">
        <f t="shared" si="42"/>
        <v>GCV</v>
      </c>
      <c r="F406" s="7" t="str">
        <f t="shared" si="43"/>
        <v>MEN</v>
      </c>
      <c r="G406" s="7" t="str">
        <f t="shared" si="44"/>
        <v>SIS</v>
      </c>
      <c r="H406" s="7" t="str">
        <f t="shared" si="45"/>
        <v>BUT</v>
      </c>
      <c r="I406" s="7" t="str">
        <f t="shared" si="46"/>
        <v>RFT</v>
      </c>
      <c r="J406" s="7" t="str">
        <f t="shared" si="47"/>
        <v>WHI</v>
      </c>
      <c r="K406" s="7" t="str">
        <f t="shared" si="48"/>
        <v>M</v>
      </c>
      <c r="L406" s="7" t="s">
        <v>2211</v>
      </c>
      <c r="M406" s="7" t="s">
        <v>4464</v>
      </c>
      <c r="N406" s="7">
        <f>_xlfn.XLOOKUP(A406,[1]SKU!$A:$A,[1]SKU!$Z:$Z)</f>
        <v>1790000</v>
      </c>
    </row>
    <row r="407" spans="1:14" s="7" customFormat="1">
      <c r="A407" s="1" t="s">
        <v>5000</v>
      </c>
      <c r="B407" s="3" t="s">
        <v>4472</v>
      </c>
      <c r="C407" s="3" t="s">
        <v>5001</v>
      </c>
      <c r="D407" s="1" t="s">
        <v>5002</v>
      </c>
      <c r="E407" s="7" t="str">
        <f t="shared" si="42"/>
        <v>EDE</v>
      </c>
      <c r="F407" s="7" t="str">
        <f t="shared" si="43"/>
        <v>UNI</v>
      </c>
      <c r="G407" s="7" t="str">
        <f t="shared" si="44"/>
        <v>BAG</v>
      </c>
      <c r="H407" s="7" t="str">
        <f t="shared" si="45"/>
        <v>ETB</v>
      </c>
      <c r="I407" s="7" t="str">
        <f t="shared" si="46"/>
        <v>CON</v>
      </c>
      <c r="J407" s="7" t="str">
        <f t="shared" si="47"/>
        <v>MIX</v>
      </c>
      <c r="K407" s="7" t="str">
        <f t="shared" si="48"/>
        <v>0</v>
      </c>
      <c r="L407" s="7">
        <v>0</v>
      </c>
      <c r="M407" s="7" t="s">
        <v>2609</v>
      </c>
      <c r="N407" s="7">
        <f>_xlfn.XLOOKUP(A407,[1]SKU!$A:$A,[1]SKU!$Z:$Z)</f>
        <v>495000</v>
      </c>
    </row>
    <row r="408" spans="1:14" s="7" customFormat="1">
      <c r="A408" s="1" t="s">
        <v>5003</v>
      </c>
      <c r="B408" s="3" t="s">
        <v>4472</v>
      </c>
      <c r="C408" s="3" t="s">
        <v>5004</v>
      </c>
      <c r="D408" s="1" t="s">
        <v>5005</v>
      </c>
      <c r="E408" s="7" t="str">
        <f t="shared" si="42"/>
        <v>HAM</v>
      </c>
      <c r="F408" s="7" t="str">
        <f t="shared" si="43"/>
        <v>UNI</v>
      </c>
      <c r="G408" s="7" t="str">
        <f t="shared" si="44"/>
        <v>JEW</v>
      </c>
      <c r="H408" s="7" t="str">
        <f t="shared" si="45"/>
        <v>NEC</v>
      </c>
      <c r="I408" s="7" t="str">
        <f t="shared" si="46"/>
        <v>102</v>
      </c>
      <c r="J408" s="7" t="str">
        <f t="shared" si="47"/>
        <v>MIX</v>
      </c>
      <c r="K408" s="7" t="str">
        <f t="shared" si="48"/>
        <v>0</v>
      </c>
      <c r="L408" s="7">
        <v>0</v>
      </c>
      <c r="M408" s="7" t="s">
        <v>2609</v>
      </c>
      <c r="N408" s="7">
        <f>_xlfn.XLOOKUP(A408,[1]SKU!$A:$A,[1]SKU!$Z:$Z)</f>
        <v>1800000</v>
      </c>
    </row>
    <row r="409" spans="1:14" s="7" customFormat="1">
      <c r="A409" s="1" t="s">
        <v>5006</v>
      </c>
      <c r="B409" s="3" t="s">
        <v>4472</v>
      </c>
      <c r="C409" s="3" t="s">
        <v>133</v>
      </c>
      <c r="D409" s="1" t="s">
        <v>5007</v>
      </c>
      <c r="E409" s="7" t="str">
        <f t="shared" si="42"/>
        <v>SHI</v>
      </c>
      <c r="F409" s="7" t="str">
        <f t="shared" si="43"/>
        <v>UNI</v>
      </c>
      <c r="G409" s="7" t="str">
        <f t="shared" si="44"/>
        <v>FNB</v>
      </c>
      <c r="H409" s="7" t="str">
        <f t="shared" si="45"/>
        <v>CFP</v>
      </c>
      <c r="I409" s="7" t="str">
        <f t="shared" si="46"/>
        <v>SLB</v>
      </c>
      <c r="J409" s="7" t="str">
        <f t="shared" si="47"/>
        <v>WHI</v>
      </c>
      <c r="K409" s="7" t="str">
        <f t="shared" si="48"/>
        <v>BAG</v>
      </c>
      <c r="L409" s="7">
        <v>0</v>
      </c>
      <c r="M409" s="7" t="s">
        <v>2609</v>
      </c>
      <c r="N409" s="7">
        <f>_xlfn.XLOOKUP(A409,[1]SKU!$A:$A,[1]SKU!$Z:$Z)</f>
        <v>150000</v>
      </c>
    </row>
    <row r="410" spans="1:14" s="7" customFormat="1">
      <c r="A410" s="1" t="s">
        <v>5008</v>
      </c>
      <c r="B410" s="3" t="s">
        <v>4472</v>
      </c>
      <c r="C410" s="3" t="s">
        <v>544</v>
      </c>
      <c r="D410" s="1" t="s">
        <v>5009</v>
      </c>
      <c r="E410" s="7" t="str">
        <f t="shared" si="42"/>
        <v>DSP</v>
      </c>
      <c r="F410" s="7" t="str">
        <f t="shared" si="43"/>
        <v>UNI</v>
      </c>
      <c r="G410" s="7" t="str">
        <f t="shared" si="44"/>
        <v>FWR</v>
      </c>
      <c r="H410" s="7" t="str">
        <f t="shared" si="45"/>
        <v>SNE</v>
      </c>
      <c r="I410" s="7" t="str">
        <f t="shared" si="46"/>
        <v>SBA</v>
      </c>
      <c r="J410" s="7" t="str">
        <f t="shared" si="47"/>
        <v>MBE</v>
      </c>
      <c r="K410" s="7" t="str">
        <f t="shared" si="48"/>
        <v>43</v>
      </c>
      <c r="L410" s="7">
        <v>0</v>
      </c>
      <c r="M410" s="7" t="s">
        <v>2609</v>
      </c>
      <c r="N410" s="7">
        <f>_xlfn.XLOOKUP(A410,[1]SKU!$A:$A,[1]SKU!$Z:$Z)</f>
        <v>7500000</v>
      </c>
    </row>
    <row r="411" spans="1:14" s="7" customFormat="1">
      <c r="A411" s="1" t="s">
        <v>5010</v>
      </c>
      <c r="B411" s="3" t="s">
        <v>4472</v>
      </c>
      <c r="C411" s="3" t="s">
        <v>94</v>
      </c>
      <c r="D411" s="1" t="s">
        <v>5011</v>
      </c>
      <c r="E411" s="7" t="str">
        <f t="shared" si="42"/>
        <v>NGO</v>
      </c>
      <c r="F411" s="7" t="str">
        <f t="shared" si="43"/>
        <v>UNI</v>
      </c>
      <c r="G411" s="7" t="str">
        <f t="shared" si="44"/>
        <v>FWR</v>
      </c>
      <c r="H411" s="7" t="str">
        <f t="shared" si="45"/>
        <v>SNE</v>
      </c>
      <c r="I411" s="7" t="str">
        <f t="shared" si="46"/>
        <v>SGS</v>
      </c>
      <c r="J411" s="7" t="str">
        <f t="shared" si="47"/>
        <v>SES</v>
      </c>
      <c r="K411" s="7" t="str">
        <f t="shared" si="48"/>
        <v>43</v>
      </c>
      <c r="L411" s="7">
        <v>0</v>
      </c>
      <c r="M411" s="7" t="s">
        <v>2609</v>
      </c>
      <c r="N411" s="7">
        <f>_xlfn.XLOOKUP(A411,[1]SKU!$A:$A,[1]SKU!$Z:$Z)</f>
        <v>3850000</v>
      </c>
    </row>
    <row r="412" spans="1:14" s="7" customFormat="1">
      <c r="A412" s="1" t="s">
        <v>5012</v>
      </c>
      <c r="B412" s="3" t="s">
        <v>4472</v>
      </c>
      <c r="C412" s="3" t="s">
        <v>545</v>
      </c>
      <c r="D412" s="1" t="s">
        <v>5013</v>
      </c>
      <c r="E412" s="7" t="str">
        <f t="shared" si="42"/>
        <v>DSP</v>
      </c>
      <c r="F412" s="7" t="str">
        <f t="shared" si="43"/>
        <v>UNI</v>
      </c>
      <c r="G412" s="7" t="str">
        <f t="shared" si="44"/>
        <v>SOU</v>
      </c>
      <c r="H412" s="7" t="str">
        <f t="shared" si="45"/>
        <v>CBX</v>
      </c>
      <c r="I412" s="7" t="str">
        <f t="shared" si="46"/>
        <v>CBP</v>
      </c>
      <c r="J412" s="7" t="str">
        <f t="shared" si="47"/>
        <v>BLK</v>
      </c>
      <c r="K412" s="7" t="str">
        <f t="shared" si="48"/>
        <v>0</v>
      </c>
      <c r="L412" s="7">
        <v>0</v>
      </c>
      <c r="M412" s="7" t="s">
        <v>2609</v>
      </c>
      <c r="N412" s="7">
        <f>_xlfn.XLOOKUP(A412,[1]SKU!$A:$A,[1]SKU!$Z:$Z)</f>
        <v>16500000</v>
      </c>
    </row>
    <row r="413" spans="1:14" s="7" customFormat="1">
      <c r="A413" s="1" t="s">
        <v>546</v>
      </c>
      <c r="B413" s="3" t="s">
        <v>3</v>
      </c>
      <c r="C413" s="3" t="s">
        <v>78</v>
      </c>
      <c r="D413" s="1" t="s">
        <v>547</v>
      </c>
      <c r="E413" s="7" t="str">
        <f t="shared" si="42"/>
        <v>GBA</v>
      </c>
      <c r="F413" s="7" t="str">
        <f t="shared" si="43"/>
        <v>MEN</v>
      </c>
      <c r="G413" s="7" t="str">
        <f t="shared" si="44"/>
        <v>TSS</v>
      </c>
      <c r="H413" s="7" t="str">
        <f t="shared" si="45"/>
        <v>ONE</v>
      </c>
      <c r="I413" s="7" t="str">
        <f t="shared" si="46"/>
        <v>STE</v>
      </c>
      <c r="J413" s="7" t="str">
        <f t="shared" si="47"/>
        <v>WHI</v>
      </c>
      <c r="K413" s="7" t="str">
        <f t="shared" si="48"/>
        <v>XL</v>
      </c>
      <c r="L413" s="7" t="s">
        <v>2018</v>
      </c>
      <c r="M413" s="7" t="s">
        <v>4462</v>
      </c>
      <c r="N413" s="7">
        <f>_xlfn.XLOOKUP(A413,[1]SKU!$A:$A,[1]SKU!$Z:$Z)</f>
        <v>710000</v>
      </c>
    </row>
    <row r="414" spans="1:14" s="7" customFormat="1" ht="15" customHeight="1">
      <c r="A414" s="1" t="s">
        <v>5014</v>
      </c>
      <c r="B414" s="3" t="s">
        <v>4481</v>
      </c>
      <c r="C414" s="3" t="s">
        <v>548</v>
      </c>
      <c r="D414" s="1" t="s">
        <v>5015</v>
      </c>
      <c r="E414" s="7" t="str">
        <f t="shared" si="42"/>
        <v>PAS</v>
      </c>
      <c r="F414" s="7" t="str">
        <f t="shared" si="43"/>
        <v>UNI</v>
      </c>
      <c r="G414" s="7" t="str">
        <f t="shared" si="44"/>
        <v>ART</v>
      </c>
      <c r="H414" s="7" t="str">
        <f t="shared" si="45"/>
        <v>ART</v>
      </c>
      <c r="I414" s="7" t="str">
        <f t="shared" si="46"/>
        <v>TNN</v>
      </c>
      <c r="J414" s="7" t="str">
        <f t="shared" si="47"/>
        <v>MIX</v>
      </c>
      <c r="K414" s="7" t="str">
        <f t="shared" si="48"/>
        <v>A1</v>
      </c>
      <c r="L414" s="7">
        <v>0</v>
      </c>
      <c r="M414" s="7" t="s">
        <v>2609</v>
      </c>
      <c r="N414" s="7">
        <f>_xlfn.XLOOKUP(A414,[1]SKU!$A:$A,[1]SKU!$Z:$Z)</f>
        <v>7500000</v>
      </c>
    </row>
    <row r="415" spans="1:14" s="7" customFormat="1" ht="15" customHeight="1">
      <c r="A415" s="1" t="s">
        <v>549</v>
      </c>
      <c r="B415" s="3" t="s">
        <v>3</v>
      </c>
      <c r="C415" s="3" t="s">
        <v>550</v>
      </c>
      <c r="D415" s="1" t="s">
        <v>551</v>
      </c>
      <c r="E415" s="7" t="str">
        <f t="shared" si="42"/>
        <v>GOR</v>
      </c>
      <c r="F415" s="7" t="str">
        <f t="shared" si="43"/>
        <v>MEN</v>
      </c>
      <c r="G415" s="7" t="str">
        <f t="shared" si="44"/>
        <v>POL</v>
      </c>
      <c r="H415" s="7" t="str">
        <f t="shared" si="45"/>
        <v>MAN</v>
      </c>
      <c r="I415" s="7" t="str">
        <f t="shared" si="46"/>
        <v>HOR</v>
      </c>
      <c r="J415" s="7" t="str">
        <f t="shared" si="47"/>
        <v>GRE</v>
      </c>
      <c r="K415" s="7" t="str">
        <f t="shared" si="48"/>
        <v>S</v>
      </c>
      <c r="L415" s="7" t="s">
        <v>1995</v>
      </c>
      <c r="M415" s="7" t="s">
        <v>4468</v>
      </c>
      <c r="N415" s="7">
        <f>_xlfn.XLOOKUP(A415,[1]SKU!$A:$A,[1]SKU!$Z:$Z)</f>
        <v>1090000</v>
      </c>
    </row>
    <row r="416" spans="1:14" s="7" customFormat="1" ht="15" customHeight="1">
      <c r="A416" s="1" t="s">
        <v>5016</v>
      </c>
      <c r="B416" s="3" t="s">
        <v>4472</v>
      </c>
      <c r="C416" s="3" t="s">
        <v>552</v>
      </c>
      <c r="D416" s="1" t="s">
        <v>5017</v>
      </c>
      <c r="E416" s="7" t="str">
        <f t="shared" si="42"/>
        <v>DSP</v>
      </c>
      <c r="F416" s="7" t="str">
        <f t="shared" si="43"/>
        <v>UNI</v>
      </c>
      <c r="G416" s="7" t="str">
        <f t="shared" si="44"/>
        <v>BAG</v>
      </c>
      <c r="H416" s="7" t="str">
        <f t="shared" si="45"/>
        <v>WAL</v>
      </c>
      <c r="I416" s="7" t="str">
        <f t="shared" si="46"/>
        <v>SEU</v>
      </c>
      <c r="J416" s="7" t="str">
        <f t="shared" si="47"/>
        <v>DGN</v>
      </c>
      <c r="K416" s="7" t="str">
        <f t="shared" si="48"/>
        <v>0</v>
      </c>
      <c r="L416" s="7">
        <v>0</v>
      </c>
      <c r="M416" s="7" t="s">
        <v>2609</v>
      </c>
      <c r="N416" s="7">
        <f>_xlfn.XLOOKUP(A416,[1]SKU!$A:$A,[1]SKU!$Z:$Z)</f>
        <v>2900000</v>
      </c>
    </row>
    <row r="417" spans="1:14" s="7" customFormat="1" ht="15" customHeight="1">
      <c r="A417" s="1" t="s">
        <v>553</v>
      </c>
      <c r="B417" s="3" t="s">
        <v>3</v>
      </c>
      <c r="C417" s="3" t="s">
        <v>268</v>
      </c>
      <c r="D417" s="1" t="s">
        <v>554</v>
      </c>
      <c r="E417" s="7" t="str">
        <f t="shared" si="42"/>
        <v>GOR</v>
      </c>
      <c r="F417" s="7" t="str">
        <f t="shared" si="43"/>
        <v>MEN</v>
      </c>
      <c r="G417" s="7" t="str">
        <f t="shared" si="44"/>
        <v>TSP</v>
      </c>
      <c r="H417" s="7" t="str">
        <f t="shared" si="45"/>
        <v>ONE</v>
      </c>
      <c r="I417" s="7" t="str">
        <f t="shared" si="46"/>
        <v>SSY</v>
      </c>
      <c r="J417" s="7" t="str">
        <f t="shared" si="47"/>
        <v>GRE</v>
      </c>
      <c r="K417" s="7" t="str">
        <f t="shared" si="48"/>
        <v>XXL</v>
      </c>
      <c r="L417" s="7" t="s">
        <v>2085</v>
      </c>
      <c r="M417" s="7" t="s">
        <v>4462</v>
      </c>
      <c r="N417" s="7">
        <f>_xlfn.XLOOKUP(A417,[1]SKU!$A:$A,[1]SKU!$Z:$Z)</f>
        <v>790000</v>
      </c>
    </row>
    <row r="418" spans="1:14" s="7" customFormat="1" ht="15" customHeight="1">
      <c r="A418" s="1" t="s">
        <v>555</v>
      </c>
      <c r="B418" s="3" t="s">
        <v>19</v>
      </c>
      <c r="C418" s="3" t="s">
        <v>268</v>
      </c>
      <c r="D418" s="1" t="s">
        <v>556</v>
      </c>
      <c r="E418" s="7" t="str">
        <f t="shared" si="42"/>
        <v>OTH</v>
      </c>
      <c r="F418" s="7" t="str">
        <f t="shared" si="43"/>
        <v>UNI</v>
      </c>
      <c r="G418" s="7" t="str">
        <f t="shared" si="44"/>
        <v>FWR</v>
      </c>
      <c r="H418" s="7" t="str">
        <f t="shared" si="45"/>
        <v>SLI</v>
      </c>
      <c r="I418" s="7" t="str">
        <f t="shared" si="46"/>
        <v>SSY</v>
      </c>
      <c r="J418" s="7" t="str">
        <f t="shared" si="47"/>
        <v>BLU</v>
      </c>
      <c r="K418" s="7" t="str">
        <f t="shared" si="48"/>
        <v>38</v>
      </c>
      <c r="L418" s="7">
        <v>0</v>
      </c>
      <c r="M418" s="7" t="s">
        <v>2609</v>
      </c>
      <c r="N418" s="7">
        <f>_xlfn.XLOOKUP(A418,[1]SKU!$A:$A,[1]SKU!$Z:$Z)</f>
        <v>395000</v>
      </c>
    </row>
    <row r="419" spans="1:14" s="7" customFormat="1">
      <c r="A419" s="1" t="s">
        <v>5018</v>
      </c>
      <c r="B419" s="3" t="s">
        <v>4472</v>
      </c>
      <c r="C419" s="3" t="s">
        <v>5019</v>
      </c>
      <c r="D419" s="1" t="s">
        <v>5020</v>
      </c>
      <c r="E419" s="7" t="str">
        <f t="shared" si="42"/>
        <v>HAM</v>
      </c>
      <c r="F419" s="7" t="str">
        <f t="shared" si="43"/>
        <v>UNI</v>
      </c>
      <c r="G419" s="7" t="str">
        <f t="shared" si="44"/>
        <v>JEW</v>
      </c>
      <c r="H419" s="7" t="str">
        <f t="shared" si="45"/>
        <v>NEC</v>
      </c>
      <c r="I419" s="7" t="str">
        <f t="shared" si="46"/>
        <v>099</v>
      </c>
      <c r="J419" s="7" t="str">
        <f t="shared" si="47"/>
        <v>MIX</v>
      </c>
      <c r="K419" s="7" t="str">
        <f t="shared" si="48"/>
        <v>0</v>
      </c>
      <c r="L419" s="7">
        <v>0</v>
      </c>
      <c r="M419" s="7" t="s">
        <v>2609</v>
      </c>
      <c r="N419" s="7">
        <f>_xlfn.XLOOKUP(A419,[1]SKU!$A:$A,[1]SKU!$Z:$Z)</f>
        <v>3500000</v>
      </c>
    </row>
    <row r="420" spans="1:14" s="7" customFormat="1">
      <c r="A420" s="1" t="s">
        <v>558</v>
      </c>
      <c r="B420" s="3" t="s">
        <v>3</v>
      </c>
      <c r="C420" s="3" t="s">
        <v>16</v>
      </c>
      <c r="D420" s="1" t="s">
        <v>559</v>
      </c>
      <c r="E420" s="7" t="str">
        <f t="shared" si="42"/>
        <v>GBA</v>
      </c>
      <c r="F420" s="7" t="str">
        <f t="shared" si="43"/>
        <v>MEN</v>
      </c>
      <c r="G420" s="7" t="str">
        <f t="shared" si="44"/>
        <v>TSS</v>
      </c>
      <c r="H420" s="7" t="str">
        <f t="shared" si="45"/>
        <v>ONE</v>
      </c>
      <c r="I420" s="7" t="str">
        <f t="shared" si="46"/>
        <v>SMP</v>
      </c>
      <c r="J420" s="7" t="str">
        <f t="shared" si="47"/>
        <v>BLK</v>
      </c>
      <c r="K420" s="7" t="str">
        <f t="shared" si="48"/>
        <v>M</v>
      </c>
      <c r="L420" s="7" t="s">
        <v>2018</v>
      </c>
      <c r="M420" s="7" t="s">
        <v>4462</v>
      </c>
      <c r="N420" s="7">
        <f>_xlfn.XLOOKUP(A420,[1]SKU!$A:$A,[1]SKU!$Z:$Z)</f>
        <v>710000</v>
      </c>
    </row>
    <row r="421" spans="1:14" s="7" customFormat="1">
      <c r="A421" s="1" t="s">
        <v>560</v>
      </c>
      <c r="B421" s="3" t="s">
        <v>19</v>
      </c>
      <c r="C421" s="3" t="s">
        <v>23</v>
      </c>
      <c r="D421" s="1" t="s">
        <v>561</v>
      </c>
      <c r="E421" s="7" t="str">
        <f t="shared" si="42"/>
        <v>OTH</v>
      </c>
      <c r="F421" s="7" t="str">
        <f t="shared" si="43"/>
        <v>UNI</v>
      </c>
      <c r="G421" s="7" t="str">
        <f t="shared" si="44"/>
        <v>SOU</v>
      </c>
      <c r="H421" s="7" t="str">
        <f t="shared" si="45"/>
        <v>NBS</v>
      </c>
      <c r="I421" s="7" t="str">
        <f t="shared" si="46"/>
        <v>URB</v>
      </c>
      <c r="J421" s="7" t="str">
        <f t="shared" si="47"/>
        <v>GRN</v>
      </c>
      <c r="K421" s="7" t="str">
        <f t="shared" si="48"/>
        <v>A6</v>
      </c>
      <c r="L421" s="7">
        <v>0</v>
      </c>
      <c r="M421" s="7" t="s">
        <v>2609</v>
      </c>
      <c r="N421" s="7">
        <f>_xlfn.XLOOKUP(A421,[1]SKU!$A:$A,[1]SKU!$Z:$Z)</f>
        <v>65000</v>
      </c>
    </row>
    <row r="422" spans="1:14" s="7" customFormat="1">
      <c r="A422" s="1" t="s">
        <v>562</v>
      </c>
      <c r="B422" s="3" t="s">
        <v>3</v>
      </c>
      <c r="C422" s="3" t="s">
        <v>563</v>
      </c>
      <c r="D422" s="1" t="s">
        <v>564</v>
      </c>
      <c r="E422" s="7" t="str">
        <f t="shared" si="42"/>
        <v>GLI</v>
      </c>
      <c r="F422" s="7" t="str">
        <f t="shared" si="43"/>
        <v>MEN</v>
      </c>
      <c r="G422" s="7" t="str">
        <f t="shared" si="44"/>
        <v>SHS</v>
      </c>
      <c r="H422" s="7" t="str">
        <f t="shared" si="45"/>
        <v>BBT</v>
      </c>
      <c r="I422" s="7" t="str">
        <f t="shared" si="46"/>
        <v>LIN</v>
      </c>
      <c r="J422" s="7" t="str">
        <f t="shared" si="47"/>
        <v>WHI</v>
      </c>
      <c r="K422" s="7" t="str">
        <f t="shared" si="48"/>
        <v>XL</v>
      </c>
      <c r="L422" s="7" t="s">
        <v>2752</v>
      </c>
      <c r="M422" s="7" t="s">
        <v>4463</v>
      </c>
      <c r="N422" s="7">
        <f>_xlfn.XLOOKUP(A422,[1]SKU!$A:$A,[1]SKU!$Z:$Z)</f>
        <v>2290000</v>
      </c>
    </row>
    <row r="423" spans="1:14" s="7" customFormat="1">
      <c r="A423" s="1" t="s">
        <v>565</v>
      </c>
      <c r="B423" s="3" t="s">
        <v>3</v>
      </c>
      <c r="C423" s="3" t="s">
        <v>300</v>
      </c>
      <c r="D423" s="1" t="s">
        <v>566</v>
      </c>
      <c r="E423" s="7" t="str">
        <f t="shared" si="42"/>
        <v>GSL</v>
      </c>
      <c r="F423" s="7" t="str">
        <f t="shared" si="43"/>
        <v>WOM</v>
      </c>
      <c r="G423" s="7" t="str">
        <f t="shared" si="44"/>
        <v>TSS</v>
      </c>
      <c r="H423" s="7" t="str">
        <f t="shared" si="45"/>
        <v>VNE</v>
      </c>
      <c r="I423" s="7" t="str">
        <f t="shared" si="46"/>
        <v>SMP</v>
      </c>
      <c r="J423" s="7" t="str">
        <f t="shared" si="47"/>
        <v>WHI</v>
      </c>
      <c r="K423" s="7" t="str">
        <f t="shared" si="48"/>
        <v>S</v>
      </c>
      <c r="L423" s="7" t="s">
        <v>2018</v>
      </c>
      <c r="M423" s="7" t="s">
        <v>4462</v>
      </c>
      <c r="N423" s="7">
        <f>_xlfn.XLOOKUP(A423,[1]SKU!$A:$A,[1]SKU!$Z:$Z)</f>
        <v>750000</v>
      </c>
    </row>
    <row r="424" spans="1:14" s="7" customFormat="1">
      <c r="A424" s="1" t="s">
        <v>5021</v>
      </c>
      <c r="B424" s="3" t="s">
        <v>4472</v>
      </c>
      <c r="C424" s="3" t="s">
        <v>567</v>
      </c>
      <c r="D424" s="1" t="s">
        <v>5022</v>
      </c>
      <c r="E424" s="7" t="str">
        <f t="shared" si="42"/>
        <v>MAZ</v>
      </c>
      <c r="F424" s="7" t="str">
        <f t="shared" si="43"/>
        <v>UNI</v>
      </c>
      <c r="G424" s="7" t="str">
        <f t="shared" si="44"/>
        <v>SOU</v>
      </c>
      <c r="H424" s="7" t="str">
        <f t="shared" si="45"/>
        <v>GAM</v>
      </c>
      <c r="I424" s="7" t="str">
        <f t="shared" si="46"/>
        <v>HNY</v>
      </c>
      <c r="J424" s="7" t="str">
        <f t="shared" si="47"/>
        <v>WOE</v>
      </c>
      <c r="K424" s="7" t="str">
        <f t="shared" si="48"/>
        <v>0</v>
      </c>
      <c r="L424" s="7">
        <v>0</v>
      </c>
      <c r="M424" s="7" t="s">
        <v>2609</v>
      </c>
      <c r="N424" s="7">
        <f>_xlfn.XLOOKUP(A424,[1]SKU!$A:$A,[1]SKU!$Z:$Z)</f>
        <v>3890000</v>
      </c>
    </row>
    <row r="425" spans="1:14" s="7" customFormat="1">
      <c r="A425" s="1" t="s">
        <v>5023</v>
      </c>
      <c r="B425" s="3" t="s">
        <v>4472</v>
      </c>
      <c r="C425" s="3" t="s">
        <v>568</v>
      </c>
      <c r="D425" s="1" t="s">
        <v>5024</v>
      </c>
      <c r="E425" s="7" t="str">
        <f t="shared" si="42"/>
        <v>ODE</v>
      </c>
      <c r="F425" s="7" t="str">
        <f t="shared" si="43"/>
        <v>UNI</v>
      </c>
      <c r="G425" s="7" t="str">
        <f t="shared" si="44"/>
        <v>COS</v>
      </c>
      <c r="H425" s="7" t="str">
        <f t="shared" si="45"/>
        <v>FCE</v>
      </c>
      <c r="I425" s="7" t="str">
        <f t="shared" si="46"/>
        <v>B03</v>
      </c>
      <c r="J425" s="7" t="str">
        <f t="shared" si="47"/>
        <v>NON</v>
      </c>
      <c r="K425" s="7" t="str">
        <f t="shared" si="48"/>
        <v>0</v>
      </c>
      <c r="L425" s="7">
        <v>0</v>
      </c>
      <c r="M425" s="7" t="s">
        <v>2609</v>
      </c>
      <c r="N425" s="7">
        <f>_xlfn.XLOOKUP(A425,[1]SKU!$A:$A,[1]SKU!$Z:$Z)</f>
        <v>355000</v>
      </c>
    </row>
    <row r="426" spans="1:14" s="7" customFormat="1">
      <c r="A426" s="1" t="s">
        <v>569</v>
      </c>
      <c r="B426" s="3" t="s">
        <v>3</v>
      </c>
      <c r="C426" s="3" t="s">
        <v>137</v>
      </c>
      <c r="D426" s="1" t="s">
        <v>570</v>
      </c>
      <c r="E426" s="7" t="str">
        <f t="shared" si="42"/>
        <v>GOR</v>
      </c>
      <c r="F426" s="7" t="str">
        <f t="shared" si="43"/>
        <v>MEN</v>
      </c>
      <c r="G426" s="7" t="str">
        <f t="shared" si="44"/>
        <v>TSS</v>
      </c>
      <c r="H426" s="7" t="str">
        <f t="shared" si="45"/>
        <v>ONE</v>
      </c>
      <c r="I426" s="7" t="str">
        <f t="shared" si="46"/>
        <v>HHA</v>
      </c>
      <c r="J426" s="7" t="str">
        <f t="shared" si="47"/>
        <v>WHI</v>
      </c>
      <c r="K426" s="7" t="str">
        <f t="shared" si="48"/>
        <v>S</v>
      </c>
      <c r="L426" s="7" t="s">
        <v>2018</v>
      </c>
      <c r="M426" s="7" t="s">
        <v>4462</v>
      </c>
      <c r="N426" s="7">
        <f>_xlfn.XLOOKUP(A426,[1]SKU!$A:$A,[1]SKU!$Z:$Z)</f>
        <v>990000</v>
      </c>
    </row>
    <row r="427" spans="1:14" s="7" customFormat="1">
      <c r="A427" s="1" t="s">
        <v>571</v>
      </c>
      <c r="B427" s="3" t="s">
        <v>3</v>
      </c>
      <c r="C427" s="3" t="s">
        <v>572</v>
      </c>
      <c r="D427" s="1" t="s">
        <v>573</v>
      </c>
      <c r="E427" s="7" t="str">
        <f t="shared" si="42"/>
        <v>GOR</v>
      </c>
      <c r="F427" s="7" t="str">
        <f t="shared" si="43"/>
        <v>KID</v>
      </c>
      <c r="G427" s="7" t="str">
        <f t="shared" si="44"/>
        <v>TSS</v>
      </c>
      <c r="H427" s="7" t="str">
        <f t="shared" si="45"/>
        <v>ONE</v>
      </c>
      <c r="I427" s="7" t="str">
        <f t="shared" si="46"/>
        <v>SDS</v>
      </c>
      <c r="J427" s="7" t="str">
        <f t="shared" si="47"/>
        <v>WHI</v>
      </c>
      <c r="K427" s="7" t="str">
        <f t="shared" si="48"/>
        <v>10</v>
      </c>
      <c r="L427" s="7" t="s">
        <v>2018</v>
      </c>
      <c r="M427" s="7" t="s">
        <v>4462</v>
      </c>
      <c r="N427" s="7">
        <f>_xlfn.XLOOKUP(A427,[1]SKU!$A:$A,[1]SKU!$Z:$Z)</f>
        <v>590000</v>
      </c>
    </row>
    <row r="428" spans="1:14" s="7" customFormat="1">
      <c r="A428" s="1" t="s">
        <v>574</v>
      </c>
      <c r="B428" s="3" t="s">
        <v>3</v>
      </c>
      <c r="C428" s="3" t="s">
        <v>33</v>
      </c>
      <c r="D428" s="1" t="s">
        <v>575</v>
      </c>
      <c r="E428" s="7" t="str">
        <f t="shared" si="42"/>
        <v>GSL</v>
      </c>
      <c r="F428" s="7" t="str">
        <f t="shared" si="43"/>
        <v>WOM</v>
      </c>
      <c r="G428" s="7" t="str">
        <f t="shared" si="44"/>
        <v>TSS</v>
      </c>
      <c r="H428" s="7" t="str">
        <f t="shared" si="45"/>
        <v>VNE</v>
      </c>
      <c r="I428" s="7" t="str">
        <f t="shared" si="46"/>
        <v>VTM</v>
      </c>
      <c r="J428" s="7" t="str">
        <f t="shared" si="47"/>
        <v>WHI</v>
      </c>
      <c r="K428" s="7" t="str">
        <f t="shared" si="48"/>
        <v>M</v>
      </c>
      <c r="L428" s="7" t="s">
        <v>2018</v>
      </c>
      <c r="M428" s="7" t="s">
        <v>4462</v>
      </c>
      <c r="N428" s="7">
        <f>_xlfn.XLOOKUP(A428,[1]SKU!$A:$A,[1]SKU!$Z:$Z)</f>
        <v>750000</v>
      </c>
    </row>
    <row r="429" spans="1:14" s="7" customFormat="1">
      <c r="A429" s="1" t="s">
        <v>576</v>
      </c>
      <c r="B429" s="3" t="s">
        <v>3</v>
      </c>
      <c r="C429" s="3" t="s">
        <v>572</v>
      </c>
      <c r="D429" s="1" t="s">
        <v>577</v>
      </c>
      <c r="E429" s="7" t="str">
        <f t="shared" si="42"/>
        <v>GOR</v>
      </c>
      <c r="F429" s="7" t="str">
        <f t="shared" si="43"/>
        <v>KID</v>
      </c>
      <c r="G429" s="7" t="str">
        <f t="shared" si="44"/>
        <v>TSS</v>
      </c>
      <c r="H429" s="7" t="str">
        <f t="shared" si="45"/>
        <v>ONE</v>
      </c>
      <c r="I429" s="7" t="str">
        <f t="shared" si="46"/>
        <v>SDS</v>
      </c>
      <c r="J429" s="7" t="str">
        <f t="shared" si="47"/>
        <v>WHI</v>
      </c>
      <c r="K429" s="7" t="str">
        <f t="shared" si="48"/>
        <v>8</v>
      </c>
      <c r="L429" s="7" t="s">
        <v>2018</v>
      </c>
      <c r="M429" s="7" t="s">
        <v>4462</v>
      </c>
      <c r="N429" s="7">
        <f>_xlfn.XLOOKUP(A429,[1]SKU!$A:$A,[1]SKU!$Z:$Z)</f>
        <v>590000</v>
      </c>
    </row>
    <row r="430" spans="1:14" s="7" customFormat="1">
      <c r="A430" s="1" t="s">
        <v>578</v>
      </c>
      <c r="B430" s="3" t="s">
        <v>3</v>
      </c>
      <c r="C430" s="3" t="s">
        <v>45</v>
      </c>
      <c r="D430" s="1" t="s">
        <v>579</v>
      </c>
      <c r="E430" s="7" t="str">
        <f t="shared" si="42"/>
        <v>GBA</v>
      </c>
      <c r="F430" s="7" t="str">
        <f t="shared" si="43"/>
        <v>MEN</v>
      </c>
      <c r="G430" s="7" t="str">
        <f t="shared" si="44"/>
        <v>TSS</v>
      </c>
      <c r="H430" s="7" t="str">
        <f t="shared" si="45"/>
        <v>ONE</v>
      </c>
      <c r="I430" s="7" t="str">
        <f t="shared" si="46"/>
        <v>DDU</v>
      </c>
      <c r="J430" s="7" t="str">
        <f t="shared" si="47"/>
        <v>GRE</v>
      </c>
      <c r="K430" s="7" t="str">
        <f t="shared" si="48"/>
        <v>XL</v>
      </c>
      <c r="L430" s="7" t="s">
        <v>2018</v>
      </c>
      <c r="M430" s="7" t="s">
        <v>4462</v>
      </c>
      <c r="N430" s="7">
        <f>_xlfn.XLOOKUP(A430,[1]SKU!$A:$A,[1]SKU!$Z:$Z)</f>
        <v>710000</v>
      </c>
    </row>
    <row r="431" spans="1:14" s="7" customFormat="1">
      <c r="A431" s="1" t="s">
        <v>580</v>
      </c>
      <c r="B431" s="3" t="s">
        <v>3</v>
      </c>
      <c r="C431" s="3" t="s">
        <v>268</v>
      </c>
      <c r="D431" s="1" t="s">
        <v>581</v>
      </c>
      <c r="E431" s="7" t="str">
        <f t="shared" si="42"/>
        <v>GBA</v>
      </c>
      <c r="F431" s="7" t="str">
        <f t="shared" si="43"/>
        <v>MEN</v>
      </c>
      <c r="G431" s="7" t="str">
        <f t="shared" si="44"/>
        <v>TSS</v>
      </c>
      <c r="H431" s="7" t="str">
        <f t="shared" si="45"/>
        <v>ONE</v>
      </c>
      <c r="I431" s="7" t="str">
        <f t="shared" si="46"/>
        <v>SSY</v>
      </c>
      <c r="J431" s="7" t="str">
        <f t="shared" si="47"/>
        <v>GRE</v>
      </c>
      <c r="K431" s="7" t="str">
        <f t="shared" si="48"/>
        <v>S</v>
      </c>
      <c r="L431" s="7" t="s">
        <v>2018</v>
      </c>
      <c r="M431" s="7" t="s">
        <v>4462</v>
      </c>
      <c r="N431" s="7">
        <f>_xlfn.XLOOKUP(A431,[1]SKU!$A:$A,[1]SKU!$Z:$Z)</f>
        <v>710000</v>
      </c>
    </row>
    <row r="432" spans="1:14" s="7" customFormat="1">
      <c r="A432" s="1" t="s">
        <v>582</v>
      </c>
      <c r="B432" s="3" t="s">
        <v>19</v>
      </c>
      <c r="C432" s="3" t="s">
        <v>405</v>
      </c>
      <c r="D432" s="1" t="s">
        <v>583</v>
      </c>
      <c r="E432" s="7" t="str">
        <f t="shared" si="42"/>
        <v>OTH</v>
      </c>
      <c r="F432" s="7" t="str">
        <f t="shared" si="43"/>
        <v>UNI</v>
      </c>
      <c r="G432" s="7" t="str">
        <f t="shared" si="44"/>
        <v>SOU</v>
      </c>
      <c r="H432" s="7" t="str">
        <f t="shared" si="45"/>
        <v>POS</v>
      </c>
      <c r="I432" s="7" t="str">
        <f t="shared" si="46"/>
        <v>MIX</v>
      </c>
      <c r="J432" s="7" t="str">
        <f t="shared" si="47"/>
        <v>MIX</v>
      </c>
      <c r="K432" s="7" t="str">
        <f t="shared" si="48"/>
        <v>S</v>
      </c>
      <c r="L432" s="7">
        <v>0</v>
      </c>
      <c r="M432" s="7" t="s">
        <v>2609</v>
      </c>
      <c r="N432" s="7">
        <f>_xlfn.XLOOKUP(A432,[1]SKU!$A:$A,[1]SKU!$Z:$Z)</f>
        <v>35000</v>
      </c>
    </row>
    <row r="433" spans="1:14" s="7" customFormat="1">
      <c r="A433" s="1" t="s">
        <v>582</v>
      </c>
      <c r="B433" s="3" t="s">
        <v>19</v>
      </c>
      <c r="C433" s="3" t="s">
        <v>584</v>
      </c>
      <c r="D433" s="1" t="s">
        <v>583</v>
      </c>
      <c r="E433" s="7" t="str">
        <f t="shared" si="42"/>
        <v>OTH</v>
      </c>
      <c r="F433" s="7" t="str">
        <f t="shared" si="43"/>
        <v>UNI</v>
      </c>
      <c r="G433" s="7" t="str">
        <f t="shared" si="44"/>
        <v>SOU</v>
      </c>
      <c r="H433" s="7" t="str">
        <f t="shared" si="45"/>
        <v>POS</v>
      </c>
      <c r="I433" s="7" t="str">
        <f t="shared" si="46"/>
        <v>MIX</v>
      </c>
      <c r="J433" s="7" t="str">
        <f t="shared" si="47"/>
        <v>MIX</v>
      </c>
      <c r="K433" s="7" t="str">
        <f t="shared" si="48"/>
        <v>S</v>
      </c>
      <c r="L433" s="7">
        <v>0</v>
      </c>
      <c r="M433" s="7" t="s">
        <v>2609</v>
      </c>
      <c r="N433" s="7">
        <f>_xlfn.XLOOKUP(A433,[1]SKU!$A:$A,[1]SKU!$Z:$Z)</f>
        <v>35000</v>
      </c>
    </row>
    <row r="434" spans="1:14" s="7" customFormat="1">
      <c r="A434" s="1" t="s">
        <v>582</v>
      </c>
      <c r="B434" s="3" t="s">
        <v>19</v>
      </c>
      <c r="C434" s="3" t="s">
        <v>585</v>
      </c>
      <c r="D434" s="1" t="s">
        <v>583</v>
      </c>
      <c r="E434" s="7" t="str">
        <f t="shared" si="42"/>
        <v>OTH</v>
      </c>
      <c r="F434" s="7" t="str">
        <f t="shared" si="43"/>
        <v>UNI</v>
      </c>
      <c r="G434" s="7" t="str">
        <f t="shared" si="44"/>
        <v>SOU</v>
      </c>
      <c r="H434" s="7" t="str">
        <f t="shared" si="45"/>
        <v>POS</v>
      </c>
      <c r="I434" s="7" t="str">
        <f t="shared" si="46"/>
        <v>MIX</v>
      </c>
      <c r="J434" s="7" t="str">
        <f t="shared" si="47"/>
        <v>MIX</v>
      </c>
      <c r="K434" s="7" t="str">
        <f t="shared" si="48"/>
        <v>S</v>
      </c>
      <c r="L434" s="7">
        <v>0</v>
      </c>
      <c r="M434" s="7" t="s">
        <v>2609</v>
      </c>
      <c r="N434" s="7">
        <f>_xlfn.XLOOKUP(A434,[1]SKU!$A:$A,[1]SKU!$Z:$Z)</f>
        <v>35000</v>
      </c>
    </row>
    <row r="435" spans="1:14" s="7" customFormat="1">
      <c r="A435" s="1" t="s">
        <v>582</v>
      </c>
      <c r="B435" s="3" t="s">
        <v>19</v>
      </c>
      <c r="C435" s="3" t="s">
        <v>586</v>
      </c>
      <c r="D435" s="1" t="s">
        <v>583</v>
      </c>
      <c r="E435" s="7" t="str">
        <f t="shared" si="42"/>
        <v>OTH</v>
      </c>
      <c r="F435" s="7" t="str">
        <f t="shared" si="43"/>
        <v>UNI</v>
      </c>
      <c r="G435" s="7" t="str">
        <f t="shared" si="44"/>
        <v>SOU</v>
      </c>
      <c r="H435" s="7" t="str">
        <f t="shared" si="45"/>
        <v>POS</v>
      </c>
      <c r="I435" s="7" t="str">
        <f t="shared" si="46"/>
        <v>MIX</v>
      </c>
      <c r="J435" s="7" t="str">
        <f t="shared" si="47"/>
        <v>MIX</v>
      </c>
      <c r="K435" s="7" t="str">
        <f t="shared" si="48"/>
        <v>S</v>
      </c>
      <c r="L435" s="7">
        <v>0</v>
      </c>
      <c r="M435" s="7" t="s">
        <v>2609</v>
      </c>
      <c r="N435" s="7">
        <f>_xlfn.XLOOKUP(A435,[1]SKU!$A:$A,[1]SKU!$Z:$Z)</f>
        <v>35000</v>
      </c>
    </row>
    <row r="436" spans="1:14" s="7" customFormat="1">
      <c r="A436" s="1" t="s">
        <v>582</v>
      </c>
      <c r="B436" s="3" t="s">
        <v>19</v>
      </c>
      <c r="C436" s="3" t="s">
        <v>587</v>
      </c>
      <c r="D436" s="1" t="s">
        <v>583</v>
      </c>
      <c r="E436" s="7" t="str">
        <f t="shared" si="42"/>
        <v>OTH</v>
      </c>
      <c r="F436" s="7" t="str">
        <f t="shared" si="43"/>
        <v>UNI</v>
      </c>
      <c r="G436" s="7" t="str">
        <f t="shared" si="44"/>
        <v>SOU</v>
      </c>
      <c r="H436" s="7" t="str">
        <f t="shared" si="45"/>
        <v>POS</v>
      </c>
      <c r="I436" s="7" t="str">
        <f t="shared" si="46"/>
        <v>MIX</v>
      </c>
      <c r="J436" s="7" t="str">
        <f t="shared" si="47"/>
        <v>MIX</v>
      </c>
      <c r="K436" s="7" t="str">
        <f t="shared" si="48"/>
        <v>S</v>
      </c>
      <c r="L436" s="7">
        <v>0</v>
      </c>
      <c r="M436" s="7" t="s">
        <v>2609</v>
      </c>
      <c r="N436" s="7">
        <f>_xlfn.XLOOKUP(A436,[1]SKU!$A:$A,[1]SKU!$Z:$Z)</f>
        <v>35000</v>
      </c>
    </row>
    <row r="437" spans="1:14" s="7" customFormat="1">
      <c r="A437" s="1" t="s">
        <v>582</v>
      </c>
      <c r="B437" s="3" t="s">
        <v>19</v>
      </c>
      <c r="C437" s="3" t="s">
        <v>588</v>
      </c>
      <c r="D437" s="1" t="s">
        <v>583</v>
      </c>
      <c r="E437" s="7" t="str">
        <f t="shared" si="42"/>
        <v>OTH</v>
      </c>
      <c r="F437" s="7" t="str">
        <f t="shared" si="43"/>
        <v>UNI</v>
      </c>
      <c r="G437" s="7" t="str">
        <f t="shared" si="44"/>
        <v>SOU</v>
      </c>
      <c r="H437" s="7" t="str">
        <f t="shared" si="45"/>
        <v>POS</v>
      </c>
      <c r="I437" s="7" t="str">
        <f t="shared" si="46"/>
        <v>MIX</v>
      </c>
      <c r="J437" s="7" t="str">
        <f t="shared" si="47"/>
        <v>MIX</v>
      </c>
      <c r="K437" s="7" t="str">
        <f t="shared" si="48"/>
        <v>S</v>
      </c>
      <c r="L437" s="7">
        <v>0</v>
      </c>
      <c r="M437" s="7" t="s">
        <v>2609</v>
      </c>
      <c r="N437" s="7">
        <f>_xlfn.XLOOKUP(A437,[1]SKU!$A:$A,[1]SKU!$Z:$Z)</f>
        <v>35000</v>
      </c>
    </row>
    <row r="438" spans="1:14" s="7" customFormat="1">
      <c r="A438" s="1" t="s">
        <v>582</v>
      </c>
      <c r="B438" s="3" t="s">
        <v>19</v>
      </c>
      <c r="C438" s="3" t="s">
        <v>589</v>
      </c>
      <c r="D438" s="1" t="s">
        <v>583</v>
      </c>
      <c r="E438" s="7" t="str">
        <f t="shared" si="42"/>
        <v>OTH</v>
      </c>
      <c r="F438" s="7" t="str">
        <f t="shared" si="43"/>
        <v>UNI</v>
      </c>
      <c r="G438" s="7" t="str">
        <f t="shared" si="44"/>
        <v>SOU</v>
      </c>
      <c r="H438" s="7" t="str">
        <f t="shared" si="45"/>
        <v>POS</v>
      </c>
      <c r="I438" s="7" t="str">
        <f t="shared" si="46"/>
        <v>MIX</v>
      </c>
      <c r="J438" s="7" t="str">
        <f t="shared" si="47"/>
        <v>MIX</v>
      </c>
      <c r="K438" s="7" t="str">
        <f t="shared" si="48"/>
        <v>S</v>
      </c>
      <c r="L438" s="7">
        <v>0</v>
      </c>
      <c r="M438" s="7" t="s">
        <v>2609</v>
      </c>
      <c r="N438" s="7">
        <f>_xlfn.XLOOKUP(A438,[1]SKU!$A:$A,[1]SKU!$Z:$Z)</f>
        <v>35000</v>
      </c>
    </row>
    <row r="439" spans="1:14" s="7" customFormat="1">
      <c r="A439" s="1" t="s">
        <v>582</v>
      </c>
      <c r="B439" s="3" t="s">
        <v>19</v>
      </c>
      <c r="C439" s="3" t="s">
        <v>590</v>
      </c>
      <c r="D439" s="1" t="s">
        <v>583</v>
      </c>
      <c r="E439" s="7" t="str">
        <f t="shared" si="42"/>
        <v>OTH</v>
      </c>
      <c r="F439" s="7" t="str">
        <f t="shared" si="43"/>
        <v>UNI</v>
      </c>
      <c r="G439" s="7" t="str">
        <f t="shared" si="44"/>
        <v>SOU</v>
      </c>
      <c r="H439" s="7" t="str">
        <f t="shared" si="45"/>
        <v>POS</v>
      </c>
      <c r="I439" s="7" t="str">
        <f t="shared" si="46"/>
        <v>MIX</v>
      </c>
      <c r="J439" s="7" t="str">
        <f t="shared" si="47"/>
        <v>MIX</v>
      </c>
      <c r="K439" s="7" t="str">
        <f t="shared" si="48"/>
        <v>S</v>
      </c>
      <c r="L439" s="7">
        <v>0</v>
      </c>
      <c r="M439" s="7" t="s">
        <v>2609</v>
      </c>
      <c r="N439" s="7">
        <f>_xlfn.XLOOKUP(A439,[1]SKU!$A:$A,[1]SKU!$Z:$Z)</f>
        <v>35000</v>
      </c>
    </row>
    <row r="440" spans="1:14" s="7" customFormat="1">
      <c r="A440" s="1" t="s">
        <v>582</v>
      </c>
      <c r="B440" s="3" t="s">
        <v>19</v>
      </c>
      <c r="C440" s="3" t="s">
        <v>591</v>
      </c>
      <c r="D440" s="1" t="s">
        <v>583</v>
      </c>
      <c r="E440" s="7" t="str">
        <f t="shared" si="42"/>
        <v>OTH</v>
      </c>
      <c r="F440" s="7" t="str">
        <f t="shared" si="43"/>
        <v>UNI</v>
      </c>
      <c r="G440" s="7" t="str">
        <f t="shared" si="44"/>
        <v>SOU</v>
      </c>
      <c r="H440" s="7" t="str">
        <f t="shared" si="45"/>
        <v>POS</v>
      </c>
      <c r="I440" s="7" t="str">
        <f t="shared" si="46"/>
        <v>MIX</v>
      </c>
      <c r="J440" s="7" t="str">
        <f t="shared" si="47"/>
        <v>MIX</v>
      </c>
      <c r="K440" s="7" t="str">
        <f t="shared" si="48"/>
        <v>S</v>
      </c>
      <c r="L440" s="7">
        <v>0</v>
      </c>
      <c r="M440" s="7" t="s">
        <v>2609</v>
      </c>
      <c r="N440" s="7">
        <f>_xlfn.XLOOKUP(A440,[1]SKU!$A:$A,[1]SKU!$Z:$Z)</f>
        <v>35000</v>
      </c>
    </row>
    <row r="441" spans="1:14" s="7" customFormat="1">
      <c r="A441" s="1" t="s">
        <v>582</v>
      </c>
      <c r="B441" s="3" t="s">
        <v>19</v>
      </c>
      <c r="C441" s="3" t="s">
        <v>592</v>
      </c>
      <c r="D441" s="1" t="s">
        <v>583</v>
      </c>
      <c r="E441" s="7" t="str">
        <f t="shared" si="42"/>
        <v>OTH</v>
      </c>
      <c r="F441" s="7" t="str">
        <f t="shared" si="43"/>
        <v>UNI</v>
      </c>
      <c r="G441" s="7" t="str">
        <f t="shared" si="44"/>
        <v>SOU</v>
      </c>
      <c r="H441" s="7" t="str">
        <f t="shared" si="45"/>
        <v>POS</v>
      </c>
      <c r="I441" s="7" t="str">
        <f t="shared" si="46"/>
        <v>MIX</v>
      </c>
      <c r="J441" s="7" t="str">
        <f t="shared" si="47"/>
        <v>MIX</v>
      </c>
      <c r="K441" s="7" t="str">
        <f t="shared" si="48"/>
        <v>S</v>
      </c>
      <c r="L441" s="7">
        <v>0</v>
      </c>
      <c r="M441" s="7" t="s">
        <v>2609</v>
      </c>
      <c r="N441" s="7">
        <f>_xlfn.XLOOKUP(A441,[1]SKU!$A:$A,[1]SKU!$Z:$Z)</f>
        <v>35000</v>
      </c>
    </row>
    <row r="442" spans="1:14" s="7" customFormat="1">
      <c r="A442" s="1" t="s">
        <v>582</v>
      </c>
      <c r="B442" s="3" t="s">
        <v>19</v>
      </c>
      <c r="C442" s="3" t="s">
        <v>593</v>
      </c>
      <c r="D442" s="1" t="s">
        <v>583</v>
      </c>
      <c r="E442" s="7" t="str">
        <f t="shared" si="42"/>
        <v>OTH</v>
      </c>
      <c r="F442" s="7" t="str">
        <f t="shared" si="43"/>
        <v>UNI</v>
      </c>
      <c r="G442" s="7" t="str">
        <f t="shared" si="44"/>
        <v>SOU</v>
      </c>
      <c r="H442" s="7" t="str">
        <f t="shared" si="45"/>
        <v>POS</v>
      </c>
      <c r="I442" s="7" t="str">
        <f t="shared" si="46"/>
        <v>MIX</v>
      </c>
      <c r="J442" s="7" t="str">
        <f t="shared" si="47"/>
        <v>MIX</v>
      </c>
      <c r="K442" s="7" t="str">
        <f t="shared" si="48"/>
        <v>S</v>
      </c>
      <c r="L442" s="7">
        <v>0</v>
      </c>
      <c r="M442" s="7" t="s">
        <v>2609</v>
      </c>
      <c r="N442" s="7">
        <f>_xlfn.XLOOKUP(A442,[1]SKU!$A:$A,[1]SKU!$Z:$Z)</f>
        <v>35000</v>
      </c>
    </row>
    <row r="443" spans="1:14" s="7" customFormat="1">
      <c r="A443" s="1" t="s">
        <v>5025</v>
      </c>
      <c r="B443" s="3" t="s">
        <v>4472</v>
      </c>
      <c r="C443" s="3" t="s">
        <v>5026</v>
      </c>
      <c r="D443" s="1" t="s">
        <v>5027</v>
      </c>
      <c r="E443" s="7" t="str">
        <f t="shared" si="42"/>
        <v>EDE</v>
      </c>
      <c r="F443" s="7" t="str">
        <f t="shared" si="43"/>
        <v>UNI</v>
      </c>
      <c r="G443" s="7" t="str">
        <f t="shared" si="44"/>
        <v>BAG</v>
      </c>
      <c r="H443" s="7" t="str">
        <f t="shared" si="45"/>
        <v>TTB</v>
      </c>
      <c r="I443" s="7" t="str">
        <f t="shared" si="46"/>
        <v>ANH</v>
      </c>
      <c r="J443" s="7" t="str">
        <f t="shared" si="47"/>
        <v>YEL</v>
      </c>
      <c r="K443" s="7" t="str">
        <f t="shared" si="48"/>
        <v>0</v>
      </c>
      <c r="L443" s="7">
        <v>0</v>
      </c>
      <c r="M443" s="7" t="s">
        <v>2609</v>
      </c>
      <c r="N443" s="7">
        <f>_xlfn.XLOOKUP(A443,[1]SKU!$A:$A,[1]SKU!$Z:$Z)</f>
        <v>470000</v>
      </c>
    </row>
    <row r="444" spans="1:14" s="7" customFormat="1">
      <c r="A444" s="1" t="s">
        <v>5028</v>
      </c>
      <c r="B444" s="3" t="s">
        <v>4472</v>
      </c>
      <c r="C444" s="3" t="s">
        <v>209</v>
      </c>
      <c r="D444" s="1" t="s">
        <v>5029</v>
      </c>
      <c r="E444" s="7" t="str">
        <f t="shared" si="42"/>
        <v>DSP</v>
      </c>
      <c r="F444" s="7" t="str">
        <f t="shared" si="43"/>
        <v>UNI</v>
      </c>
      <c r="G444" s="7" t="str">
        <f t="shared" si="44"/>
        <v>BAG</v>
      </c>
      <c r="H444" s="7" t="str">
        <f t="shared" si="45"/>
        <v>CLU</v>
      </c>
      <c r="I444" s="7" t="str">
        <f t="shared" si="46"/>
        <v>CHA</v>
      </c>
      <c r="J444" s="7" t="str">
        <f t="shared" si="47"/>
        <v>BLK</v>
      </c>
      <c r="K444" s="7" t="str">
        <f t="shared" si="48"/>
        <v>0</v>
      </c>
      <c r="L444" s="7">
        <v>0</v>
      </c>
      <c r="M444" s="7" t="s">
        <v>2609</v>
      </c>
      <c r="N444" s="7">
        <f>_xlfn.XLOOKUP(A444,[1]SKU!$A:$A,[1]SKU!$Z:$Z)</f>
        <v>1300000</v>
      </c>
    </row>
    <row r="445" spans="1:14" s="7" customFormat="1">
      <c r="A445" s="1" t="s">
        <v>5030</v>
      </c>
      <c r="B445" s="3" t="s">
        <v>4472</v>
      </c>
      <c r="C445" s="8" t="s">
        <v>94</v>
      </c>
      <c r="D445" s="1" t="s">
        <v>5031</v>
      </c>
      <c r="E445" s="7" t="str">
        <f t="shared" si="42"/>
        <v>NGO</v>
      </c>
      <c r="F445" s="7" t="str">
        <f t="shared" si="43"/>
        <v>UNI</v>
      </c>
      <c r="G445" s="7" t="str">
        <f t="shared" si="44"/>
        <v>FWR</v>
      </c>
      <c r="H445" s="7" t="str">
        <f t="shared" si="45"/>
        <v>SNE</v>
      </c>
      <c r="I445" s="7" t="str">
        <f t="shared" si="46"/>
        <v>SGS</v>
      </c>
      <c r="J445" s="7" t="str">
        <f t="shared" si="47"/>
        <v>LYC</v>
      </c>
      <c r="K445" s="7" t="str">
        <f t="shared" si="48"/>
        <v>42</v>
      </c>
      <c r="L445" s="7">
        <v>0</v>
      </c>
      <c r="M445" s="7" t="s">
        <v>2609</v>
      </c>
      <c r="N445" s="7">
        <f>_xlfn.XLOOKUP(A445,[1]SKU!$A:$A,[1]SKU!$Z:$Z)</f>
        <v>3850000</v>
      </c>
    </row>
    <row r="446" spans="1:14" s="7" customFormat="1">
      <c r="A446" s="1" t="s">
        <v>594</v>
      </c>
      <c r="B446" s="3" t="s">
        <v>3</v>
      </c>
      <c r="C446" s="8" t="s">
        <v>38</v>
      </c>
      <c r="D446" s="1" t="s">
        <v>595</v>
      </c>
      <c r="E446" s="7" t="str">
        <f t="shared" si="42"/>
        <v>GSP</v>
      </c>
      <c r="F446" s="7" t="str">
        <f t="shared" si="43"/>
        <v>MEN</v>
      </c>
      <c r="G446" s="7" t="str">
        <f t="shared" si="44"/>
        <v>POL</v>
      </c>
      <c r="H446" s="7" t="str">
        <f t="shared" si="45"/>
        <v>MAN</v>
      </c>
      <c r="I446" s="7" t="str">
        <f t="shared" si="46"/>
        <v>LOG</v>
      </c>
      <c r="J446" s="7" t="str">
        <f t="shared" si="47"/>
        <v>BLK</v>
      </c>
      <c r="K446" s="7" t="str">
        <f t="shared" si="48"/>
        <v>M</v>
      </c>
      <c r="L446" s="7" t="s">
        <v>1995</v>
      </c>
      <c r="M446" s="7" t="s">
        <v>4468</v>
      </c>
      <c r="N446" s="7">
        <f>_xlfn.XLOOKUP(A446,[1]SKU!$A:$A,[1]SKU!$Z:$Z)</f>
        <v>1090000</v>
      </c>
    </row>
    <row r="447" spans="1:14" s="7" customFormat="1">
      <c r="A447" s="1" t="s">
        <v>5032</v>
      </c>
      <c r="B447" s="3" t="s">
        <v>4472</v>
      </c>
      <c r="C447" s="8" t="s">
        <v>5033</v>
      </c>
      <c r="D447" s="1" t="s">
        <v>5034</v>
      </c>
      <c r="E447" s="7" t="str">
        <f t="shared" si="42"/>
        <v>HAM</v>
      </c>
      <c r="F447" s="7" t="str">
        <f t="shared" si="43"/>
        <v>UNI</v>
      </c>
      <c r="G447" s="7" t="str">
        <f t="shared" si="44"/>
        <v>JEW</v>
      </c>
      <c r="H447" s="7" t="str">
        <f t="shared" si="45"/>
        <v>EAR</v>
      </c>
      <c r="I447" s="7" t="str">
        <f t="shared" si="46"/>
        <v>33G</v>
      </c>
      <c r="J447" s="7" t="str">
        <f t="shared" si="47"/>
        <v>MIX</v>
      </c>
      <c r="K447" s="7" t="str">
        <f t="shared" si="48"/>
        <v>0</v>
      </c>
      <c r="L447" s="7">
        <v>0</v>
      </c>
      <c r="M447" s="7" t="s">
        <v>2609</v>
      </c>
      <c r="N447" s="7">
        <f>_xlfn.XLOOKUP(A447,[1]SKU!$A:$A,[1]SKU!$Z:$Z)</f>
        <v>600000</v>
      </c>
    </row>
    <row r="448" spans="1:14" s="7" customFormat="1">
      <c r="A448" s="1" t="s">
        <v>597</v>
      </c>
      <c r="B448" s="3" t="s">
        <v>3</v>
      </c>
      <c r="C448" s="8" t="s">
        <v>110</v>
      </c>
      <c r="D448" s="1" t="s">
        <v>598</v>
      </c>
      <c r="E448" s="7" t="str">
        <f t="shared" si="42"/>
        <v>GBA</v>
      </c>
      <c r="F448" s="7" t="str">
        <f t="shared" si="43"/>
        <v>KID</v>
      </c>
      <c r="G448" s="7" t="str">
        <f t="shared" si="44"/>
        <v>TSS</v>
      </c>
      <c r="H448" s="7" t="str">
        <f t="shared" si="45"/>
        <v>ONE</v>
      </c>
      <c r="I448" s="7" t="str">
        <f t="shared" si="46"/>
        <v>TLT</v>
      </c>
      <c r="J448" s="7" t="str">
        <f t="shared" si="47"/>
        <v>BLK</v>
      </c>
      <c r="K448" s="7" t="str">
        <f t="shared" si="48"/>
        <v>6</v>
      </c>
      <c r="L448" s="7" t="s">
        <v>2018</v>
      </c>
      <c r="M448" s="7" t="s">
        <v>4462</v>
      </c>
      <c r="N448" s="7">
        <f>_xlfn.XLOOKUP(A448,[1]SKU!$A:$A,[1]SKU!$Z:$Z)</f>
        <v>550000</v>
      </c>
    </row>
    <row r="449" spans="1:14" s="7" customFormat="1">
      <c r="A449" s="1" t="s">
        <v>599</v>
      </c>
      <c r="B449" s="3" t="s">
        <v>3</v>
      </c>
      <c r="C449" s="3" t="s">
        <v>167</v>
      </c>
      <c r="D449" s="1" t="s">
        <v>600</v>
      </c>
      <c r="E449" s="7" t="str">
        <f t="shared" si="42"/>
        <v>GOR</v>
      </c>
      <c r="F449" s="7" t="str">
        <f t="shared" si="43"/>
        <v>MEN</v>
      </c>
      <c r="G449" s="7" t="str">
        <f t="shared" si="44"/>
        <v>TSP</v>
      </c>
      <c r="H449" s="7" t="str">
        <f t="shared" si="45"/>
        <v>ONE</v>
      </c>
      <c r="I449" s="7" t="str">
        <f t="shared" si="46"/>
        <v>TJM</v>
      </c>
      <c r="J449" s="7" t="str">
        <f t="shared" si="47"/>
        <v>OLI</v>
      </c>
      <c r="K449" s="7" t="str">
        <f t="shared" si="48"/>
        <v>M</v>
      </c>
      <c r="L449" s="7" t="s">
        <v>2085</v>
      </c>
      <c r="M449" s="7" t="s">
        <v>4462</v>
      </c>
      <c r="N449" s="7">
        <f>_xlfn.XLOOKUP(A449,[1]SKU!$A:$A,[1]SKU!$Z:$Z)</f>
        <v>790000</v>
      </c>
    </row>
    <row r="450" spans="1:14" s="7" customFormat="1">
      <c r="A450" s="1" t="s">
        <v>601</v>
      </c>
      <c r="B450" s="3" t="s">
        <v>3</v>
      </c>
      <c r="C450" s="3" t="s">
        <v>572</v>
      </c>
      <c r="D450" s="1" t="s">
        <v>602</v>
      </c>
      <c r="E450" s="7" t="str">
        <f t="shared" si="42"/>
        <v>GOR</v>
      </c>
      <c r="F450" s="7" t="str">
        <f t="shared" si="43"/>
        <v>KID</v>
      </c>
      <c r="G450" s="7" t="str">
        <f t="shared" si="44"/>
        <v>TSS</v>
      </c>
      <c r="H450" s="7" t="str">
        <f t="shared" si="45"/>
        <v>ONE</v>
      </c>
      <c r="I450" s="7" t="str">
        <f t="shared" si="46"/>
        <v>SDS</v>
      </c>
      <c r="J450" s="7" t="str">
        <f t="shared" si="47"/>
        <v>WHI</v>
      </c>
      <c r="K450" s="7" t="str">
        <f t="shared" si="48"/>
        <v>2</v>
      </c>
      <c r="L450" s="7" t="s">
        <v>2018</v>
      </c>
      <c r="M450" s="7" t="s">
        <v>4462</v>
      </c>
      <c r="N450" s="7">
        <f>_xlfn.XLOOKUP(A450,[1]SKU!$A:$A,[1]SKU!$Z:$Z)</f>
        <v>590000</v>
      </c>
    </row>
    <row r="451" spans="1:14" s="7" customFormat="1">
      <c r="A451" s="1" t="s">
        <v>5035</v>
      </c>
      <c r="B451" s="3" t="s">
        <v>4472</v>
      </c>
      <c r="C451" s="3" t="s">
        <v>209</v>
      </c>
      <c r="D451" s="1" t="s">
        <v>5036</v>
      </c>
      <c r="E451" s="7" t="str">
        <f t="shared" ref="E451:E514" si="49">_xlfn.TEXTBEFORE(_xlfn.TEXTAFTER(D451,"-"),"-")</f>
        <v>DSP</v>
      </c>
      <c r="F451" s="7" t="str">
        <f t="shared" ref="F451:F514" si="50">_xlfn.TEXTBEFORE(_xlfn.TEXTAFTER(D451,"-",2),"-")</f>
        <v>UNI</v>
      </c>
      <c r="G451" s="7" t="str">
        <f t="shared" ref="G451:G514" si="51">_xlfn.TEXTBEFORE(_xlfn.TEXTAFTER(D451,"-",3),"-")</f>
        <v>BAG</v>
      </c>
      <c r="H451" s="7" t="str">
        <f t="shared" ref="H451:H514" si="52">_xlfn.TEXTBEFORE(_xlfn.TEXTAFTER(D451,"-",4),"-")</f>
        <v>CLU</v>
      </c>
      <c r="I451" s="7" t="str">
        <f t="shared" ref="I451:I514" si="53">_xlfn.TEXTBEFORE(_xlfn.TEXTAFTER(D451,"-",5),"-")</f>
        <v>CHA</v>
      </c>
      <c r="J451" s="7" t="str">
        <f t="shared" ref="J451:J514" si="54">_xlfn.TEXTBEFORE(_xlfn.TEXTAFTER(D451,"-",6),"-")</f>
        <v>LDP</v>
      </c>
      <c r="K451" s="7" t="str">
        <f t="shared" ref="K451:K514" si="55">_xlfn.TEXTAFTER(D451,"-",7)</f>
        <v>0</v>
      </c>
      <c r="L451" s="7">
        <v>0</v>
      </c>
      <c r="M451" s="7" t="s">
        <v>2609</v>
      </c>
      <c r="N451" s="7">
        <f>_xlfn.XLOOKUP(A451,[1]SKU!$A:$A,[1]SKU!$Z:$Z)</f>
        <v>1300000</v>
      </c>
    </row>
    <row r="452" spans="1:14" s="7" customFormat="1">
      <c r="A452" s="1" t="s">
        <v>603</v>
      </c>
      <c r="B452" s="3" t="s">
        <v>3</v>
      </c>
      <c r="C452" s="3" t="s">
        <v>45</v>
      </c>
      <c r="D452" s="1" t="s">
        <v>604</v>
      </c>
      <c r="E452" s="7" t="str">
        <f t="shared" si="49"/>
        <v>GOR</v>
      </c>
      <c r="F452" s="7" t="str">
        <f t="shared" si="50"/>
        <v>KID</v>
      </c>
      <c r="G452" s="7" t="str">
        <f t="shared" si="51"/>
        <v>TSS</v>
      </c>
      <c r="H452" s="7" t="str">
        <f t="shared" si="52"/>
        <v>ONE</v>
      </c>
      <c r="I452" s="7" t="str">
        <f t="shared" si="53"/>
        <v>DDU</v>
      </c>
      <c r="J452" s="7" t="str">
        <f t="shared" si="54"/>
        <v>BOR</v>
      </c>
      <c r="K452" s="7" t="str">
        <f t="shared" si="55"/>
        <v>4</v>
      </c>
      <c r="L452" s="7" t="s">
        <v>2018</v>
      </c>
      <c r="M452" s="7" t="s">
        <v>4462</v>
      </c>
      <c r="N452" s="7">
        <f>_xlfn.XLOOKUP(A452,[1]SKU!$A:$A,[1]SKU!$Z:$Z)</f>
        <v>590000</v>
      </c>
    </row>
    <row r="453" spans="1:14" s="7" customFormat="1">
      <c r="A453" s="1" t="s">
        <v>5037</v>
      </c>
      <c r="B453" s="3" t="s">
        <v>4472</v>
      </c>
      <c r="C453" s="3" t="s">
        <v>5038</v>
      </c>
      <c r="D453" s="1" t="s">
        <v>5039</v>
      </c>
      <c r="E453" s="7" t="str">
        <f t="shared" si="49"/>
        <v>DSP</v>
      </c>
      <c r="F453" s="7" t="str">
        <f t="shared" si="50"/>
        <v>UNI</v>
      </c>
      <c r="G453" s="7" t="str">
        <f t="shared" si="51"/>
        <v>BAG</v>
      </c>
      <c r="H453" s="7" t="str">
        <f t="shared" si="52"/>
        <v>CLU</v>
      </c>
      <c r="I453" s="7" t="str">
        <f t="shared" si="53"/>
        <v>AP1</v>
      </c>
      <c r="J453" s="7" t="str">
        <f t="shared" si="54"/>
        <v>CHO</v>
      </c>
      <c r="K453" s="7" t="str">
        <f t="shared" si="55"/>
        <v>0</v>
      </c>
      <c r="L453" s="7">
        <v>0</v>
      </c>
      <c r="M453" s="7" t="s">
        <v>2609</v>
      </c>
      <c r="N453" s="7">
        <f>_xlfn.XLOOKUP(A453,[1]SKU!$A:$A,[1]SKU!$Z:$Z)</f>
        <v>3300000</v>
      </c>
    </row>
    <row r="454" spans="1:14" s="7" customFormat="1">
      <c r="A454" s="1" t="s">
        <v>605</v>
      </c>
      <c r="B454" s="8" t="s">
        <v>3</v>
      </c>
      <c r="C454" s="8" t="s">
        <v>110</v>
      </c>
      <c r="D454" s="1" t="s">
        <v>606</v>
      </c>
      <c r="E454" s="7" t="str">
        <f t="shared" si="49"/>
        <v>GBA</v>
      </c>
      <c r="F454" s="7" t="str">
        <f t="shared" si="50"/>
        <v>MEN</v>
      </c>
      <c r="G454" s="7" t="str">
        <f t="shared" si="51"/>
        <v>TSS</v>
      </c>
      <c r="H454" s="7" t="str">
        <f t="shared" si="52"/>
        <v>ONE</v>
      </c>
      <c r="I454" s="7" t="str">
        <f t="shared" si="53"/>
        <v>TLT</v>
      </c>
      <c r="J454" s="7" t="str">
        <f t="shared" si="54"/>
        <v>BLK</v>
      </c>
      <c r="K454" s="7" t="str">
        <f t="shared" si="55"/>
        <v>XL</v>
      </c>
      <c r="L454" s="7" t="s">
        <v>2018</v>
      </c>
      <c r="M454" s="7" t="s">
        <v>4462</v>
      </c>
      <c r="N454" s="7">
        <f>_xlfn.XLOOKUP(A454,[1]SKU!$A:$A,[1]SKU!$Z:$Z)</f>
        <v>710000</v>
      </c>
    </row>
    <row r="455" spans="1:14" s="7" customFormat="1">
      <c r="A455" s="1" t="s">
        <v>607</v>
      </c>
      <c r="B455" s="8" t="s">
        <v>3</v>
      </c>
      <c r="C455" s="8" t="s">
        <v>29</v>
      </c>
      <c r="D455" s="1" t="s">
        <v>608</v>
      </c>
      <c r="E455" s="7" t="str">
        <f t="shared" si="49"/>
        <v>GSP</v>
      </c>
      <c r="F455" s="7" t="str">
        <f t="shared" si="50"/>
        <v>MEN</v>
      </c>
      <c r="G455" s="7" t="str">
        <f t="shared" si="51"/>
        <v>POL</v>
      </c>
      <c r="H455" s="7" t="str">
        <f t="shared" si="52"/>
        <v>MAN</v>
      </c>
      <c r="I455" s="7" t="str">
        <f t="shared" si="53"/>
        <v>SHU</v>
      </c>
      <c r="J455" s="7" t="str">
        <f t="shared" si="54"/>
        <v>BLK</v>
      </c>
      <c r="K455" s="7" t="str">
        <f t="shared" si="55"/>
        <v>S</v>
      </c>
      <c r="L455" s="7" t="s">
        <v>1995</v>
      </c>
      <c r="M455" s="7" t="s">
        <v>4468</v>
      </c>
      <c r="N455" s="7">
        <f>_xlfn.XLOOKUP(A455,[1]SKU!$A:$A,[1]SKU!$Z:$Z)</f>
        <v>1090000</v>
      </c>
    </row>
    <row r="456" spans="1:14" s="7" customFormat="1">
      <c r="A456" s="1" t="s">
        <v>5040</v>
      </c>
      <c r="B456" s="8" t="s">
        <v>4472</v>
      </c>
      <c r="C456" s="8" t="s">
        <v>4931</v>
      </c>
      <c r="D456" s="1" t="s">
        <v>5041</v>
      </c>
      <c r="E456" s="7" t="str">
        <f t="shared" si="49"/>
        <v>HAM</v>
      </c>
      <c r="F456" s="7" t="str">
        <f t="shared" si="50"/>
        <v>UNI</v>
      </c>
      <c r="G456" s="7" t="str">
        <f t="shared" si="51"/>
        <v>JEW</v>
      </c>
      <c r="H456" s="7" t="str">
        <f t="shared" si="52"/>
        <v>NEC</v>
      </c>
      <c r="I456" s="7" t="str">
        <f t="shared" si="53"/>
        <v>A39</v>
      </c>
      <c r="J456" s="7" t="str">
        <f t="shared" si="54"/>
        <v>MIX</v>
      </c>
      <c r="K456" s="7" t="str">
        <f t="shared" si="55"/>
        <v>0</v>
      </c>
      <c r="L456" s="7">
        <v>0</v>
      </c>
      <c r="M456" s="7" t="s">
        <v>2609</v>
      </c>
      <c r="N456" s="7">
        <f>_xlfn.XLOOKUP(A456,[1]SKU!$A:$A,[1]SKU!$Z:$Z)</f>
        <v>2000000</v>
      </c>
    </row>
    <row r="457" spans="1:14" s="7" customFormat="1">
      <c r="A457" s="1" t="s">
        <v>5042</v>
      </c>
      <c r="B457" s="3" t="s">
        <v>4472</v>
      </c>
      <c r="C457" s="3" t="s">
        <v>171</v>
      </c>
      <c r="D457" s="1" t="s">
        <v>5043</v>
      </c>
      <c r="E457" s="7" t="str">
        <f t="shared" si="49"/>
        <v>DSP</v>
      </c>
      <c r="F457" s="7" t="str">
        <f t="shared" si="50"/>
        <v>UNI</v>
      </c>
      <c r="G457" s="7" t="str">
        <f t="shared" si="51"/>
        <v>FWR</v>
      </c>
      <c r="H457" s="7" t="str">
        <f t="shared" si="52"/>
        <v>SLI</v>
      </c>
      <c r="I457" s="7" t="str">
        <f t="shared" si="53"/>
        <v>MAS</v>
      </c>
      <c r="J457" s="7" t="str">
        <f t="shared" si="54"/>
        <v>DBN</v>
      </c>
      <c r="K457" s="7" t="str">
        <f t="shared" si="55"/>
        <v>39</v>
      </c>
      <c r="L457" s="7">
        <v>0</v>
      </c>
      <c r="M457" s="7" t="s">
        <v>2609</v>
      </c>
      <c r="N457" s="7">
        <f>_xlfn.XLOOKUP(A457,[1]SKU!$A:$A,[1]SKU!$Z:$Z)</f>
        <v>6200000</v>
      </c>
    </row>
    <row r="458" spans="1:14" s="7" customFormat="1">
      <c r="A458" s="1" t="s">
        <v>5044</v>
      </c>
      <c r="B458" s="3" t="s">
        <v>4472</v>
      </c>
      <c r="C458" s="3" t="s">
        <v>4786</v>
      </c>
      <c r="D458" s="1" t="s">
        <v>5045</v>
      </c>
      <c r="E458" s="7" t="str">
        <f t="shared" si="49"/>
        <v>HAM</v>
      </c>
      <c r="F458" s="7" t="str">
        <f t="shared" si="50"/>
        <v>UNI</v>
      </c>
      <c r="G458" s="7" t="str">
        <f t="shared" si="51"/>
        <v>JEW</v>
      </c>
      <c r="H458" s="7" t="str">
        <f t="shared" si="52"/>
        <v>NEC</v>
      </c>
      <c r="I458" s="7" t="str">
        <f t="shared" si="53"/>
        <v>123</v>
      </c>
      <c r="J458" s="7" t="str">
        <f t="shared" si="54"/>
        <v>MIX</v>
      </c>
      <c r="K458" s="7" t="str">
        <f t="shared" si="55"/>
        <v>0</v>
      </c>
      <c r="L458" s="7">
        <v>0</v>
      </c>
      <c r="M458" s="7" t="s">
        <v>2609</v>
      </c>
      <c r="N458" s="7">
        <f>_xlfn.XLOOKUP(A458,[1]SKU!$A:$A,[1]SKU!$Z:$Z)</f>
        <v>3000000</v>
      </c>
    </row>
    <row r="459" spans="1:14" s="7" customFormat="1">
      <c r="A459" s="1" t="s">
        <v>611</v>
      </c>
      <c r="B459" s="3" t="s">
        <v>3</v>
      </c>
      <c r="C459" s="3" t="s">
        <v>33</v>
      </c>
      <c r="D459" s="1" t="s">
        <v>612</v>
      </c>
      <c r="E459" s="7" t="str">
        <f t="shared" si="49"/>
        <v>GOR</v>
      </c>
      <c r="F459" s="7" t="str">
        <f t="shared" si="50"/>
        <v>MEN</v>
      </c>
      <c r="G459" s="7" t="str">
        <f t="shared" si="51"/>
        <v>TSS</v>
      </c>
      <c r="H459" s="7" t="str">
        <f t="shared" si="52"/>
        <v>ONE</v>
      </c>
      <c r="I459" s="7" t="str">
        <f t="shared" si="53"/>
        <v>VTM</v>
      </c>
      <c r="J459" s="7" t="str">
        <f t="shared" si="54"/>
        <v>GRE</v>
      </c>
      <c r="K459" s="7" t="str">
        <f t="shared" si="55"/>
        <v>S</v>
      </c>
      <c r="L459" s="7" t="s">
        <v>2018</v>
      </c>
      <c r="M459" s="7" t="s">
        <v>4462</v>
      </c>
      <c r="N459" s="7">
        <f>_xlfn.XLOOKUP(A459,[1]SKU!$A:$A,[1]SKU!$Z:$Z)</f>
        <v>790000</v>
      </c>
    </row>
    <row r="460" spans="1:14" s="7" customFormat="1">
      <c r="A460" s="1" t="s">
        <v>613</v>
      </c>
      <c r="B460" s="3" t="s">
        <v>3</v>
      </c>
      <c r="C460" s="3" t="s">
        <v>4</v>
      </c>
      <c r="D460" s="1" t="s">
        <v>614</v>
      </c>
      <c r="E460" s="7" t="str">
        <f t="shared" si="49"/>
        <v>GSL</v>
      </c>
      <c r="F460" s="7" t="str">
        <f t="shared" si="50"/>
        <v>WOM</v>
      </c>
      <c r="G460" s="7" t="str">
        <f t="shared" si="51"/>
        <v>TTS</v>
      </c>
      <c r="H460" s="7" t="str">
        <f t="shared" si="52"/>
        <v>ONE</v>
      </c>
      <c r="I460" s="7" t="str">
        <f t="shared" si="53"/>
        <v>FST</v>
      </c>
      <c r="J460" s="7" t="str">
        <f t="shared" si="54"/>
        <v>ORA</v>
      </c>
      <c r="K460" s="7" t="str">
        <f t="shared" si="55"/>
        <v>S</v>
      </c>
      <c r="L460" s="7" t="s">
        <v>2310</v>
      </c>
      <c r="M460" s="7" t="s">
        <v>4469</v>
      </c>
      <c r="N460" s="7">
        <f>_xlfn.XLOOKUP(A460,[1]SKU!$A:$A,[1]SKU!$Z:$Z)</f>
        <v>750000</v>
      </c>
    </row>
    <row r="461" spans="1:14" s="7" customFormat="1">
      <c r="A461" s="1" t="s">
        <v>5046</v>
      </c>
      <c r="B461" s="3" t="s">
        <v>4472</v>
      </c>
      <c r="C461" s="3" t="s">
        <v>172</v>
      </c>
      <c r="D461" s="1" t="s">
        <v>5047</v>
      </c>
      <c r="E461" s="7" t="str">
        <f t="shared" si="49"/>
        <v>DSP</v>
      </c>
      <c r="F461" s="7" t="str">
        <f t="shared" si="50"/>
        <v>UNI</v>
      </c>
      <c r="G461" s="7" t="str">
        <f t="shared" si="51"/>
        <v>FWR</v>
      </c>
      <c r="H461" s="7" t="str">
        <f t="shared" si="52"/>
        <v>LES</v>
      </c>
      <c r="I461" s="7" t="str">
        <f t="shared" si="53"/>
        <v>ALF</v>
      </c>
      <c r="J461" s="7" t="str">
        <f t="shared" si="54"/>
        <v>BUR</v>
      </c>
      <c r="K461" s="7" t="str">
        <f t="shared" si="55"/>
        <v>47</v>
      </c>
      <c r="L461" s="7">
        <v>0</v>
      </c>
      <c r="M461" s="7" t="s">
        <v>2609</v>
      </c>
      <c r="N461" s="7">
        <f>_xlfn.XLOOKUP(A461,[1]SKU!$A:$A,[1]SKU!$Z:$Z)</f>
        <v>7800000</v>
      </c>
    </row>
    <row r="462" spans="1:14" s="7" customFormat="1">
      <c r="A462" s="1" t="s">
        <v>615</v>
      </c>
      <c r="B462" s="3" t="s">
        <v>3</v>
      </c>
      <c r="C462" s="3" t="s">
        <v>84</v>
      </c>
      <c r="D462" s="1" t="s">
        <v>616</v>
      </c>
      <c r="E462" s="7" t="str">
        <f t="shared" si="49"/>
        <v>GSL</v>
      </c>
      <c r="F462" s="7" t="str">
        <f t="shared" si="50"/>
        <v>KID</v>
      </c>
      <c r="G462" s="7" t="str">
        <f t="shared" si="51"/>
        <v>TSS</v>
      </c>
      <c r="H462" s="7" t="str">
        <f t="shared" si="52"/>
        <v>ONE</v>
      </c>
      <c r="I462" s="7" t="str">
        <f t="shared" si="53"/>
        <v>HAI</v>
      </c>
      <c r="J462" s="7" t="str">
        <f t="shared" si="54"/>
        <v>BLK</v>
      </c>
      <c r="K462" s="7" t="str">
        <f t="shared" si="55"/>
        <v>2</v>
      </c>
      <c r="L462" s="7" t="s">
        <v>2018</v>
      </c>
      <c r="M462" s="7" t="s">
        <v>4462</v>
      </c>
      <c r="N462" s="7">
        <f>_xlfn.XLOOKUP(A462,[1]SKU!$A:$A,[1]SKU!$Z:$Z)</f>
        <v>550000</v>
      </c>
    </row>
    <row r="463" spans="1:14" s="7" customFormat="1">
      <c r="A463" s="1" t="s">
        <v>617</v>
      </c>
      <c r="B463" s="3" t="s">
        <v>3</v>
      </c>
      <c r="C463" s="3" t="s">
        <v>229</v>
      </c>
      <c r="D463" s="1" t="s">
        <v>618</v>
      </c>
      <c r="E463" s="7" t="str">
        <f t="shared" si="49"/>
        <v>GCV</v>
      </c>
      <c r="F463" s="7" t="str">
        <f t="shared" si="50"/>
        <v>MEN</v>
      </c>
      <c r="G463" s="7" t="str">
        <f t="shared" si="51"/>
        <v>SIS</v>
      </c>
      <c r="H463" s="7" t="str">
        <f t="shared" si="52"/>
        <v>BUT</v>
      </c>
      <c r="I463" s="7" t="str">
        <f t="shared" si="53"/>
        <v>RFT</v>
      </c>
      <c r="J463" s="7" t="str">
        <f t="shared" si="54"/>
        <v>WHI</v>
      </c>
      <c r="K463" s="7" t="str">
        <f t="shared" si="55"/>
        <v>XL</v>
      </c>
      <c r="L463" s="7" t="s">
        <v>2211</v>
      </c>
      <c r="M463" s="7" t="s">
        <v>4464</v>
      </c>
      <c r="N463" s="7">
        <f>_xlfn.XLOOKUP(A463,[1]SKU!$A:$A,[1]SKU!$Z:$Z)</f>
        <v>1790000</v>
      </c>
    </row>
    <row r="464" spans="1:14" s="7" customFormat="1">
      <c r="A464" s="1" t="s">
        <v>619</v>
      </c>
      <c r="B464" s="3" t="s">
        <v>3</v>
      </c>
      <c r="C464" s="3" t="s">
        <v>12</v>
      </c>
      <c r="D464" s="1" t="s">
        <v>620</v>
      </c>
      <c r="E464" s="7" t="str">
        <f t="shared" si="49"/>
        <v>GOR</v>
      </c>
      <c r="F464" s="7" t="str">
        <f t="shared" si="50"/>
        <v>MEN</v>
      </c>
      <c r="G464" s="7" t="str">
        <f t="shared" si="51"/>
        <v>TSS</v>
      </c>
      <c r="H464" s="7" t="str">
        <f t="shared" si="52"/>
        <v>ONE</v>
      </c>
      <c r="I464" s="7" t="str">
        <f t="shared" si="53"/>
        <v>STC</v>
      </c>
      <c r="J464" s="7" t="str">
        <f t="shared" si="54"/>
        <v>WHI</v>
      </c>
      <c r="K464" s="7" t="str">
        <f t="shared" si="55"/>
        <v>M</v>
      </c>
      <c r="L464" s="7" t="s">
        <v>2018</v>
      </c>
      <c r="M464" s="7" t="s">
        <v>4462</v>
      </c>
      <c r="N464" s="7">
        <f>_xlfn.XLOOKUP(A464,[1]SKU!$A:$A,[1]SKU!$Z:$Z)</f>
        <v>790000</v>
      </c>
    </row>
    <row r="465" spans="1:14" s="7" customFormat="1">
      <c r="A465" s="1" t="s">
        <v>5048</v>
      </c>
      <c r="B465" s="3" t="s">
        <v>4472</v>
      </c>
      <c r="C465" s="3" t="s">
        <v>513</v>
      </c>
      <c r="D465" s="1" t="s">
        <v>5049</v>
      </c>
      <c r="E465" s="7" t="str">
        <f t="shared" si="49"/>
        <v>DSP</v>
      </c>
      <c r="F465" s="7" t="str">
        <f t="shared" si="50"/>
        <v>UNI</v>
      </c>
      <c r="G465" s="7" t="str">
        <f t="shared" si="51"/>
        <v>HDR</v>
      </c>
      <c r="H465" s="7" t="str">
        <f t="shared" si="52"/>
        <v>SAS</v>
      </c>
      <c r="I465" s="7" t="str">
        <f t="shared" si="53"/>
        <v>DEL</v>
      </c>
      <c r="J465" s="7" t="str">
        <f t="shared" si="54"/>
        <v>DRE</v>
      </c>
      <c r="K465" s="7" t="str">
        <f t="shared" si="55"/>
        <v>0</v>
      </c>
      <c r="L465" s="7">
        <v>0</v>
      </c>
      <c r="M465" s="7" t="s">
        <v>2609</v>
      </c>
      <c r="N465" s="7">
        <f>_xlfn.XLOOKUP(A465,[1]SKU!$A:$A,[1]SKU!$Z:$Z)</f>
        <v>1400000</v>
      </c>
    </row>
    <row r="466" spans="1:14" s="7" customFormat="1">
      <c r="A466" s="1" t="s">
        <v>621</v>
      </c>
      <c r="B466" s="3" t="s">
        <v>3</v>
      </c>
      <c r="C466" s="3" t="s">
        <v>622</v>
      </c>
      <c r="D466" s="1" t="s">
        <v>623</v>
      </c>
      <c r="E466" s="7" t="str">
        <f t="shared" si="49"/>
        <v>GSU</v>
      </c>
      <c r="F466" s="7" t="str">
        <f t="shared" si="50"/>
        <v>WOM</v>
      </c>
      <c r="G466" s="7" t="str">
        <f t="shared" si="51"/>
        <v>TSP</v>
      </c>
      <c r="H466" s="7" t="str">
        <f t="shared" si="52"/>
        <v>ONE</v>
      </c>
      <c r="I466" s="7" t="str">
        <f t="shared" si="53"/>
        <v>SF2</v>
      </c>
      <c r="J466" s="7" t="str">
        <f t="shared" si="54"/>
        <v>NI</v>
      </c>
      <c r="K466" s="7" t="str">
        <f t="shared" si="55"/>
        <v>L</v>
      </c>
      <c r="L466" s="7" t="s">
        <v>2085</v>
      </c>
      <c r="M466" s="7" t="s">
        <v>4462</v>
      </c>
      <c r="N466" s="7">
        <f>_xlfn.XLOOKUP(A466,[1]SKU!$A:$A,[1]SKU!$Z:$Z)</f>
        <v>1790000</v>
      </c>
    </row>
    <row r="467" spans="1:14" s="7" customFormat="1">
      <c r="A467" s="1" t="s">
        <v>5050</v>
      </c>
      <c r="B467" s="3" t="s">
        <v>4472</v>
      </c>
      <c r="C467" s="3" t="s">
        <v>552</v>
      </c>
      <c r="D467" s="1" t="s">
        <v>5051</v>
      </c>
      <c r="E467" s="7" t="str">
        <f t="shared" si="49"/>
        <v>DSP</v>
      </c>
      <c r="F467" s="7" t="str">
        <f t="shared" si="50"/>
        <v>UNI</v>
      </c>
      <c r="G467" s="7" t="str">
        <f t="shared" si="51"/>
        <v>BAG</v>
      </c>
      <c r="H467" s="7" t="str">
        <f t="shared" si="52"/>
        <v>WAL</v>
      </c>
      <c r="I467" s="7" t="str">
        <f t="shared" si="53"/>
        <v>SEU</v>
      </c>
      <c r="J467" s="7" t="str">
        <f t="shared" si="54"/>
        <v>YWL</v>
      </c>
      <c r="K467" s="7" t="str">
        <f t="shared" si="55"/>
        <v>0</v>
      </c>
      <c r="L467" s="7">
        <v>0</v>
      </c>
      <c r="M467" s="7" t="s">
        <v>2609</v>
      </c>
      <c r="N467" s="7">
        <f>_xlfn.XLOOKUP(A467,[1]SKU!$A:$A,[1]SKU!$Z:$Z)</f>
        <v>2900000</v>
      </c>
    </row>
    <row r="468" spans="1:14" s="7" customFormat="1">
      <c r="A468" s="1" t="s">
        <v>624</v>
      </c>
      <c r="B468" s="3" t="s">
        <v>3</v>
      </c>
      <c r="C468" s="3" t="s">
        <v>233</v>
      </c>
      <c r="D468" s="1" t="s">
        <v>625</v>
      </c>
      <c r="E468" s="7" t="str">
        <f t="shared" si="49"/>
        <v>GOR</v>
      </c>
      <c r="F468" s="7" t="str">
        <f t="shared" si="50"/>
        <v>MEN</v>
      </c>
      <c r="G468" s="7" t="str">
        <f t="shared" si="51"/>
        <v>TSS</v>
      </c>
      <c r="H468" s="7" t="str">
        <f t="shared" si="52"/>
        <v>ONE</v>
      </c>
      <c r="I468" s="7" t="str">
        <f t="shared" si="53"/>
        <v>SMR</v>
      </c>
      <c r="J468" s="7" t="str">
        <f t="shared" si="54"/>
        <v>WHI</v>
      </c>
      <c r="K468" s="7" t="str">
        <f t="shared" si="55"/>
        <v>L</v>
      </c>
      <c r="L468" s="7" t="s">
        <v>2018</v>
      </c>
      <c r="M468" s="7" t="s">
        <v>4462</v>
      </c>
      <c r="N468" s="7">
        <f>_xlfn.XLOOKUP(A468,[1]SKU!$A:$A,[1]SKU!$Z:$Z)</f>
        <v>790000</v>
      </c>
    </row>
    <row r="469" spans="1:14" s="7" customFormat="1">
      <c r="A469" s="1" t="s">
        <v>5052</v>
      </c>
      <c r="B469" s="3" t="s">
        <v>4472</v>
      </c>
      <c r="C469" s="3" t="s">
        <v>5053</v>
      </c>
      <c r="D469" s="1" t="s">
        <v>5054</v>
      </c>
      <c r="E469" s="7" t="str">
        <f t="shared" si="49"/>
        <v>EDE</v>
      </c>
      <c r="F469" s="7" t="str">
        <f t="shared" si="50"/>
        <v>UNI</v>
      </c>
      <c r="G469" s="7" t="str">
        <f t="shared" si="51"/>
        <v>BAG</v>
      </c>
      <c r="H469" s="7" t="str">
        <f t="shared" si="52"/>
        <v>TTB</v>
      </c>
      <c r="I469" s="7" t="str">
        <f t="shared" si="53"/>
        <v>DUN</v>
      </c>
      <c r="J469" s="7" t="str">
        <f t="shared" si="54"/>
        <v>WHI</v>
      </c>
      <c r="K469" s="7" t="str">
        <f t="shared" si="55"/>
        <v>0</v>
      </c>
      <c r="L469" s="7">
        <v>0</v>
      </c>
      <c r="M469" s="7" t="s">
        <v>2609</v>
      </c>
      <c r="N469" s="7">
        <f>_xlfn.XLOOKUP(A469,[1]SKU!$A:$A,[1]SKU!$Z:$Z)</f>
        <v>470000</v>
      </c>
    </row>
    <row r="470" spans="1:14" s="7" customFormat="1">
      <c r="A470" s="1" t="s">
        <v>5055</v>
      </c>
      <c r="B470" s="3" t="s">
        <v>4472</v>
      </c>
      <c r="C470" s="3" t="s">
        <v>51</v>
      </c>
      <c r="D470" s="1" t="s">
        <v>5056</v>
      </c>
      <c r="E470" s="7" t="str">
        <f t="shared" si="49"/>
        <v>DSP</v>
      </c>
      <c r="F470" s="7" t="str">
        <f t="shared" si="50"/>
        <v>UNI</v>
      </c>
      <c r="G470" s="7" t="str">
        <f t="shared" si="51"/>
        <v>BAG</v>
      </c>
      <c r="H470" s="7" t="str">
        <f t="shared" si="52"/>
        <v>CHR</v>
      </c>
      <c r="I470" s="7" t="str">
        <f t="shared" si="53"/>
        <v>SCH</v>
      </c>
      <c r="J470" s="7" t="str">
        <f t="shared" si="54"/>
        <v>BBM</v>
      </c>
      <c r="K470" s="7" t="str">
        <f t="shared" si="55"/>
        <v>0</v>
      </c>
      <c r="L470" s="7">
        <v>0</v>
      </c>
      <c r="M470" s="7" t="s">
        <v>2609</v>
      </c>
      <c r="N470" s="7">
        <f>_xlfn.XLOOKUP(A470,[1]SKU!$A:$A,[1]SKU!$Z:$Z)</f>
        <v>1150000</v>
      </c>
    </row>
    <row r="471" spans="1:14" s="7" customFormat="1">
      <c r="A471" s="1" t="s">
        <v>5057</v>
      </c>
      <c r="B471" s="3" t="s">
        <v>4472</v>
      </c>
      <c r="C471" s="3" t="s">
        <v>5033</v>
      </c>
      <c r="D471" s="1" t="s">
        <v>5058</v>
      </c>
      <c r="E471" s="7" t="str">
        <f t="shared" si="49"/>
        <v>HAM</v>
      </c>
      <c r="F471" s="7" t="str">
        <f t="shared" si="50"/>
        <v>UNI</v>
      </c>
      <c r="G471" s="7" t="str">
        <f t="shared" si="51"/>
        <v>JEW</v>
      </c>
      <c r="H471" s="7" t="str">
        <f t="shared" si="52"/>
        <v>EAR</v>
      </c>
      <c r="I471" s="7" t="str">
        <f t="shared" si="53"/>
        <v>34G</v>
      </c>
      <c r="J471" s="7" t="str">
        <f t="shared" si="54"/>
        <v>MIX</v>
      </c>
      <c r="K471" s="7" t="str">
        <f t="shared" si="55"/>
        <v>0</v>
      </c>
      <c r="L471" s="7">
        <v>0</v>
      </c>
      <c r="M471" s="7" t="s">
        <v>2609</v>
      </c>
      <c r="N471" s="7">
        <f>_xlfn.XLOOKUP(A471,[1]SKU!$A:$A,[1]SKU!$Z:$Z)</f>
        <v>600000</v>
      </c>
    </row>
    <row r="472" spans="1:14" s="7" customFormat="1">
      <c r="A472" s="1" t="s">
        <v>5057</v>
      </c>
      <c r="B472" s="3" t="s">
        <v>4472</v>
      </c>
      <c r="C472" s="3" t="s">
        <v>5033</v>
      </c>
      <c r="D472" s="1" t="s">
        <v>5058</v>
      </c>
      <c r="E472" s="7" t="str">
        <f t="shared" si="49"/>
        <v>HAM</v>
      </c>
      <c r="F472" s="7" t="str">
        <f t="shared" si="50"/>
        <v>UNI</v>
      </c>
      <c r="G472" s="7" t="str">
        <f t="shared" si="51"/>
        <v>JEW</v>
      </c>
      <c r="H472" s="7" t="str">
        <f t="shared" si="52"/>
        <v>EAR</v>
      </c>
      <c r="I472" s="7" t="str">
        <f t="shared" si="53"/>
        <v>34G</v>
      </c>
      <c r="J472" s="7" t="str">
        <f t="shared" si="54"/>
        <v>MIX</v>
      </c>
      <c r="K472" s="7" t="str">
        <f t="shared" si="55"/>
        <v>0</v>
      </c>
      <c r="L472" s="7">
        <v>0</v>
      </c>
      <c r="M472" s="7" t="s">
        <v>2609</v>
      </c>
      <c r="N472" s="7">
        <f>_xlfn.XLOOKUP(A472,[1]SKU!$A:$A,[1]SKU!$Z:$Z)</f>
        <v>600000</v>
      </c>
    </row>
    <row r="473" spans="1:14" s="7" customFormat="1">
      <c r="A473" s="1" t="s">
        <v>5059</v>
      </c>
      <c r="B473" s="3" t="s">
        <v>4472</v>
      </c>
      <c r="C473" s="3" t="s">
        <v>5060</v>
      </c>
      <c r="D473" s="1" t="s">
        <v>5061</v>
      </c>
      <c r="E473" s="7" t="str">
        <f t="shared" si="49"/>
        <v>HAM</v>
      </c>
      <c r="F473" s="7" t="str">
        <f t="shared" si="50"/>
        <v>UNI</v>
      </c>
      <c r="G473" s="7" t="str">
        <f t="shared" si="51"/>
        <v>JEW</v>
      </c>
      <c r="H473" s="7" t="str">
        <f t="shared" si="52"/>
        <v>NEC</v>
      </c>
      <c r="I473" s="7" t="str">
        <f t="shared" si="53"/>
        <v>125</v>
      </c>
      <c r="J473" s="7" t="str">
        <f t="shared" si="54"/>
        <v>MIX</v>
      </c>
      <c r="K473" s="7" t="str">
        <f t="shared" si="55"/>
        <v>0</v>
      </c>
      <c r="L473" s="7">
        <v>0</v>
      </c>
      <c r="M473" s="7" t="s">
        <v>2609</v>
      </c>
      <c r="N473" s="7">
        <f>_xlfn.XLOOKUP(A473,[1]SKU!$A:$A,[1]SKU!$Z:$Z)</f>
        <v>2500000</v>
      </c>
    </row>
    <row r="474" spans="1:14" s="7" customFormat="1">
      <c r="A474" s="1" t="s">
        <v>628</v>
      </c>
      <c r="B474" s="3" t="s">
        <v>3</v>
      </c>
      <c r="C474" s="3" t="s">
        <v>229</v>
      </c>
      <c r="D474" s="1" t="s">
        <v>629</v>
      </c>
      <c r="E474" s="7" t="str">
        <f t="shared" si="49"/>
        <v>GSU</v>
      </c>
      <c r="F474" s="7" t="str">
        <f t="shared" si="50"/>
        <v>MEN</v>
      </c>
      <c r="G474" s="7" t="str">
        <f t="shared" si="51"/>
        <v>POL</v>
      </c>
      <c r="H474" s="7" t="str">
        <f t="shared" si="52"/>
        <v>MAN</v>
      </c>
      <c r="I474" s="7" t="str">
        <f t="shared" si="53"/>
        <v>RFT</v>
      </c>
      <c r="J474" s="7" t="str">
        <f t="shared" si="54"/>
        <v>VIO</v>
      </c>
      <c r="K474" s="7" t="str">
        <f t="shared" si="55"/>
        <v>XL</v>
      </c>
      <c r="L474" s="7" t="s">
        <v>1995</v>
      </c>
      <c r="M474" s="7" t="s">
        <v>4468</v>
      </c>
      <c r="N474" s="7">
        <f>_xlfn.XLOOKUP(A474,[1]SKU!$A:$A,[1]SKU!$Z:$Z)</f>
        <v>1190000</v>
      </c>
    </row>
    <row r="475" spans="1:14" s="7" customFormat="1">
      <c r="A475" s="1" t="s">
        <v>630</v>
      </c>
      <c r="B475" s="3" t="s">
        <v>3</v>
      </c>
      <c r="C475" s="3" t="s">
        <v>81</v>
      </c>
      <c r="D475" s="1" t="s">
        <v>631</v>
      </c>
      <c r="E475" s="7" t="str">
        <f t="shared" si="49"/>
        <v>GBA</v>
      </c>
      <c r="F475" s="7" t="str">
        <f t="shared" si="50"/>
        <v>MEN</v>
      </c>
      <c r="G475" s="7" t="str">
        <f t="shared" si="51"/>
        <v>TSP</v>
      </c>
      <c r="H475" s="7" t="str">
        <f t="shared" si="52"/>
        <v>ONE</v>
      </c>
      <c r="I475" s="7" t="str">
        <f t="shared" si="53"/>
        <v>JUN</v>
      </c>
      <c r="J475" s="7" t="str">
        <f t="shared" si="54"/>
        <v>JBG</v>
      </c>
      <c r="K475" s="7" t="str">
        <f t="shared" si="55"/>
        <v>XXL</v>
      </c>
      <c r="L475" s="7" t="s">
        <v>2085</v>
      </c>
      <c r="M475" s="7" t="s">
        <v>4462</v>
      </c>
      <c r="N475" s="7">
        <f>_xlfn.XLOOKUP(A475,[1]SKU!$A:$A,[1]SKU!$Z:$Z)</f>
        <v>890000</v>
      </c>
    </row>
    <row r="476" spans="1:14" s="7" customFormat="1">
      <c r="A476" s="1" t="s">
        <v>5062</v>
      </c>
      <c r="B476" s="3" t="s">
        <v>4472</v>
      </c>
      <c r="C476" s="3" t="s">
        <v>5063</v>
      </c>
      <c r="D476" s="1" t="s">
        <v>5064</v>
      </c>
      <c r="E476" s="7" t="str">
        <f t="shared" si="49"/>
        <v>HAM</v>
      </c>
      <c r="F476" s="7" t="str">
        <f t="shared" si="50"/>
        <v>UNI</v>
      </c>
      <c r="G476" s="7" t="str">
        <f t="shared" si="51"/>
        <v>JEW</v>
      </c>
      <c r="H476" s="7" t="str">
        <f t="shared" si="52"/>
        <v>EAR</v>
      </c>
      <c r="I476" s="7" t="str">
        <f t="shared" si="53"/>
        <v>36G</v>
      </c>
      <c r="J476" s="7" t="str">
        <f t="shared" si="54"/>
        <v>MIX</v>
      </c>
      <c r="K476" s="7" t="str">
        <f t="shared" si="55"/>
        <v>0</v>
      </c>
      <c r="L476" s="7">
        <v>0</v>
      </c>
      <c r="M476" s="7" t="s">
        <v>2609</v>
      </c>
      <c r="N476" s="7">
        <f>_xlfn.XLOOKUP(A476,[1]SKU!$A:$A,[1]SKU!$Z:$Z)</f>
        <v>600000</v>
      </c>
    </row>
    <row r="477" spans="1:14" s="7" customFormat="1">
      <c r="A477" s="1" t="s">
        <v>633</v>
      </c>
      <c r="B477" s="3" t="s">
        <v>3</v>
      </c>
      <c r="C477" s="3" t="s">
        <v>311</v>
      </c>
      <c r="D477" s="1" t="s">
        <v>634</v>
      </c>
      <c r="E477" s="7" t="str">
        <f t="shared" si="49"/>
        <v>GSL</v>
      </c>
      <c r="F477" s="7" t="str">
        <f t="shared" si="50"/>
        <v>WOM</v>
      </c>
      <c r="G477" s="7" t="str">
        <f t="shared" si="51"/>
        <v>APP</v>
      </c>
      <c r="H477" s="7" t="str">
        <f t="shared" si="52"/>
        <v>BNE</v>
      </c>
      <c r="I477" s="7" t="str">
        <f t="shared" si="53"/>
        <v>GL2</v>
      </c>
      <c r="J477" s="7" t="str">
        <f t="shared" si="54"/>
        <v>GPE</v>
      </c>
      <c r="K477" s="7" t="str">
        <f t="shared" si="55"/>
        <v>M</v>
      </c>
      <c r="L477" s="7" t="s">
        <v>2117</v>
      </c>
      <c r="M477" s="7" t="s">
        <v>2117</v>
      </c>
      <c r="N477" s="7">
        <f>_xlfn.XLOOKUP(A477,[1]SKU!$A:$A,[1]SKU!$Z:$Z)</f>
        <v>750000</v>
      </c>
    </row>
    <row r="478" spans="1:14" s="7" customFormat="1">
      <c r="A478" s="1" t="s">
        <v>5065</v>
      </c>
      <c r="B478" s="3" t="s">
        <v>4472</v>
      </c>
      <c r="C478" s="3" t="s">
        <v>5066</v>
      </c>
      <c r="D478" s="1" t="s">
        <v>5067</v>
      </c>
      <c r="E478" s="7" t="str">
        <f t="shared" si="49"/>
        <v>LAN</v>
      </c>
      <c r="F478" s="7" t="str">
        <f t="shared" si="50"/>
        <v>UNI</v>
      </c>
      <c r="G478" s="7" t="str">
        <f t="shared" si="51"/>
        <v>HWR</v>
      </c>
      <c r="H478" s="7" t="str">
        <f t="shared" si="52"/>
        <v>SC2</v>
      </c>
      <c r="I478" s="7" t="str">
        <f t="shared" si="53"/>
        <v>TAN</v>
      </c>
      <c r="J478" s="7" t="str">
        <f t="shared" si="54"/>
        <v>PIN</v>
      </c>
      <c r="K478" s="7" t="str">
        <f t="shared" si="55"/>
        <v>6x130</v>
      </c>
      <c r="L478" s="7">
        <v>0</v>
      </c>
      <c r="M478" s="7" t="s">
        <v>2609</v>
      </c>
      <c r="N478" s="7">
        <f>_xlfn.XLOOKUP(A478,[1]SKU!$A:$A,[1]SKU!$Z:$Z)</f>
        <v>365000</v>
      </c>
    </row>
    <row r="479" spans="1:14" s="7" customFormat="1">
      <c r="A479" s="1" t="s">
        <v>635</v>
      </c>
      <c r="B479" s="3" t="s">
        <v>3</v>
      </c>
      <c r="C479" s="3" t="s">
        <v>236</v>
      </c>
      <c r="D479" s="1" t="s">
        <v>636</v>
      </c>
      <c r="E479" s="7" t="str">
        <f t="shared" si="49"/>
        <v>GOR</v>
      </c>
      <c r="F479" s="7" t="str">
        <f t="shared" si="50"/>
        <v>KID</v>
      </c>
      <c r="G479" s="7" t="str">
        <f t="shared" si="51"/>
        <v>TSS</v>
      </c>
      <c r="H479" s="7" t="str">
        <f t="shared" si="52"/>
        <v>ONE</v>
      </c>
      <c r="I479" s="7" t="str">
        <f t="shared" si="53"/>
        <v>STA</v>
      </c>
      <c r="J479" s="7" t="str">
        <f t="shared" si="54"/>
        <v>RED</v>
      </c>
      <c r="K479" s="7" t="str">
        <f t="shared" si="55"/>
        <v>6</v>
      </c>
      <c r="L479" s="7" t="s">
        <v>2018</v>
      </c>
      <c r="M479" s="7" t="s">
        <v>4462</v>
      </c>
      <c r="N479" s="7">
        <f>_xlfn.XLOOKUP(A479,[1]SKU!$A:$A,[1]SKU!$Z:$Z)</f>
        <v>590000</v>
      </c>
    </row>
    <row r="480" spans="1:14" s="7" customFormat="1">
      <c r="A480" s="1" t="s">
        <v>5068</v>
      </c>
      <c r="B480" s="3" t="s">
        <v>4472</v>
      </c>
      <c r="C480" s="3" t="s">
        <v>637</v>
      </c>
      <c r="D480" s="1" t="s">
        <v>5069</v>
      </c>
      <c r="E480" s="7" t="str">
        <f t="shared" si="49"/>
        <v>DSP</v>
      </c>
      <c r="F480" s="7" t="str">
        <f t="shared" si="50"/>
        <v>UNI</v>
      </c>
      <c r="G480" s="7" t="str">
        <f t="shared" si="51"/>
        <v>BAG</v>
      </c>
      <c r="H480" s="7" t="str">
        <f t="shared" si="52"/>
        <v>HDB</v>
      </c>
      <c r="I480" s="7" t="str">
        <f t="shared" si="53"/>
        <v>GA1</v>
      </c>
      <c r="J480" s="7" t="str">
        <f t="shared" si="54"/>
        <v>RED</v>
      </c>
      <c r="K480" s="7" t="str">
        <f t="shared" si="55"/>
        <v>0</v>
      </c>
      <c r="L480" s="7">
        <v>0</v>
      </c>
      <c r="M480" s="7" t="s">
        <v>2609</v>
      </c>
      <c r="N480" s="7">
        <f>_xlfn.XLOOKUP(A480,[1]SKU!$A:$A,[1]SKU!$Z:$Z)</f>
        <v>8690000</v>
      </c>
    </row>
    <row r="481" spans="1:14" s="7" customFormat="1">
      <c r="A481" s="1" t="s">
        <v>638</v>
      </c>
      <c r="B481" s="3" t="s">
        <v>3</v>
      </c>
      <c r="C481" s="3" t="s">
        <v>84</v>
      </c>
      <c r="D481" s="1" t="s">
        <v>639</v>
      </c>
      <c r="E481" s="7" t="str">
        <f t="shared" si="49"/>
        <v>GBA</v>
      </c>
      <c r="F481" s="7" t="str">
        <f t="shared" si="50"/>
        <v>MEN</v>
      </c>
      <c r="G481" s="7" t="str">
        <f t="shared" si="51"/>
        <v>TSP</v>
      </c>
      <c r="H481" s="7" t="str">
        <f t="shared" si="52"/>
        <v>ONE</v>
      </c>
      <c r="I481" s="7" t="str">
        <f t="shared" si="53"/>
        <v>HAI</v>
      </c>
      <c r="J481" s="7" t="str">
        <f t="shared" si="54"/>
        <v>BLK</v>
      </c>
      <c r="K481" s="7" t="str">
        <f t="shared" si="55"/>
        <v>M</v>
      </c>
      <c r="L481" s="7" t="s">
        <v>2085</v>
      </c>
      <c r="M481" s="7" t="s">
        <v>4462</v>
      </c>
      <c r="N481" s="7">
        <f>_xlfn.XLOOKUP(A481,[1]SKU!$A:$A,[1]SKU!$Z:$Z)</f>
        <v>710000</v>
      </c>
    </row>
    <row r="482" spans="1:14" s="7" customFormat="1">
      <c r="A482" s="1" t="s">
        <v>5070</v>
      </c>
      <c r="B482" s="3" t="s">
        <v>4472</v>
      </c>
      <c r="C482" s="3" t="s">
        <v>5071</v>
      </c>
      <c r="D482" s="1" t="s">
        <v>5072</v>
      </c>
      <c r="E482" s="7" t="str">
        <f t="shared" si="49"/>
        <v>HAM</v>
      </c>
      <c r="F482" s="7" t="str">
        <f t="shared" si="50"/>
        <v>UNI</v>
      </c>
      <c r="G482" s="7" t="str">
        <f t="shared" si="51"/>
        <v>JEW</v>
      </c>
      <c r="H482" s="7" t="str">
        <f t="shared" si="52"/>
        <v>BRA</v>
      </c>
      <c r="I482" s="7" t="str">
        <f t="shared" si="53"/>
        <v>BR0</v>
      </c>
      <c r="J482" s="7" t="str">
        <f t="shared" si="54"/>
        <v>MIX</v>
      </c>
      <c r="K482" s="7" t="str">
        <f t="shared" si="55"/>
        <v>0</v>
      </c>
      <c r="L482" s="7">
        <v>0</v>
      </c>
      <c r="M482" s="7" t="s">
        <v>2609</v>
      </c>
      <c r="N482" s="7">
        <f>_xlfn.XLOOKUP(A482,[1]SKU!$A:$A,[1]SKU!$Z:$Z)</f>
        <v>600000</v>
      </c>
    </row>
    <row r="483" spans="1:14" s="7" customFormat="1">
      <c r="A483" s="1" t="s">
        <v>641</v>
      </c>
      <c r="B483" s="3" t="s">
        <v>3</v>
      </c>
      <c r="C483" s="3" t="s">
        <v>642</v>
      </c>
      <c r="D483" s="1" t="s">
        <v>643</v>
      </c>
      <c r="E483" s="7" t="str">
        <f t="shared" si="49"/>
        <v>GSP</v>
      </c>
      <c r="F483" s="7" t="str">
        <f t="shared" si="50"/>
        <v>WOM</v>
      </c>
      <c r="G483" s="7" t="str">
        <f t="shared" si="51"/>
        <v>SKS</v>
      </c>
      <c r="H483" s="7" t="str">
        <f t="shared" si="52"/>
        <v>EBT</v>
      </c>
      <c r="I483" s="7" t="str">
        <f t="shared" si="53"/>
        <v>NNE</v>
      </c>
      <c r="J483" s="7" t="str">
        <f t="shared" si="54"/>
        <v>BLK</v>
      </c>
      <c r="K483" s="7" t="str">
        <f t="shared" si="55"/>
        <v>L</v>
      </c>
      <c r="L483" s="7" t="s">
        <v>2794</v>
      </c>
      <c r="M483" s="7" t="s">
        <v>4470</v>
      </c>
      <c r="N483" s="7">
        <f>_xlfn.XLOOKUP(A483,[1]SKU!$A:$A,[1]SKU!$Z:$Z)</f>
        <v>810000</v>
      </c>
    </row>
    <row r="484" spans="1:14" s="7" customFormat="1">
      <c r="A484" s="1" t="s">
        <v>644</v>
      </c>
      <c r="B484" s="3" t="s">
        <v>3</v>
      </c>
      <c r="C484" s="3" t="s">
        <v>113</v>
      </c>
      <c r="D484" s="1" t="s">
        <v>645</v>
      </c>
      <c r="E484" s="7" t="str">
        <f t="shared" si="49"/>
        <v>GFI</v>
      </c>
      <c r="F484" s="7" t="str">
        <f t="shared" si="50"/>
        <v>KID</v>
      </c>
      <c r="G484" s="7" t="str">
        <f t="shared" si="51"/>
        <v>SWL</v>
      </c>
      <c r="H484" s="7" t="str">
        <f t="shared" si="52"/>
        <v>ONE</v>
      </c>
      <c r="I484" s="7" t="str">
        <f t="shared" si="53"/>
        <v>TCS</v>
      </c>
      <c r="J484" s="7" t="str">
        <f t="shared" si="54"/>
        <v>CRE</v>
      </c>
      <c r="K484" s="7" t="str">
        <f t="shared" si="55"/>
        <v>8</v>
      </c>
      <c r="L484" s="7" t="s">
        <v>2581</v>
      </c>
      <c r="M484" s="7" t="s">
        <v>4464</v>
      </c>
      <c r="N484" s="7">
        <f>_xlfn.XLOOKUP(A484,[1]SKU!$A:$A,[1]SKU!$Z:$Z)</f>
        <v>990000</v>
      </c>
    </row>
    <row r="485" spans="1:14" s="7" customFormat="1">
      <c r="A485" s="1" t="s">
        <v>5073</v>
      </c>
      <c r="B485" s="3" t="s">
        <v>4472</v>
      </c>
      <c r="C485" s="3" t="s">
        <v>231</v>
      </c>
      <c r="D485" s="1" t="s">
        <v>5074</v>
      </c>
      <c r="E485" s="7" t="str">
        <f t="shared" si="49"/>
        <v>DSP</v>
      </c>
      <c r="F485" s="7" t="str">
        <f t="shared" si="50"/>
        <v>UNI</v>
      </c>
      <c r="G485" s="7" t="str">
        <f t="shared" si="51"/>
        <v>ACC</v>
      </c>
      <c r="H485" s="7" t="str">
        <f t="shared" si="52"/>
        <v>KEY</v>
      </c>
      <c r="I485" s="7" t="str">
        <f t="shared" si="53"/>
        <v>DUC</v>
      </c>
      <c r="J485" s="7" t="str">
        <f t="shared" si="54"/>
        <v>LEA</v>
      </c>
      <c r="K485" s="7" t="str">
        <f t="shared" si="55"/>
        <v>0</v>
      </c>
      <c r="L485" s="7">
        <v>0</v>
      </c>
      <c r="M485" s="7" t="s">
        <v>2609</v>
      </c>
      <c r="N485" s="7">
        <f>_xlfn.XLOOKUP(A485,[1]SKU!$A:$A,[1]SKU!$Z:$Z)</f>
        <v>690000</v>
      </c>
    </row>
    <row r="486" spans="1:14" s="7" customFormat="1">
      <c r="A486" s="1" t="s">
        <v>5075</v>
      </c>
      <c r="B486" s="3" t="s">
        <v>4472</v>
      </c>
      <c r="C486" s="3" t="s">
        <v>5076</v>
      </c>
      <c r="D486" s="1" t="s">
        <v>5077</v>
      </c>
      <c r="E486" s="7" t="str">
        <f t="shared" si="49"/>
        <v>LAN</v>
      </c>
      <c r="F486" s="7" t="str">
        <f t="shared" si="50"/>
        <v>UNI</v>
      </c>
      <c r="G486" s="7" t="str">
        <f t="shared" si="51"/>
        <v>HWR</v>
      </c>
      <c r="H486" s="7" t="str">
        <f t="shared" si="52"/>
        <v>SC2</v>
      </c>
      <c r="I486" s="7" t="str">
        <f t="shared" si="53"/>
        <v>SNA</v>
      </c>
      <c r="J486" s="7" t="str">
        <f t="shared" si="54"/>
        <v>YEL</v>
      </c>
      <c r="K486" s="7" t="str">
        <f t="shared" si="55"/>
        <v>6x130</v>
      </c>
      <c r="L486" s="7">
        <v>0</v>
      </c>
      <c r="M486" s="7" t="s">
        <v>2609</v>
      </c>
      <c r="N486" s="7">
        <f>_xlfn.XLOOKUP(A486,[1]SKU!$A:$A,[1]SKU!$Z:$Z)</f>
        <v>365000</v>
      </c>
    </row>
    <row r="487" spans="1:14" s="7" customFormat="1">
      <c r="A487" s="1" t="s">
        <v>5078</v>
      </c>
      <c r="B487" s="3" t="s">
        <v>4472</v>
      </c>
      <c r="C487" s="3" t="s">
        <v>133</v>
      </c>
      <c r="D487" s="1" t="s">
        <v>5079</v>
      </c>
      <c r="E487" s="7" t="str">
        <f t="shared" si="49"/>
        <v>SHI</v>
      </c>
      <c r="F487" s="7" t="str">
        <f t="shared" si="50"/>
        <v>UNI</v>
      </c>
      <c r="G487" s="7" t="str">
        <f t="shared" si="51"/>
        <v>FNB</v>
      </c>
      <c r="H487" s="7" t="str">
        <f t="shared" si="52"/>
        <v>CFB</v>
      </c>
      <c r="I487" s="7" t="str">
        <f t="shared" si="53"/>
        <v>SLB</v>
      </c>
      <c r="J487" s="7" t="str">
        <f t="shared" si="54"/>
        <v>WHI</v>
      </c>
      <c r="K487" s="7" t="str">
        <f t="shared" si="55"/>
        <v>BAG</v>
      </c>
      <c r="L487" s="7">
        <v>0</v>
      </c>
      <c r="M487" s="7" t="s">
        <v>2609</v>
      </c>
      <c r="N487" s="7">
        <f>_xlfn.XLOOKUP(A487,[1]SKU!$A:$A,[1]SKU!$Z:$Z)</f>
        <v>250000</v>
      </c>
    </row>
    <row r="488" spans="1:14" s="7" customFormat="1">
      <c r="A488" s="1" t="s">
        <v>5080</v>
      </c>
      <c r="B488" s="3" t="s">
        <v>4472</v>
      </c>
      <c r="C488" s="3" t="s">
        <v>5081</v>
      </c>
      <c r="D488" s="1" t="s">
        <v>5082</v>
      </c>
      <c r="E488" s="7" t="str">
        <f t="shared" si="49"/>
        <v>BLS</v>
      </c>
      <c r="F488" s="7" t="str">
        <f t="shared" si="50"/>
        <v>UNI</v>
      </c>
      <c r="G488" s="7" t="str">
        <f t="shared" si="51"/>
        <v>FNB</v>
      </c>
      <c r="H488" s="7" t="str">
        <f t="shared" si="52"/>
        <v>SAL</v>
      </c>
      <c r="I488" s="7" t="str">
        <f t="shared" si="53"/>
        <v>012</v>
      </c>
      <c r="J488" s="7" t="str">
        <f t="shared" si="54"/>
        <v>MIX</v>
      </c>
      <c r="K488" s="7" t="str">
        <f t="shared" si="55"/>
        <v>55g</v>
      </c>
      <c r="L488" s="7">
        <v>0</v>
      </c>
      <c r="M488" s="7" t="s">
        <v>2609</v>
      </c>
      <c r="N488" s="7">
        <f>_xlfn.XLOOKUP(A488,[1]SKU!$A:$A,[1]SKU!$Z:$Z)</f>
        <v>125000</v>
      </c>
    </row>
    <row r="489" spans="1:14" s="7" customFormat="1">
      <c r="A489" s="1" t="s">
        <v>5083</v>
      </c>
      <c r="B489" s="3" t="s">
        <v>4472</v>
      </c>
      <c r="C489" s="3" t="s">
        <v>5084</v>
      </c>
      <c r="D489" s="1" t="s">
        <v>5085</v>
      </c>
      <c r="E489" s="7" t="str">
        <f t="shared" si="49"/>
        <v>LAN</v>
      </c>
      <c r="F489" s="7" t="str">
        <f t="shared" si="50"/>
        <v>UNI</v>
      </c>
      <c r="G489" s="7" t="str">
        <f t="shared" si="51"/>
        <v>HWR</v>
      </c>
      <c r="H489" s="7" t="str">
        <f t="shared" si="52"/>
        <v>SC2</v>
      </c>
      <c r="I489" s="7" t="str">
        <f t="shared" si="53"/>
        <v>SPA</v>
      </c>
      <c r="J489" s="7" t="str">
        <f t="shared" si="54"/>
        <v>PUR</v>
      </c>
      <c r="K489" s="7" t="str">
        <f t="shared" si="55"/>
        <v>6x130</v>
      </c>
      <c r="L489" s="7">
        <v>0</v>
      </c>
      <c r="M489" s="7" t="s">
        <v>2609</v>
      </c>
      <c r="N489" s="7">
        <f>_xlfn.XLOOKUP(A489,[1]SKU!$A:$A,[1]SKU!$Z:$Z)</f>
        <v>365000</v>
      </c>
    </row>
    <row r="490" spans="1:14" s="7" customFormat="1">
      <c r="A490" s="1" t="s">
        <v>647</v>
      </c>
      <c r="B490" s="3" t="s">
        <v>3</v>
      </c>
      <c r="C490" s="3" t="s">
        <v>45</v>
      </c>
      <c r="D490" s="1" t="s">
        <v>648</v>
      </c>
      <c r="E490" s="7" t="str">
        <f t="shared" si="49"/>
        <v>GOR</v>
      </c>
      <c r="F490" s="7" t="str">
        <f t="shared" si="50"/>
        <v>MEN</v>
      </c>
      <c r="G490" s="7" t="str">
        <f t="shared" si="51"/>
        <v>TSS</v>
      </c>
      <c r="H490" s="7" t="str">
        <f t="shared" si="52"/>
        <v>ONE</v>
      </c>
      <c r="I490" s="7" t="str">
        <f t="shared" si="53"/>
        <v>DDU</v>
      </c>
      <c r="J490" s="7" t="str">
        <f t="shared" si="54"/>
        <v>GRE</v>
      </c>
      <c r="K490" s="7" t="str">
        <f t="shared" si="55"/>
        <v>L</v>
      </c>
      <c r="L490" s="7" t="s">
        <v>2018</v>
      </c>
      <c r="M490" s="7" t="s">
        <v>4462</v>
      </c>
      <c r="N490" s="7">
        <f>_xlfn.XLOOKUP(A490,[1]SKU!$A:$A,[1]SKU!$Z:$Z)</f>
        <v>790000</v>
      </c>
    </row>
    <row r="491" spans="1:14" s="7" customFormat="1">
      <c r="A491" s="1" t="s">
        <v>649</v>
      </c>
      <c r="B491" s="3" t="s">
        <v>3</v>
      </c>
      <c r="C491" s="3" t="s">
        <v>314</v>
      </c>
      <c r="D491" s="1" t="s">
        <v>650</v>
      </c>
      <c r="E491" s="7" t="str">
        <f t="shared" si="49"/>
        <v>GOR</v>
      </c>
      <c r="F491" s="7" t="str">
        <f t="shared" si="50"/>
        <v>MEN</v>
      </c>
      <c r="G491" s="7" t="str">
        <f t="shared" si="51"/>
        <v>TSP</v>
      </c>
      <c r="H491" s="7" t="str">
        <f t="shared" si="52"/>
        <v>ONE</v>
      </c>
      <c r="I491" s="7" t="str">
        <f t="shared" si="53"/>
        <v>XLO</v>
      </c>
      <c r="J491" s="7" t="str">
        <f t="shared" si="54"/>
        <v>WHI</v>
      </c>
      <c r="K491" s="7" t="str">
        <f t="shared" si="55"/>
        <v>M</v>
      </c>
      <c r="L491" s="7" t="s">
        <v>2085</v>
      </c>
      <c r="M491" s="7" t="s">
        <v>4462</v>
      </c>
      <c r="N491" s="7">
        <f>_xlfn.XLOOKUP(A491,[1]SKU!$A:$A,[1]SKU!$Z:$Z)</f>
        <v>790000</v>
      </c>
    </row>
    <row r="492" spans="1:14" s="7" customFormat="1">
      <c r="A492" s="1" t="s">
        <v>651</v>
      </c>
      <c r="B492" s="3" t="s">
        <v>19</v>
      </c>
      <c r="C492" s="3" t="s">
        <v>154</v>
      </c>
      <c r="D492" s="1" t="s">
        <v>652</v>
      </c>
      <c r="E492" s="7" t="str">
        <f t="shared" si="49"/>
        <v>OTH</v>
      </c>
      <c r="F492" s="7" t="str">
        <f t="shared" si="50"/>
        <v>UNI</v>
      </c>
      <c r="G492" s="7" t="str">
        <f t="shared" si="51"/>
        <v>SOU</v>
      </c>
      <c r="H492" s="7" t="str">
        <f t="shared" si="52"/>
        <v>NBP</v>
      </c>
      <c r="I492" s="7" t="str">
        <f t="shared" si="53"/>
        <v>TNT</v>
      </c>
      <c r="J492" s="7" t="str">
        <f t="shared" si="54"/>
        <v>WHI</v>
      </c>
      <c r="K492" s="7" t="str">
        <f t="shared" si="55"/>
        <v>A5</v>
      </c>
      <c r="L492" s="7">
        <v>0</v>
      </c>
      <c r="M492" s="7" t="s">
        <v>2609</v>
      </c>
      <c r="N492" s="7">
        <f>_xlfn.XLOOKUP(A492,[1]SKU!$A:$A,[1]SKU!$Z:$Z)</f>
        <v>255000</v>
      </c>
    </row>
    <row r="493" spans="1:14" s="7" customFormat="1">
      <c r="A493" s="1" t="s">
        <v>653</v>
      </c>
      <c r="B493" s="3" t="s">
        <v>3</v>
      </c>
      <c r="C493" s="3" t="s">
        <v>330</v>
      </c>
      <c r="D493" s="1" t="s">
        <v>654</v>
      </c>
      <c r="E493" s="7" t="str">
        <f t="shared" si="49"/>
        <v>GFN</v>
      </c>
      <c r="F493" s="7" t="str">
        <f t="shared" si="50"/>
        <v>KID</v>
      </c>
      <c r="G493" s="7" t="str">
        <f t="shared" si="51"/>
        <v>SHS</v>
      </c>
      <c r="H493" s="7" t="str">
        <f t="shared" si="52"/>
        <v>EBT</v>
      </c>
      <c r="I493" s="7" t="str">
        <f t="shared" si="53"/>
        <v>GSP</v>
      </c>
      <c r="J493" s="7" t="str">
        <f t="shared" si="54"/>
        <v>BLK</v>
      </c>
      <c r="K493" s="7" t="str">
        <f t="shared" si="55"/>
        <v>8</v>
      </c>
      <c r="L493" s="7" t="s">
        <v>2752</v>
      </c>
      <c r="M493" s="7" t="s">
        <v>4463</v>
      </c>
      <c r="N493" s="7">
        <f>_xlfn.XLOOKUP(A493,[1]SKU!$A:$A,[1]SKU!$Z:$Z)</f>
        <v>690000</v>
      </c>
    </row>
    <row r="494" spans="1:14" s="7" customFormat="1">
      <c r="A494" s="1" t="s">
        <v>5086</v>
      </c>
      <c r="B494" s="3" t="s">
        <v>4472</v>
      </c>
      <c r="C494" s="3" t="s">
        <v>655</v>
      </c>
      <c r="D494" s="1" t="s">
        <v>5087</v>
      </c>
      <c r="E494" s="7" t="str">
        <f t="shared" si="49"/>
        <v>VNE</v>
      </c>
      <c r="F494" s="7" t="str">
        <f t="shared" si="50"/>
        <v>UNI</v>
      </c>
      <c r="G494" s="7" t="str">
        <f t="shared" si="51"/>
        <v>SOU</v>
      </c>
      <c r="H494" s="7" t="str">
        <f t="shared" si="52"/>
        <v>SMS</v>
      </c>
      <c r="I494" s="7" t="str">
        <f t="shared" si="53"/>
        <v>CHE</v>
      </c>
      <c r="J494" s="7" t="str">
        <f t="shared" si="54"/>
        <v>SGR</v>
      </c>
      <c r="K494" s="7" t="str">
        <f t="shared" si="55"/>
        <v>19CM</v>
      </c>
      <c r="L494" s="7">
        <v>0</v>
      </c>
      <c r="M494" s="7" t="s">
        <v>2609</v>
      </c>
      <c r="N494" s="7">
        <f>_xlfn.XLOOKUP(A494,[1]SKU!$A:$A,[1]SKU!$Z:$Z)</f>
        <v>7900000</v>
      </c>
    </row>
    <row r="495" spans="1:14" s="7" customFormat="1">
      <c r="A495" s="1" t="s">
        <v>5088</v>
      </c>
      <c r="B495" s="3" t="s">
        <v>4472</v>
      </c>
      <c r="C495" s="3" t="s">
        <v>5089</v>
      </c>
      <c r="D495" s="1" t="s">
        <v>5090</v>
      </c>
      <c r="E495" s="7" t="str">
        <f t="shared" si="49"/>
        <v>LAN</v>
      </c>
      <c r="F495" s="7" t="str">
        <f t="shared" si="50"/>
        <v>UNI</v>
      </c>
      <c r="G495" s="7" t="str">
        <f t="shared" si="51"/>
        <v>HWR</v>
      </c>
      <c r="H495" s="7" t="str">
        <f t="shared" si="52"/>
        <v>SC2</v>
      </c>
      <c r="I495" s="7" t="str">
        <f t="shared" si="53"/>
        <v>NHH</v>
      </c>
      <c r="J495" s="7" t="str">
        <f t="shared" si="54"/>
        <v>GRN</v>
      </c>
      <c r="K495" s="7" t="str">
        <f t="shared" si="55"/>
        <v>70x70</v>
      </c>
      <c r="L495" s="7">
        <v>0</v>
      </c>
      <c r="M495" s="7" t="s">
        <v>2609</v>
      </c>
      <c r="N495" s="7">
        <f>_xlfn.XLOOKUP(A495,[1]SKU!$A:$A,[1]SKU!$Z:$Z)</f>
        <v>749000</v>
      </c>
    </row>
    <row r="496" spans="1:14" s="7" customFormat="1">
      <c r="A496" s="1" t="s">
        <v>5091</v>
      </c>
      <c r="B496" s="3" t="s">
        <v>4481</v>
      </c>
      <c r="C496" s="3" t="s">
        <v>656</v>
      </c>
      <c r="D496" s="1" t="s">
        <v>5092</v>
      </c>
      <c r="E496" s="7" t="str">
        <f t="shared" si="49"/>
        <v>PAS</v>
      </c>
      <c r="F496" s="7" t="str">
        <f t="shared" si="50"/>
        <v>UNI</v>
      </c>
      <c r="G496" s="7" t="str">
        <f t="shared" si="51"/>
        <v>ART</v>
      </c>
      <c r="H496" s="7" t="str">
        <f t="shared" si="52"/>
        <v>ART</v>
      </c>
      <c r="I496" s="7" t="str">
        <f t="shared" si="53"/>
        <v>PAN</v>
      </c>
      <c r="J496" s="7" t="str">
        <f t="shared" si="54"/>
        <v>MIX</v>
      </c>
      <c r="K496" s="7" t="str">
        <f t="shared" si="55"/>
        <v>A3</v>
      </c>
      <c r="L496" s="7">
        <v>0</v>
      </c>
      <c r="M496" s="7" t="s">
        <v>2609</v>
      </c>
      <c r="N496" s="7">
        <f>_xlfn.XLOOKUP(A496,[1]SKU!$A:$A,[1]SKU!$Z:$Z)</f>
        <v>5000000</v>
      </c>
    </row>
    <row r="497" spans="1:14" s="7" customFormat="1">
      <c r="A497" s="1" t="s">
        <v>5093</v>
      </c>
      <c r="B497" s="3" t="s">
        <v>4472</v>
      </c>
      <c r="C497" s="3" t="s">
        <v>94</v>
      </c>
      <c r="D497" s="1" t="s">
        <v>5094</v>
      </c>
      <c r="E497" s="7" t="str">
        <f t="shared" si="49"/>
        <v>NGO</v>
      </c>
      <c r="F497" s="7" t="str">
        <f t="shared" si="50"/>
        <v>UNI</v>
      </c>
      <c r="G497" s="7" t="str">
        <f t="shared" si="51"/>
        <v>FWR</v>
      </c>
      <c r="H497" s="7" t="str">
        <f t="shared" si="52"/>
        <v>SNE</v>
      </c>
      <c r="I497" s="7" t="str">
        <f t="shared" si="53"/>
        <v>SGS</v>
      </c>
      <c r="J497" s="7" t="str">
        <f t="shared" si="54"/>
        <v>SES</v>
      </c>
      <c r="K497" s="7" t="str">
        <f t="shared" si="55"/>
        <v>41</v>
      </c>
      <c r="L497" s="7">
        <v>0</v>
      </c>
      <c r="M497" s="7" t="s">
        <v>2609</v>
      </c>
      <c r="N497" s="7">
        <f>_xlfn.XLOOKUP(A497,[1]SKU!$A:$A,[1]SKU!$Z:$Z)</f>
        <v>3850000</v>
      </c>
    </row>
    <row r="498" spans="1:14" s="7" customFormat="1">
      <c r="A498" s="1" t="s">
        <v>5095</v>
      </c>
      <c r="B498" s="3" t="s">
        <v>4472</v>
      </c>
      <c r="C498" s="3" t="s">
        <v>657</v>
      </c>
      <c r="D498" s="1" t="s">
        <v>5096</v>
      </c>
      <c r="E498" s="7" t="str">
        <f t="shared" si="49"/>
        <v>EDE</v>
      </c>
      <c r="F498" s="7" t="str">
        <f t="shared" si="50"/>
        <v>UNI</v>
      </c>
      <c r="G498" s="7" t="str">
        <f t="shared" si="51"/>
        <v>HDR</v>
      </c>
      <c r="H498" s="7" t="str">
        <f t="shared" si="52"/>
        <v>CUS</v>
      </c>
      <c r="I498" s="7" t="str">
        <f t="shared" si="53"/>
        <v>SQA</v>
      </c>
      <c r="J498" s="7" t="str">
        <f t="shared" si="54"/>
        <v>MIX</v>
      </c>
      <c r="K498" s="7" t="str">
        <f t="shared" si="55"/>
        <v>0</v>
      </c>
      <c r="L498" s="7">
        <v>0</v>
      </c>
      <c r="M498" s="7" t="s">
        <v>2609</v>
      </c>
      <c r="N498" s="7">
        <f>_xlfn.XLOOKUP(A498,[1]SKU!$A:$A,[1]SKU!$Z:$Z)</f>
        <v>150000</v>
      </c>
    </row>
    <row r="499" spans="1:14" s="7" customFormat="1">
      <c r="A499" s="1" t="s">
        <v>658</v>
      </c>
      <c r="B499" s="3" t="s">
        <v>3</v>
      </c>
      <c r="C499" s="3" t="s">
        <v>38</v>
      </c>
      <c r="D499" s="1" t="s">
        <v>659</v>
      </c>
      <c r="E499" s="7" t="str">
        <f t="shared" si="49"/>
        <v>GLI</v>
      </c>
      <c r="F499" s="7" t="str">
        <f t="shared" si="50"/>
        <v>MEN</v>
      </c>
      <c r="G499" s="7" t="str">
        <f t="shared" si="51"/>
        <v>SIS</v>
      </c>
      <c r="H499" s="7" t="str">
        <f t="shared" si="52"/>
        <v>MAN</v>
      </c>
      <c r="I499" s="7" t="str">
        <f t="shared" si="53"/>
        <v>LOG</v>
      </c>
      <c r="J499" s="7" t="str">
        <f t="shared" si="54"/>
        <v>CAM</v>
      </c>
      <c r="K499" s="7" t="str">
        <f t="shared" si="55"/>
        <v>L</v>
      </c>
      <c r="L499" s="7" t="s">
        <v>2211</v>
      </c>
      <c r="M499" s="7" t="s">
        <v>4464</v>
      </c>
      <c r="N499" s="7">
        <f>_xlfn.XLOOKUP(A499,[1]SKU!$A:$A,[1]SKU!$Z:$Z)</f>
        <v>2790000</v>
      </c>
    </row>
    <row r="500" spans="1:14" s="7" customFormat="1">
      <c r="A500" s="1" t="s">
        <v>660</v>
      </c>
      <c r="B500" s="3" t="s">
        <v>3</v>
      </c>
      <c r="C500" s="3" t="s">
        <v>38</v>
      </c>
      <c r="D500" s="1" t="s">
        <v>661</v>
      </c>
      <c r="E500" s="7" t="str">
        <f t="shared" si="49"/>
        <v>GLI</v>
      </c>
      <c r="F500" s="7" t="str">
        <f t="shared" si="50"/>
        <v>MEN</v>
      </c>
      <c r="G500" s="7" t="str">
        <f t="shared" si="51"/>
        <v>SIS</v>
      </c>
      <c r="H500" s="7" t="str">
        <f t="shared" si="52"/>
        <v>CLA</v>
      </c>
      <c r="I500" s="7" t="str">
        <f t="shared" si="53"/>
        <v>LOG</v>
      </c>
      <c r="J500" s="7" t="str">
        <f t="shared" si="54"/>
        <v>WHI</v>
      </c>
      <c r="K500" s="7" t="str">
        <f t="shared" si="55"/>
        <v>XL</v>
      </c>
      <c r="L500" s="7" t="s">
        <v>2211</v>
      </c>
      <c r="M500" s="7" t="s">
        <v>4464</v>
      </c>
      <c r="N500" s="7">
        <f>_xlfn.XLOOKUP(A500,[1]SKU!$A:$A,[1]SKU!$Z:$Z)</f>
        <v>2590000</v>
      </c>
    </row>
    <row r="501" spans="1:14" s="7" customFormat="1">
      <c r="A501" s="1" t="s">
        <v>5097</v>
      </c>
      <c r="B501" s="3" t="s">
        <v>4472</v>
      </c>
      <c r="C501" s="3" t="s">
        <v>429</v>
      </c>
      <c r="D501" s="1" t="s">
        <v>5098</v>
      </c>
      <c r="E501" s="7" t="str">
        <f t="shared" si="49"/>
        <v>DSP</v>
      </c>
      <c r="F501" s="7" t="str">
        <f t="shared" si="50"/>
        <v>UNI</v>
      </c>
      <c r="G501" s="7" t="str">
        <f t="shared" si="51"/>
        <v>BAG</v>
      </c>
      <c r="H501" s="7" t="str">
        <f t="shared" si="52"/>
        <v>TTB</v>
      </c>
      <c r="I501" s="7" t="str">
        <f t="shared" si="53"/>
        <v>ALT</v>
      </c>
      <c r="J501" s="7" t="str">
        <f t="shared" si="54"/>
        <v>BLK</v>
      </c>
      <c r="K501" s="7" t="str">
        <f t="shared" si="55"/>
        <v>0</v>
      </c>
      <c r="L501" s="7">
        <v>0</v>
      </c>
      <c r="M501" s="7" t="s">
        <v>2609</v>
      </c>
      <c r="N501" s="7">
        <f>_xlfn.XLOOKUP(A501,[1]SKU!$A:$A,[1]SKU!$Z:$Z)</f>
        <v>14990000</v>
      </c>
    </row>
    <row r="502" spans="1:14" s="7" customFormat="1">
      <c r="A502" s="1" t="s">
        <v>5099</v>
      </c>
      <c r="B502" s="3" t="s">
        <v>4472</v>
      </c>
      <c r="C502" s="3" t="s">
        <v>5100</v>
      </c>
      <c r="D502" s="1" t="s">
        <v>5101</v>
      </c>
      <c r="E502" s="7" t="str">
        <f t="shared" si="49"/>
        <v>TOH</v>
      </c>
      <c r="F502" s="7" t="str">
        <f t="shared" si="50"/>
        <v>UNI</v>
      </c>
      <c r="G502" s="7" t="str">
        <f t="shared" si="51"/>
        <v>BAG</v>
      </c>
      <c r="H502" s="7" t="str">
        <f t="shared" si="52"/>
        <v>PHR</v>
      </c>
      <c r="I502" s="7" t="str">
        <f t="shared" si="53"/>
        <v>AHP</v>
      </c>
      <c r="J502" s="7" t="str">
        <f t="shared" si="54"/>
        <v>MIX</v>
      </c>
      <c r="K502" s="7" t="str">
        <f t="shared" si="55"/>
        <v>0</v>
      </c>
      <c r="L502" s="7">
        <v>0</v>
      </c>
      <c r="M502" s="7" t="s">
        <v>2609</v>
      </c>
      <c r="N502" s="7">
        <f>_xlfn.XLOOKUP(A502,[1]SKU!$A:$A,[1]SKU!$Z:$Z)</f>
        <v>195000</v>
      </c>
    </row>
    <row r="503" spans="1:14" s="7" customFormat="1">
      <c r="A503" s="1" t="s">
        <v>5102</v>
      </c>
      <c r="B503" s="3" t="s">
        <v>4472</v>
      </c>
      <c r="C503" s="3" t="s">
        <v>51</v>
      </c>
      <c r="D503" s="1" t="s">
        <v>5103</v>
      </c>
      <c r="E503" s="7" t="str">
        <f t="shared" si="49"/>
        <v>DSP</v>
      </c>
      <c r="F503" s="7" t="str">
        <f t="shared" si="50"/>
        <v>UNI</v>
      </c>
      <c r="G503" s="7" t="str">
        <f t="shared" si="51"/>
        <v>BAG</v>
      </c>
      <c r="H503" s="7" t="str">
        <f t="shared" si="52"/>
        <v>CHR</v>
      </c>
      <c r="I503" s="7" t="str">
        <f t="shared" si="53"/>
        <v>SCH</v>
      </c>
      <c r="J503" s="7" t="str">
        <f t="shared" si="54"/>
        <v>LEA</v>
      </c>
      <c r="K503" s="7" t="str">
        <f t="shared" si="55"/>
        <v>0</v>
      </c>
      <c r="L503" s="7">
        <v>0</v>
      </c>
      <c r="M503" s="7" t="s">
        <v>2609</v>
      </c>
      <c r="N503" s="7">
        <f>_xlfn.XLOOKUP(A503,[1]SKU!$A:$A,[1]SKU!$Z:$Z)</f>
        <v>1150000</v>
      </c>
    </row>
    <row r="504" spans="1:14" s="7" customFormat="1">
      <c r="A504" s="1" t="s">
        <v>662</v>
      </c>
      <c r="B504" s="3" t="s">
        <v>19</v>
      </c>
      <c r="C504" s="3" t="s">
        <v>306</v>
      </c>
      <c r="D504" s="1" t="s">
        <v>663</v>
      </c>
      <c r="E504" s="7" t="str">
        <f t="shared" si="49"/>
        <v>OTH</v>
      </c>
      <c r="F504" s="7" t="str">
        <f t="shared" si="50"/>
        <v>UNI</v>
      </c>
      <c r="G504" s="7" t="str">
        <f t="shared" si="51"/>
        <v>BAG</v>
      </c>
      <c r="H504" s="7" t="str">
        <f t="shared" si="52"/>
        <v>PCE</v>
      </c>
      <c r="I504" s="7" t="str">
        <f t="shared" si="53"/>
        <v>PCE</v>
      </c>
      <c r="J504" s="7" t="str">
        <f t="shared" si="54"/>
        <v>ORA</v>
      </c>
      <c r="K504" s="7" t="str">
        <f t="shared" si="55"/>
        <v>0</v>
      </c>
      <c r="L504" s="7">
        <v>0</v>
      </c>
      <c r="M504" s="7" t="s">
        <v>2609</v>
      </c>
      <c r="N504" s="7">
        <f>_xlfn.XLOOKUP(A504,[1]SKU!$A:$A,[1]SKU!$Z:$Z)</f>
        <v>395000</v>
      </c>
    </row>
    <row r="505" spans="1:14" s="7" customFormat="1">
      <c r="A505" s="1" t="s">
        <v>664</v>
      </c>
      <c r="B505" s="3" t="s">
        <v>19</v>
      </c>
      <c r="C505" s="3" t="s">
        <v>665</v>
      </c>
      <c r="D505" s="1" t="s">
        <v>666</v>
      </c>
      <c r="E505" s="7" t="str">
        <f t="shared" si="49"/>
        <v>OTH</v>
      </c>
      <c r="F505" s="7" t="str">
        <f t="shared" si="50"/>
        <v>UNI</v>
      </c>
      <c r="G505" s="7" t="str">
        <f t="shared" si="51"/>
        <v>SOU</v>
      </c>
      <c r="H505" s="7" t="str">
        <f t="shared" si="52"/>
        <v>HFS</v>
      </c>
      <c r="I505" s="7" t="str">
        <f t="shared" si="53"/>
        <v>BLN</v>
      </c>
      <c r="J505" s="7" t="str">
        <f t="shared" si="54"/>
        <v>WHI</v>
      </c>
      <c r="K505" s="7" t="str">
        <f t="shared" si="55"/>
        <v>0</v>
      </c>
      <c r="L505" s="7">
        <v>0</v>
      </c>
      <c r="M505" s="7" t="s">
        <v>2609</v>
      </c>
      <c r="N505" s="7">
        <f>_xlfn.XLOOKUP(A505,[1]SKU!$A:$A,[1]SKU!$Z:$Z)</f>
        <v>355000</v>
      </c>
    </row>
    <row r="506" spans="1:14" s="7" customFormat="1">
      <c r="A506" s="1" t="s">
        <v>667</v>
      </c>
      <c r="B506" s="3" t="s">
        <v>3</v>
      </c>
      <c r="C506" s="3" t="s">
        <v>23</v>
      </c>
      <c r="D506" s="1" t="s">
        <v>668</v>
      </c>
      <c r="E506" s="7" t="str">
        <f t="shared" si="49"/>
        <v>GCV</v>
      </c>
      <c r="F506" s="7" t="str">
        <f t="shared" si="50"/>
        <v>MEN</v>
      </c>
      <c r="G506" s="7" t="str">
        <f t="shared" si="51"/>
        <v>SIS</v>
      </c>
      <c r="H506" s="7" t="str">
        <f t="shared" si="52"/>
        <v>BUT</v>
      </c>
      <c r="I506" s="7" t="str">
        <f t="shared" si="53"/>
        <v>URB</v>
      </c>
      <c r="J506" s="7" t="str">
        <f t="shared" si="54"/>
        <v>WHI</v>
      </c>
      <c r="K506" s="7" t="str">
        <f t="shared" si="55"/>
        <v>L</v>
      </c>
      <c r="L506" s="7" t="s">
        <v>2211</v>
      </c>
      <c r="M506" s="7" t="s">
        <v>4464</v>
      </c>
      <c r="N506" s="7">
        <f>_xlfn.XLOOKUP(A506,[1]SKU!$A:$A,[1]SKU!$Z:$Z)</f>
        <v>1790000</v>
      </c>
    </row>
    <row r="507" spans="1:14" s="7" customFormat="1">
      <c r="A507" s="1" t="s">
        <v>5104</v>
      </c>
      <c r="B507" s="3" t="s">
        <v>4472</v>
      </c>
      <c r="C507" s="3" t="s">
        <v>669</v>
      </c>
      <c r="D507" s="1" t="s">
        <v>5105</v>
      </c>
      <c r="E507" s="7" t="str">
        <f t="shared" si="49"/>
        <v>VNE</v>
      </c>
      <c r="F507" s="7" t="str">
        <f t="shared" si="50"/>
        <v>UNI</v>
      </c>
      <c r="G507" s="7" t="str">
        <f t="shared" si="51"/>
        <v>SOU</v>
      </c>
      <c r="H507" s="7" t="str">
        <f t="shared" si="52"/>
        <v>SMS</v>
      </c>
      <c r="I507" s="7" t="str">
        <f t="shared" si="53"/>
        <v>GYU</v>
      </c>
      <c r="J507" s="7" t="str">
        <f t="shared" si="54"/>
        <v>SGR</v>
      </c>
      <c r="K507" s="7" t="str">
        <f t="shared" si="55"/>
        <v>20CM</v>
      </c>
      <c r="L507" s="7">
        <v>0</v>
      </c>
      <c r="M507" s="7" t="s">
        <v>2609</v>
      </c>
      <c r="N507" s="7">
        <f>_xlfn.XLOOKUP(A507,[1]SKU!$A:$A,[1]SKU!$Z:$Z)</f>
        <v>8100000</v>
      </c>
    </row>
    <row r="508" spans="1:14" s="7" customFormat="1">
      <c r="A508" s="1" t="s">
        <v>5106</v>
      </c>
      <c r="B508" s="3" t="s">
        <v>4472</v>
      </c>
      <c r="C508" s="3" t="s">
        <v>5107</v>
      </c>
      <c r="D508" s="1" t="s">
        <v>5108</v>
      </c>
      <c r="E508" s="7" t="str">
        <f t="shared" si="49"/>
        <v>LAN</v>
      </c>
      <c r="F508" s="7" t="str">
        <f t="shared" si="50"/>
        <v>UNI</v>
      </c>
      <c r="G508" s="7" t="str">
        <f t="shared" si="51"/>
        <v>HWR</v>
      </c>
      <c r="H508" s="7" t="str">
        <f t="shared" si="52"/>
        <v>SC2</v>
      </c>
      <c r="I508" s="7" t="str">
        <f t="shared" si="53"/>
        <v>HBT</v>
      </c>
      <c r="J508" s="7" t="str">
        <f t="shared" si="54"/>
        <v>ORA</v>
      </c>
      <c r="K508" s="7" t="str">
        <f t="shared" si="55"/>
        <v>90x90</v>
      </c>
      <c r="L508" s="7">
        <v>0</v>
      </c>
      <c r="M508" s="7" t="s">
        <v>2609</v>
      </c>
      <c r="N508" s="7">
        <f>_xlfn.XLOOKUP(A508,[1]SKU!$A:$A,[1]SKU!$Z:$Z)</f>
        <v>989000</v>
      </c>
    </row>
    <row r="509" spans="1:14" s="7" customFormat="1">
      <c r="A509" s="1" t="s">
        <v>5109</v>
      </c>
      <c r="B509" s="3" t="s">
        <v>4472</v>
      </c>
      <c r="C509" s="3" t="s">
        <v>670</v>
      </c>
      <c r="D509" s="1" t="s">
        <v>5110</v>
      </c>
      <c r="E509" s="7" t="str">
        <f t="shared" si="49"/>
        <v>GAR</v>
      </c>
      <c r="F509" s="7" t="str">
        <f t="shared" si="50"/>
        <v>UNI</v>
      </c>
      <c r="G509" s="7" t="str">
        <f t="shared" si="51"/>
        <v>SOU</v>
      </c>
      <c r="H509" s="7" t="str">
        <f t="shared" si="52"/>
        <v>SOP</v>
      </c>
      <c r="I509" s="7" t="str">
        <f t="shared" si="53"/>
        <v>TUR</v>
      </c>
      <c r="J509" s="7" t="str">
        <f t="shared" si="54"/>
        <v>MIX</v>
      </c>
      <c r="K509" s="7" t="str">
        <f t="shared" si="55"/>
        <v>0</v>
      </c>
      <c r="L509" s="7">
        <v>0</v>
      </c>
      <c r="M509" s="7" t="s">
        <v>2609</v>
      </c>
      <c r="N509" s="7">
        <f>_xlfn.XLOOKUP(A509,[1]SKU!$A:$A,[1]SKU!$Z:$Z)</f>
        <v>115000</v>
      </c>
    </row>
    <row r="510" spans="1:14" s="7" customFormat="1">
      <c r="A510" s="1" t="s">
        <v>5111</v>
      </c>
      <c r="B510" s="3" t="s">
        <v>4472</v>
      </c>
      <c r="C510" s="3" t="s">
        <v>5112</v>
      </c>
      <c r="D510" s="1" t="s">
        <v>5113</v>
      </c>
      <c r="E510" s="7" t="str">
        <f t="shared" si="49"/>
        <v>EDE</v>
      </c>
      <c r="F510" s="7" t="str">
        <f t="shared" si="50"/>
        <v>UNI</v>
      </c>
      <c r="G510" s="7" t="str">
        <f t="shared" si="51"/>
        <v>BAG</v>
      </c>
      <c r="H510" s="7" t="str">
        <f t="shared" si="52"/>
        <v>TTB</v>
      </c>
      <c r="I510" s="7" t="str">
        <f t="shared" si="53"/>
        <v>HO2</v>
      </c>
      <c r="J510" s="7" t="str">
        <f t="shared" si="54"/>
        <v>PIN</v>
      </c>
      <c r="K510" s="7" t="str">
        <f t="shared" si="55"/>
        <v>0</v>
      </c>
      <c r="L510" s="7">
        <v>0</v>
      </c>
      <c r="M510" s="7" t="s">
        <v>2609</v>
      </c>
      <c r="N510" s="7">
        <f>_xlfn.XLOOKUP(A510,[1]SKU!$A:$A,[1]SKU!$Z:$Z)</f>
        <v>470000</v>
      </c>
    </row>
    <row r="511" spans="1:14" s="7" customFormat="1">
      <c r="A511" s="1" t="s">
        <v>671</v>
      </c>
      <c r="B511" s="3" t="s">
        <v>19</v>
      </c>
      <c r="C511" s="3" t="s">
        <v>23</v>
      </c>
      <c r="D511" s="1" t="s">
        <v>672</v>
      </c>
      <c r="E511" s="7" t="str">
        <f t="shared" si="49"/>
        <v>OTH</v>
      </c>
      <c r="F511" s="7" t="str">
        <f t="shared" si="50"/>
        <v>UNI</v>
      </c>
      <c r="G511" s="7" t="str">
        <f t="shared" si="51"/>
        <v>FWR</v>
      </c>
      <c r="H511" s="7" t="str">
        <f t="shared" si="52"/>
        <v>SLI</v>
      </c>
      <c r="I511" s="7" t="str">
        <f t="shared" si="53"/>
        <v>URB</v>
      </c>
      <c r="J511" s="7" t="str">
        <f t="shared" si="54"/>
        <v>ORA</v>
      </c>
      <c r="K511" s="7" t="str">
        <f t="shared" si="55"/>
        <v>36</v>
      </c>
      <c r="L511" s="7">
        <v>0</v>
      </c>
      <c r="M511" s="7" t="s">
        <v>2609</v>
      </c>
      <c r="N511" s="7">
        <f>_xlfn.XLOOKUP(A511,[1]SKU!$A:$A,[1]SKU!$Z:$Z)</f>
        <v>395000</v>
      </c>
    </row>
    <row r="512" spans="1:14" s="7" customFormat="1">
      <c r="A512" s="1" t="s">
        <v>673</v>
      </c>
      <c r="B512" s="3" t="s">
        <v>3</v>
      </c>
      <c r="C512" s="3" t="s">
        <v>674</v>
      </c>
      <c r="D512" s="1" t="s">
        <v>675</v>
      </c>
      <c r="E512" s="7" t="str">
        <f t="shared" si="49"/>
        <v>GOR</v>
      </c>
      <c r="F512" s="7" t="str">
        <f t="shared" si="50"/>
        <v>MEN</v>
      </c>
      <c r="G512" s="7" t="str">
        <f t="shared" si="51"/>
        <v>TSS</v>
      </c>
      <c r="H512" s="7" t="str">
        <f t="shared" si="52"/>
        <v>ONE</v>
      </c>
      <c r="I512" s="7" t="str">
        <f t="shared" si="53"/>
        <v>TPO</v>
      </c>
      <c r="J512" s="7" t="str">
        <f t="shared" si="54"/>
        <v>WHI</v>
      </c>
      <c r="K512" s="7" t="str">
        <f t="shared" si="55"/>
        <v>XXL</v>
      </c>
      <c r="L512" s="7" t="s">
        <v>2018</v>
      </c>
      <c r="M512" s="7" t="s">
        <v>4462</v>
      </c>
      <c r="N512" s="7">
        <f>_xlfn.XLOOKUP(A512,[1]SKU!$A:$A,[1]SKU!$Z:$Z)</f>
        <v>990000</v>
      </c>
    </row>
    <row r="513" spans="1:14" s="7" customFormat="1">
      <c r="A513" s="1" t="s">
        <v>5114</v>
      </c>
      <c r="B513" s="3" t="s">
        <v>4472</v>
      </c>
      <c r="C513" s="3" t="s">
        <v>5115</v>
      </c>
      <c r="D513" s="1" t="s">
        <v>5116</v>
      </c>
      <c r="E513" s="7" t="str">
        <f t="shared" si="49"/>
        <v>EDE</v>
      </c>
      <c r="F513" s="7" t="str">
        <f t="shared" si="50"/>
        <v>UNI</v>
      </c>
      <c r="G513" s="7" t="str">
        <f t="shared" si="51"/>
        <v>HDR</v>
      </c>
      <c r="H513" s="7" t="str">
        <f t="shared" si="52"/>
        <v>CUS</v>
      </c>
      <c r="I513" s="7" t="str">
        <f t="shared" si="53"/>
        <v>KIM</v>
      </c>
      <c r="J513" s="7" t="str">
        <f t="shared" si="54"/>
        <v>BLU</v>
      </c>
      <c r="K513" s="7" t="str">
        <f t="shared" si="55"/>
        <v>0</v>
      </c>
      <c r="L513" s="7">
        <v>0</v>
      </c>
      <c r="M513" s="7" t="s">
        <v>2609</v>
      </c>
      <c r="N513" s="7">
        <f>_xlfn.XLOOKUP(A513,[1]SKU!$A:$A,[1]SKU!$Z:$Z)</f>
        <v>480000</v>
      </c>
    </row>
    <row r="514" spans="1:14" s="7" customFormat="1">
      <c r="A514" s="1" t="s">
        <v>5117</v>
      </c>
      <c r="B514" s="3" t="s">
        <v>4472</v>
      </c>
      <c r="C514" s="3" t="s">
        <v>328</v>
      </c>
      <c r="D514" s="1" t="s">
        <v>5118</v>
      </c>
      <c r="E514" s="7" t="str">
        <f t="shared" si="49"/>
        <v>DSP</v>
      </c>
      <c r="F514" s="7" t="str">
        <f t="shared" si="50"/>
        <v>UNI</v>
      </c>
      <c r="G514" s="7" t="str">
        <f t="shared" si="51"/>
        <v>SOU</v>
      </c>
      <c r="H514" s="7" t="str">
        <f t="shared" si="52"/>
        <v>SAS</v>
      </c>
      <c r="I514" s="7" t="str">
        <f t="shared" si="53"/>
        <v>WBX</v>
      </c>
      <c r="J514" s="7" t="str">
        <f t="shared" si="54"/>
        <v>BRP</v>
      </c>
      <c r="K514" s="7" t="str">
        <f t="shared" si="55"/>
        <v>0</v>
      </c>
      <c r="L514" s="7">
        <v>0</v>
      </c>
      <c r="M514" s="7" t="s">
        <v>2609</v>
      </c>
      <c r="N514" s="7">
        <f>_xlfn.XLOOKUP(A514,[1]SKU!$A:$A,[1]SKU!$Z:$Z)</f>
        <v>1950000</v>
      </c>
    </row>
    <row r="515" spans="1:14" s="7" customFormat="1">
      <c r="A515" s="1" t="s">
        <v>676</v>
      </c>
      <c r="B515" s="3" t="s">
        <v>3</v>
      </c>
      <c r="C515" s="3" t="s">
        <v>311</v>
      </c>
      <c r="D515" s="1" t="s">
        <v>677</v>
      </c>
      <c r="E515" s="7" t="str">
        <f t="shared" ref="E515:E578" si="56">_xlfn.TEXTBEFORE(_xlfn.TEXTAFTER(D515,"-"),"-")</f>
        <v>GSP</v>
      </c>
      <c r="F515" s="7" t="str">
        <f t="shared" ref="F515:F578" si="57">_xlfn.TEXTBEFORE(_xlfn.TEXTAFTER(D515,"-",2),"-")</f>
        <v>WOM</v>
      </c>
      <c r="G515" s="7" t="str">
        <f t="shared" ref="G515:G578" si="58">_xlfn.TEXTBEFORE(_xlfn.TEXTAFTER(D515,"-",3),"-")</f>
        <v>PZE</v>
      </c>
      <c r="H515" s="7" t="str">
        <f t="shared" ref="H515:H578" si="59">_xlfn.TEXTBEFORE(_xlfn.TEXTAFTER(D515,"-",4),"-")</f>
        <v>ONE</v>
      </c>
      <c r="I515" s="7" t="str">
        <f t="shared" ref="I515:I578" si="60">_xlfn.TEXTBEFORE(_xlfn.TEXTAFTER(D515,"-",5),"-")</f>
        <v>GL2</v>
      </c>
      <c r="J515" s="7" t="str">
        <f t="shared" ref="J515:J578" si="61">_xlfn.TEXTBEFORE(_xlfn.TEXTAFTER(D515,"-",6),"-")</f>
        <v>NAV</v>
      </c>
      <c r="K515" s="7" t="str">
        <f t="shared" ref="K515:K578" si="62">_xlfn.TEXTAFTER(D515,"-",7)</f>
        <v>S</v>
      </c>
      <c r="L515" s="7" t="s">
        <v>2167</v>
      </c>
      <c r="M515" s="7" t="s">
        <v>2167</v>
      </c>
      <c r="N515" s="7">
        <f>_xlfn.XLOOKUP(A515,[1]SKU!$A:$A,[1]SKU!$Z:$Z)</f>
        <v>790000</v>
      </c>
    </row>
    <row r="516" spans="1:14" s="7" customFormat="1">
      <c r="A516" s="1" t="s">
        <v>5119</v>
      </c>
      <c r="B516" s="3" t="s">
        <v>4472</v>
      </c>
      <c r="C516" s="3" t="s">
        <v>678</v>
      </c>
      <c r="D516" s="1" t="s">
        <v>5120</v>
      </c>
      <c r="E516" s="7" t="str">
        <f t="shared" si="56"/>
        <v>TOH</v>
      </c>
      <c r="F516" s="7" t="str">
        <f t="shared" si="57"/>
        <v>UNI</v>
      </c>
      <c r="G516" s="7" t="str">
        <f t="shared" si="58"/>
        <v>SOU</v>
      </c>
      <c r="H516" s="7" t="str">
        <f t="shared" si="59"/>
        <v>POS</v>
      </c>
      <c r="I516" s="7" t="str">
        <f t="shared" si="60"/>
        <v>PCS</v>
      </c>
      <c r="J516" s="7" t="str">
        <f t="shared" si="61"/>
        <v>MIX</v>
      </c>
      <c r="K516" s="7" t="str">
        <f t="shared" si="62"/>
        <v>S</v>
      </c>
      <c r="L516" s="7">
        <v>0</v>
      </c>
      <c r="M516" s="7" t="s">
        <v>2609</v>
      </c>
      <c r="N516" s="7">
        <f>_xlfn.XLOOKUP(A516,[1]SKU!$A:$A,[1]SKU!$Z:$Z)</f>
        <v>80000</v>
      </c>
    </row>
    <row r="517" spans="1:14" s="7" customFormat="1">
      <c r="A517" s="1" t="s">
        <v>5121</v>
      </c>
      <c r="B517" s="3" t="s">
        <v>4472</v>
      </c>
      <c r="C517" s="3" t="s">
        <v>467</v>
      </c>
      <c r="D517" s="1" t="s">
        <v>5122</v>
      </c>
      <c r="E517" s="7" t="str">
        <f t="shared" si="56"/>
        <v>DSP</v>
      </c>
      <c r="F517" s="7" t="str">
        <f t="shared" si="57"/>
        <v>UNI</v>
      </c>
      <c r="G517" s="7" t="str">
        <f t="shared" si="58"/>
        <v>FWR</v>
      </c>
      <c r="H517" s="7" t="str">
        <f t="shared" si="59"/>
        <v>LES</v>
      </c>
      <c r="I517" s="7" t="str">
        <f t="shared" si="60"/>
        <v>DRI</v>
      </c>
      <c r="J517" s="7" t="str">
        <f t="shared" si="61"/>
        <v>DED</v>
      </c>
      <c r="K517" s="7" t="str">
        <f t="shared" si="62"/>
        <v>40</v>
      </c>
      <c r="L517" s="7">
        <v>0</v>
      </c>
      <c r="M517" s="7" t="s">
        <v>2609</v>
      </c>
      <c r="N517" s="7">
        <f>_xlfn.XLOOKUP(A517,[1]SKU!$A:$A,[1]SKU!$Z:$Z)</f>
        <v>6200000</v>
      </c>
    </row>
    <row r="518" spans="1:14" s="7" customFormat="1">
      <c r="A518" s="1" t="s">
        <v>679</v>
      </c>
      <c r="B518" s="3" t="s">
        <v>3</v>
      </c>
      <c r="C518" s="3" t="s">
        <v>154</v>
      </c>
      <c r="D518" s="1" t="s">
        <v>680</v>
      </c>
      <c r="E518" s="7" t="str">
        <f t="shared" si="56"/>
        <v>GCL</v>
      </c>
      <c r="F518" s="7" t="str">
        <f t="shared" si="57"/>
        <v>WOM</v>
      </c>
      <c r="G518" s="7" t="str">
        <f t="shared" si="58"/>
        <v>CRO</v>
      </c>
      <c r="H518" s="7" t="str">
        <f t="shared" si="59"/>
        <v>ONE</v>
      </c>
      <c r="I518" s="7" t="str">
        <f t="shared" si="60"/>
        <v>TNT</v>
      </c>
      <c r="J518" s="7" t="str">
        <f t="shared" si="61"/>
        <v>WHI</v>
      </c>
      <c r="K518" s="7" t="str">
        <f t="shared" si="62"/>
        <v>S</v>
      </c>
      <c r="L518" s="7" t="s">
        <v>2453</v>
      </c>
      <c r="M518" s="7" t="s">
        <v>4463</v>
      </c>
      <c r="N518" s="7">
        <f>_xlfn.XLOOKUP(A518,[1]SKU!$A:$A,[1]SKU!$Z:$Z)</f>
        <v>1190000</v>
      </c>
    </row>
    <row r="519" spans="1:14" s="7" customFormat="1">
      <c r="A519" s="1" t="s">
        <v>681</v>
      </c>
      <c r="B519" s="3" t="s">
        <v>19</v>
      </c>
      <c r="C519" s="3" t="s">
        <v>268</v>
      </c>
      <c r="D519" s="1" t="s">
        <v>682</v>
      </c>
      <c r="E519" s="7" t="str">
        <f t="shared" si="56"/>
        <v>OTH</v>
      </c>
      <c r="F519" s="7" t="str">
        <f t="shared" si="57"/>
        <v>UNI</v>
      </c>
      <c r="G519" s="7" t="str">
        <f t="shared" si="58"/>
        <v>FWR</v>
      </c>
      <c r="H519" s="7" t="str">
        <f t="shared" si="59"/>
        <v>SLI</v>
      </c>
      <c r="I519" s="7" t="str">
        <f t="shared" si="60"/>
        <v>SSY</v>
      </c>
      <c r="J519" s="7" t="str">
        <f t="shared" si="61"/>
        <v>BLU</v>
      </c>
      <c r="K519" s="7" t="str">
        <f t="shared" si="62"/>
        <v>42</v>
      </c>
      <c r="L519" s="7">
        <v>0</v>
      </c>
      <c r="M519" s="7" t="s">
        <v>2609</v>
      </c>
      <c r="N519" s="7">
        <f>_xlfn.XLOOKUP(A519,[1]SKU!$A:$A,[1]SKU!$Z:$Z)</f>
        <v>395000</v>
      </c>
    </row>
    <row r="520" spans="1:14" s="7" customFormat="1">
      <c r="A520" s="1" t="s">
        <v>5123</v>
      </c>
      <c r="B520" s="3" t="s">
        <v>4472</v>
      </c>
      <c r="C520" s="3" t="s">
        <v>5124</v>
      </c>
      <c r="D520" s="1" t="s">
        <v>5125</v>
      </c>
      <c r="E520" s="7" t="str">
        <f t="shared" si="56"/>
        <v>LAN</v>
      </c>
      <c r="F520" s="7" t="str">
        <f t="shared" si="57"/>
        <v>UNI</v>
      </c>
      <c r="G520" s="7" t="str">
        <f t="shared" si="58"/>
        <v>HWR</v>
      </c>
      <c r="H520" s="7" t="str">
        <f t="shared" si="59"/>
        <v>SC1</v>
      </c>
      <c r="I520" s="7" t="str">
        <f t="shared" si="60"/>
        <v>NPG</v>
      </c>
      <c r="J520" s="7" t="str">
        <f t="shared" si="61"/>
        <v>PUR</v>
      </c>
      <c r="K520" s="7" t="str">
        <f t="shared" si="62"/>
        <v>90x90</v>
      </c>
      <c r="L520" s="7">
        <v>0</v>
      </c>
      <c r="M520" s="7" t="s">
        <v>2609</v>
      </c>
      <c r="N520" s="7">
        <f>_xlfn.XLOOKUP(A520,[1]SKU!$A:$A,[1]SKU!$Z:$Z)</f>
        <v>849000</v>
      </c>
    </row>
    <row r="521" spans="1:14" s="7" customFormat="1">
      <c r="A521" s="1" t="s">
        <v>683</v>
      </c>
      <c r="B521" s="3" t="s">
        <v>3</v>
      </c>
      <c r="C521" s="3" t="s">
        <v>684</v>
      </c>
      <c r="D521" s="1" t="s">
        <v>685</v>
      </c>
      <c r="E521" s="7" t="str">
        <f t="shared" si="56"/>
        <v>GOR</v>
      </c>
      <c r="F521" s="7" t="str">
        <f t="shared" si="57"/>
        <v>WOM</v>
      </c>
      <c r="G521" s="7" t="str">
        <f t="shared" si="58"/>
        <v>PZE</v>
      </c>
      <c r="H521" s="7" t="str">
        <f t="shared" si="59"/>
        <v>ONE</v>
      </c>
      <c r="I521" s="7" t="str">
        <f t="shared" si="60"/>
        <v>STC</v>
      </c>
      <c r="J521" s="7" t="str">
        <f t="shared" si="61"/>
        <v>PPA</v>
      </c>
      <c r="K521" s="7" t="str">
        <f t="shared" si="62"/>
        <v>S</v>
      </c>
      <c r="L521" s="7" t="s">
        <v>2167</v>
      </c>
      <c r="M521" s="7" t="s">
        <v>2167</v>
      </c>
      <c r="N521" s="7">
        <f>_xlfn.XLOOKUP(A521,[1]SKU!$A:$A,[1]SKU!$Z:$Z)</f>
        <v>790000</v>
      </c>
    </row>
    <row r="522" spans="1:14" s="7" customFormat="1">
      <c r="A522" s="1" t="s">
        <v>686</v>
      </c>
      <c r="B522" s="3" t="s">
        <v>3</v>
      </c>
      <c r="C522" s="3" t="s">
        <v>45</v>
      </c>
      <c r="D522" s="1" t="s">
        <v>687</v>
      </c>
      <c r="E522" s="7" t="str">
        <f t="shared" si="56"/>
        <v>GBA</v>
      </c>
      <c r="F522" s="7" t="str">
        <f t="shared" si="57"/>
        <v>MEN</v>
      </c>
      <c r="G522" s="7" t="str">
        <f t="shared" si="58"/>
        <v>TSS</v>
      </c>
      <c r="H522" s="7" t="str">
        <f t="shared" si="59"/>
        <v>ONE</v>
      </c>
      <c r="I522" s="7" t="str">
        <f t="shared" si="60"/>
        <v>DDU</v>
      </c>
      <c r="J522" s="7" t="str">
        <f t="shared" si="61"/>
        <v>GPE</v>
      </c>
      <c r="K522" s="7" t="str">
        <f t="shared" si="62"/>
        <v>S</v>
      </c>
      <c r="L522" s="7" t="s">
        <v>2018</v>
      </c>
      <c r="M522" s="7" t="s">
        <v>4462</v>
      </c>
      <c r="N522" s="7">
        <f>_xlfn.XLOOKUP(A522,[1]SKU!$A:$A,[1]SKU!$Z:$Z)</f>
        <v>710000</v>
      </c>
    </row>
    <row r="523" spans="1:14" s="7" customFormat="1">
      <c r="A523" s="1" t="s">
        <v>5126</v>
      </c>
      <c r="B523" s="3" t="s">
        <v>4472</v>
      </c>
      <c r="C523" s="3" t="s">
        <v>388</v>
      </c>
      <c r="D523" s="1" t="s">
        <v>5127</v>
      </c>
      <c r="E523" s="7" t="str">
        <f t="shared" si="56"/>
        <v>DSP</v>
      </c>
      <c r="F523" s="7" t="str">
        <f t="shared" si="57"/>
        <v>UNI</v>
      </c>
      <c r="G523" s="7" t="str">
        <f t="shared" si="58"/>
        <v>FWR</v>
      </c>
      <c r="H523" s="7" t="str">
        <f t="shared" si="59"/>
        <v>LES</v>
      </c>
      <c r="I523" s="7" t="str">
        <f t="shared" si="60"/>
        <v>LAW</v>
      </c>
      <c r="J523" s="7" t="str">
        <f t="shared" si="61"/>
        <v>DED</v>
      </c>
      <c r="K523" s="7" t="str">
        <f t="shared" si="62"/>
        <v>36</v>
      </c>
      <c r="L523" s="7">
        <v>0</v>
      </c>
      <c r="M523" s="7" t="s">
        <v>2609</v>
      </c>
      <c r="N523" s="7">
        <f>_xlfn.XLOOKUP(A523,[1]SKU!$A:$A,[1]SKU!$Z:$Z)</f>
        <v>8250000</v>
      </c>
    </row>
    <row r="524" spans="1:14" s="7" customFormat="1">
      <c r="A524" s="1" t="s">
        <v>5128</v>
      </c>
      <c r="B524" s="3" t="s">
        <v>4472</v>
      </c>
      <c r="C524" s="3" t="s">
        <v>5129</v>
      </c>
      <c r="D524" s="1" t="s">
        <v>5130</v>
      </c>
      <c r="E524" s="7" t="str">
        <f t="shared" si="56"/>
        <v>TOH</v>
      </c>
      <c r="F524" s="7" t="str">
        <f t="shared" si="57"/>
        <v>UNI</v>
      </c>
      <c r="G524" s="7" t="str">
        <f t="shared" si="58"/>
        <v>BAG</v>
      </c>
      <c r="H524" s="7" t="str">
        <f t="shared" si="59"/>
        <v>SHB</v>
      </c>
      <c r="I524" s="7" t="str">
        <f t="shared" si="60"/>
        <v>ABL</v>
      </c>
      <c r="J524" s="7" t="str">
        <f t="shared" si="61"/>
        <v>MIX</v>
      </c>
      <c r="K524" s="7" t="str">
        <f t="shared" si="62"/>
        <v>S</v>
      </c>
      <c r="L524" s="7">
        <v>0</v>
      </c>
      <c r="M524" s="7" t="s">
        <v>2609</v>
      </c>
      <c r="N524" s="7">
        <f>_xlfn.XLOOKUP(A524,[1]SKU!$A:$A,[1]SKU!$Z:$Z)</f>
        <v>590000</v>
      </c>
    </row>
    <row r="525" spans="1:14" s="7" customFormat="1">
      <c r="A525" s="1" t="s">
        <v>688</v>
      </c>
      <c r="B525" s="3" t="s">
        <v>3</v>
      </c>
      <c r="C525" s="3" t="s">
        <v>311</v>
      </c>
      <c r="D525" s="1" t="s">
        <v>689</v>
      </c>
      <c r="E525" s="7" t="str">
        <f t="shared" si="56"/>
        <v>GSL</v>
      </c>
      <c r="F525" s="7" t="str">
        <f t="shared" si="57"/>
        <v>WOM</v>
      </c>
      <c r="G525" s="7" t="str">
        <f t="shared" si="58"/>
        <v>TSP</v>
      </c>
      <c r="H525" s="7" t="str">
        <f t="shared" si="59"/>
        <v>ONE</v>
      </c>
      <c r="I525" s="7" t="str">
        <f t="shared" si="60"/>
        <v>GL2</v>
      </c>
      <c r="J525" s="7" t="str">
        <f t="shared" si="61"/>
        <v>WHI</v>
      </c>
      <c r="K525" s="7" t="str">
        <f t="shared" si="62"/>
        <v>L</v>
      </c>
      <c r="L525" s="7" t="s">
        <v>2085</v>
      </c>
      <c r="M525" s="7" t="s">
        <v>4462</v>
      </c>
      <c r="N525" s="7">
        <f>_xlfn.XLOOKUP(A525,[1]SKU!$A:$A,[1]SKU!$Z:$Z)</f>
        <v>750000</v>
      </c>
    </row>
    <row r="526" spans="1:14" s="7" customFormat="1">
      <c r="A526" s="1" t="s">
        <v>5131</v>
      </c>
      <c r="B526" s="3" t="s">
        <v>4472</v>
      </c>
      <c r="C526" s="3" t="s">
        <v>5132</v>
      </c>
      <c r="D526" s="1" t="s">
        <v>5133</v>
      </c>
      <c r="E526" s="7" t="str">
        <f t="shared" si="56"/>
        <v>EDE</v>
      </c>
      <c r="F526" s="7" t="str">
        <f t="shared" si="57"/>
        <v>UNI</v>
      </c>
      <c r="G526" s="7" t="str">
        <f t="shared" si="58"/>
        <v>BAG</v>
      </c>
      <c r="H526" s="7" t="str">
        <f t="shared" si="59"/>
        <v>TTB</v>
      </c>
      <c r="I526" s="7" t="str">
        <f t="shared" si="60"/>
        <v>MIX</v>
      </c>
      <c r="J526" s="7" t="str">
        <f t="shared" si="61"/>
        <v>MIX</v>
      </c>
      <c r="K526" s="7" t="str">
        <f t="shared" si="62"/>
        <v>0</v>
      </c>
      <c r="L526" s="7">
        <v>0</v>
      </c>
      <c r="M526" s="7" t="s">
        <v>2609</v>
      </c>
      <c r="N526" s="7">
        <f>_xlfn.XLOOKUP(A526,[1]SKU!$A:$A,[1]SKU!$Z:$Z)</f>
        <v>470000</v>
      </c>
    </row>
    <row r="527" spans="1:14" s="7" customFormat="1">
      <c r="A527" s="1" t="s">
        <v>5134</v>
      </c>
      <c r="B527" s="3" t="s">
        <v>4472</v>
      </c>
      <c r="C527" s="3" t="s">
        <v>690</v>
      </c>
      <c r="D527" s="1" t="s">
        <v>5135</v>
      </c>
      <c r="E527" s="7" t="str">
        <f t="shared" si="56"/>
        <v>VNE</v>
      </c>
      <c r="F527" s="7" t="str">
        <f t="shared" si="57"/>
        <v>UNI</v>
      </c>
      <c r="G527" s="7" t="str">
        <f t="shared" si="58"/>
        <v>SOU</v>
      </c>
      <c r="H527" s="7" t="str">
        <f t="shared" si="59"/>
        <v>DAS</v>
      </c>
      <c r="I527" s="7" t="str">
        <f t="shared" si="60"/>
        <v>GYU</v>
      </c>
      <c r="J527" s="7" t="str">
        <f t="shared" si="61"/>
        <v>SGR</v>
      </c>
      <c r="K527" s="7" t="str">
        <f t="shared" si="62"/>
        <v>17CM</v>
      </c>
      <c r="L527" s="7">
        <v>0</v>
      </c>
      <c r="M527" s="7" t="s">
        <v>2609</v>
      </c>
      <c r="N527" s="7">
        <f>_xlfn.XLOOKUP(A527,[1]SKU!$A:$A,[1]SKU!$Z:$Z)</f>
        <v>12100000</v>
      </c>
    </row>
    <row r="528" spans="1:14" s="7" customFormat="1">
      <c r="A528" s="1" t="s">
        <v>5136</v>
      </c>
      <c r="B528" s="3" t="s">
        <v>4481</v>
      </c>
      <c r="C528" s="3" t="s">
        <v>691</v>
      </c>
      <c r="D528" s="1" t="s">
        <v>5137</v>
      </c>
      <c r="E528" s="7" t="str">
        <f t="shared" si="56"/>
        <v>PAS</v>
      </c>
      <c r="F528" s="7" t="str">
        <f t="shared" si="57"/>
        <v>UNI</v>
      </c>
      <c r="G528" s="7" t="str">
        <f t="shared" si="58"/>
        <v>ART</v>
      </c>
      <c r="H528" s="7" t="str">
        <f t="shared" si="59"/>
        <v>ART</v>
      </c>
      <c r="I528" s="7" t="str">
        <f t="shared" si="60"/>
        <v>DIA</v>
      </c>
      <c r="J528" s="7" t="str">
        <f t="shared" si="61"/>
        <v>MIX</v>
      </c>
      <c r="K528" s="7" t="str">
        <f t="shared" si="62"/>
        <v>A1</v>
      </c>
      <c r="L528" s="7">
        <v>0</v>
      </c>
      <c r="M528" s="7" t="s">
        <v>2609</v>
      </c>
      <c r="N528" s="7">
        <f>_xlfn.XLOOKUP(A528,[1]SKU!$A:$A,[1]SKU!$Z:$Z)</f>
        <v>7500000</v>
      </c>
    </row>
    <row r="529" spans="1:14" s="7" customFormat="1">
      <c r="A529" s="1" t="s">
        <v>5138</v>
      </c>
      <c r="B529" s="3" t="s">
        <v>4472</v>
      </c>
      <c r="C529" s="3" t="s">
        <v>4507</v>
      </c>
      <c r="D529" s="1" t="s">
        <v>5139</v>
      </c>
      <c r="E529" s="7" t="str">
        <f t="shared" si="56"/>
        <v>HAM</v>
      </c>
      <c r="F529" s="7" t="str">
        <f t="shared" si="57"/>
        <v>UNI</v>
      </c>
      <c r="G529" s="7" t="str">
        <f t="shared" si="58"/>
        <v>JEW</v>
      </c>
      <c r="H529" s="7" t="str">
        <f t="shared" si="59"/>
        <v>NEC</v>
      </c>
      <c r="I529" s="7" t="str">
        <f t="shared" si="60"/>
        <v>A30</v>
      </c>
      <c r="J529" s="7" t="str">
        <f t="shared" si="61"/>
        <v>MIX</v>
      </c>
      <c r="K529" s="7" t="str">
        <f t="shared" si="62"/>
        <v>0</v>
      </c>
      <c r="L529" s="7">
        <v>0</v>
      </c>
      <c r="M529" s="7" t="s">
        <v>2609</v>
      </c>
      <c r="N529" s="7">
        <f>_xlfn.XLOOKUP(A529,[1]SKU!$A:$A,[1]SKU!$Z:$Z)</f>
        <v>2000000</v>
      </c>
    </row>
    <row r="530" spans="1:14" s="7" customFormat="1">
      <c r="A530" s="1" t="s">
        <v>5140</v>
      </c>
      <c r="B530" s="3" t="s">
        <v>4472</v>
      </c>
      <c r="C530" s="3" t="s">
        <v>5141</v>
      </c>
      <c r="D530" s="1" t="s">
        <v>5142</v>
      </c>
      <c r="E530" s="7" t="str">
        <f t="shared" si="56"/>
        <v>LAN</v>
      </c>
      <c r="F530" s="7" t="str">
        <f t="shared" si="57"/>
        <v>UNI</v>
      </c>
      <c r="G530" s="7" t="str">
        <f t="shared" si="58"/>
        <v>HWR</v>
      </c>
      <c r="H530" s="7" t="str">
        <f t="shared" si="59"/>
        <v>SC2</v>
      </c>
      <c r="I530" s="7" t="str">
        <f t="shared" si="60"/>
        <v>CKE</v>
      </c>
      <c r="J530" s="7" t="str">
        <f t="shared" si="61"/>
        <v>YEL</v>
      </c>
      <c r="K530" s="7" t="str">
        <f t="shared" si="62"/>
        <v>55x55</v>
      </c>
      <c r="L530" s="7">
        <v>0</v>
      </c>
      <c r="M530" s="7" t="s">
        <v>2609</v>
      </c>
      <c r="N530" s="7">
        <f>_xlfn.XLOOKUP(A530,[1]SKU!$A:$A,[1]SKU!$Z:$Z)</f>
        <v>549000</v>
      </c>
    </row>
    <row r="531" spans="1:14" s="7" customFormat="1">
      <c r="A531" s="1" t="s">
        <v>693</v>
      </c>
      <c r="B531" s="3" t="s">
        <v>19</v>
      </c>
      <c r="C531" s="3" t="s">
        <v>149</v>
      </c>
      <c r="D531" s="1" t="s">
        <v>694</v>
      </c>
      <c r="E531" s="7" t="str">
        <f t="shared" si="56"/>
        <v>OTH</v>
      </c>
      <c r="F531" s="7" t="str">
        <f t="shared" si="57"/>
        <v>UNI</v>
      </c>
      <c r="G531" s="7" t="str">
        <f t="shared" si="58"/>
        <v>SOU</v>
      </c>
      <c r="H531" s="7" t="str">
        <f t="shared" si="59"/>
        <v>NBS</v>
      </c>
      <c r="I531" s="7" t="str">
        <f t="shared" si="60"/>
        <v>OQR</v>
      </c>
      <c r="J531" s="7" t="str">
        <f t="shared" si="61"/>
        <v>YEL</v>
      </c>
      <c r="K531" s="7" t="str">
        <f t="shared" si="62"/>
        <v>A6</v>
      </c>
      <c r="L531" s="7">
        <v>0</v>
      </c>
      <c r="M531" s="7" t="s">
        <v>2609</v>
      </c>
      <c r="N531" s="7">
        <f>_xlfn.XLOOKUP(A531,[1]SKU!$A:$A,[1]SKU!$Z:$Z)</f>
        <v>65000</v>
      </c>
    </row>
    <row r="532" spans="1:14" s="7" customFormat="1">
      <c r="A532" s="1" t="s">
        <v>5143</v>
      </c>
      <c r="B532" s="3" t="s">
        <v>4472</v>
      </c>
      <c r="C532" s="3" t="s">
        <v>5144</v>
      </c>
      <c r="D532" s="1" t="s">
        <v>5145</v>
      </c>
      <c r="E532" s="7" t="str">
        <f t="shared" si="56"/>
        <v>RUN</v>
      </c>
      <c r="F532" s="7" t="str">
        <f t="shared" si="57"/>
        <v>UNI</v>
      </c>
      <c r="G532" s="7" t="str">
        <f t="shared" si="58"/>
        <v>FNB</v>
      </c>
      <c r="H532" s="7" t="str">
        <f t="shared" si="59"/>
        <v>CFP</v>
      </c>
      <c r="I532" s="7" t="str">
        <f t="shared" si="60"/>
        <v>SO6</v>
      </c>
      <c r="J532" s="7" t="str">
        <f t="shared" si="61"/>
        <v>NON</v>
      </c>
      <c r="K532" s="7" t="str">
        <f t="shared" si="62"/>
        <v>250g</v>
      </c>
      <c r="L532" s="7">
        <v>0</v>
      </c>
      <c r="M532" s="7" t="s">
        <v>2609</v>
      </c>
      <c r="N532" s="7">
        <f>_xlfn.XLOOKUP(A532,[1]SKU!$A:$A,[1]SKU!$Z:$Z)</f>
        <v>162000</v>
      </c>
    </row>
    <row r="533" spans="1:14" s="11" customFormat="1">
      <c r="A533" s="1" t="s">
        <v>695</v>
      </c>
      <c r="B533" s="3" t="s">
        <v>3</v>
      </c>
      <c r="C533" s="3" t="s">
        <v>81</v>
      </c>
      <c r="D533" s="1" t="s">
        <v>696</v>
      </c>
      <c r="E533" s="7" t="str">
        <f t="shared" si="56"/>
        <v>GOR</v>
      </c>
      <c r="F533" s="7" t="str">
        <f t="shared" si="57"/>
        <v>MEN</v>
      </c>
      <c r="G533" s="7" t="str">
        <f t="shared" si="58"/>
        <v>TSP</v>
      </c>
      <c r="H533" s="7" t="str">
        <f t="shared" si="59"/>
        <v>ONE</v>
      </c>
      <c r="I533" s="7" t="str">
        <f t="shared" si="60"/>
        <v>JUN</v>
      </c>
      <c r="J533" s="7" t="str">
        <f t="shared" si="61"/>
        <v>JBG</v>
      </c>
      <c r="K533" s="7" t="str">
        <f t="shared" si="62"/>
        <v>XL</v>
      </c>
      <c r="L533" s="7" t="s">
        <v>2085</v>
      </c>
      <c r="M533" s="7" t="s">
        <v>4462</v>
      </c>
      <c r="N533" s="7">
        <f>_xlfn.XLOOKUP(A533,[1]SKU!$A:$A,[1]SKU!$Z:$Z)</f>
        <v>990000</v>
      </c>
    </row>
    <row r="534" spans="1:14" s="7" customFormat="1">
      <c r="A534" s="1" t="s">
        <v>5146</v>
      </c>
      <c r="B534" s="3" t="s">
        <v>4472</v>
      </c>
      <c r="C534" s="3" t="s">
        <v>697</v>
      </c>
      <c r="D534" s="1" t="s">
        <v>5147</v>
      </c>
      <c r="E534" s="7" t="str">
        <f t="shared" si="56"/>
        <v>DSP</v>
      </c>
      <c r="F534" s="7" t="str">
        <f t="shared" si="57"/>
        <v>UNI</v>
      </c>
      <c r="G534" s="7" t="str">
        <f t="shared" si="58"/>
        <v>FWR</v>
      </c>
      <c r="H534" s="7" t="str">
        <f t="shared" si="59"/>
        <v>LES</v>
      </c>
      <c r="I534" s="7" t="str">
        <f t="shared" si="60"/>
        <v>LUO</v>
      </c>
      <c r="J534" s="7" t="str">
        <f t="shared" si="61"/>
        <v>MBE</v>
      </c>
      <c r="K534" s="7" t="str">
        <f t="shared" si="62"/>
        <v>42</v>
      </c>
      <c r="L534" s="7">
        <v>0</v>
      </c>
      <c r="M534" s="7" t="s">
        <v>2609</v>
      </c>
      <c r="N534" s="7">
        <f>_xlfn.XLOOKUP(A534,[1]SKU!$A:$A,[1]SKU!$Z:$Z)</f>
        <v>8250000</v>
      </c>
    </row>
    <row r="535" spans="1:14" s="7" customFormat="1">
      <c r="A535" s="1" t="s">
        <v>5148</v>
      </c>
      <c r="B535" s="3" t="s">
        <v>4472</v>
      </c>
      <c r="C535" s="3" t="s">
        <v>380</v>
      </c>
      <c r="D535" s="1" t="s">
        <v>5149</v>
      </c>
      <c r="E535" s="7" t="str">
        <f t="shared" si="56"/>
        <v>DSP</v>
      </c>
      <c r="F535" s="7" t="str">
        <f t="shared" si="57"/>
        <v>UNI</v>
      </c>
      <c r="G535" s="7" t="str">
        <f t="shared" si="58"/>
        <v>FWR</v>
      </c>
      <c r="H535" s="7" t="str">
        <f t="shared" si="59"/>
        <v>LES</v>
      </c>
      <c r="I535" s="7" t="str">
        <f t="shared" si="60"/>
        <v>OWE</v>
      </c>
      <c r="J535" s="7" t="str">
        <f t="shared" si="61"/>
        <v>BLK</v>
      </c>
      <c r="K535" s="7" t="str">
        <f t="shared" si="62"/>
        <v>36</v>
      </c>
      <c r="L535" s="7">
        <v>0</v>
      </c>
      <c r="M535" s="7" t="s">
        <v>2609</v>
      </c>
      <c r="N535" s="7">
        <f>_xlfn.XLOOKUP(A535,[1]SKU!$A:$A,[1]SKU!$Z:$Z)</f>
        <v>8250000</v>
      </c>
    </row>
    <row r="536" spans="1:14" s="7" customFormat="1">
      <c r="A536" s="1" t="s">
        <v>698</v>
      </c>
      <c r="B536" s="3" t="s">
        <v>3</v>
      </c>
      <c r="C536" s="3" t="s">
        <v>314</v>
      </c>
      <c r="D536" s="1" t="s">
        <v>699</v>
      </c>
      <c r="E536" s="7" t="str">
        <f t="shared" si="56"/>
        <v>GOR</v>
      </c>
      <c r="F536" s="7" t="str">
        <f t="shared" si="57"/>
        <v>MEN</v>
      </c>
      <c r="G536" s="7" t="str">
        <f t="shared" si="58"/>
        <v>TSP</v>
      </c>
      <c r="H536" s="7" t="str">
        <f t="shared" si="59"/>
        <v>ONE</v>
      </c>
      <c r="I536" s="7" t="str">
        <f t="shared" si="60"/>
        <v>XLO</v>
      </c>
      <c r="J536" s="7" t="str">
        <f t="shared" si="61"/>
        <v>WHI</v>
      </c>
      <c r="K536" s="7" t="str">
        <f t="shared" si="62"/>
        <v>XXL</v>
      </c>
      <c r="L536" s="7" t="s">
        <v>2085</v>
      </c>
      <c r="M536" s="7" t="s">
        <v>4462</v>
      </c>
      <c r="N536" s="7">
        <f>_xlfn.XLOOKUP(A536,[1]SKU!$A:$A,[1]SKU!$Z:$Z)</f>
        <v>790000</v>
      </c>
    </row>
    <row r="537" spans="1:14" s="7" customFormat="1">
      <c r="A537" s="1" t="s">
        <v>700</v>
      </c>
      <c r="B537" s="3" t="s">
        <v>3</v>
      </c>
      <c r="C537" s="3" t="s">
        <v>81</v>
      </c>
      <c r="D537" s="1" t="s">
        <v>701</v>
      </c>
      <c r="E537" s="7" t="str">
        <f t="shared" si="56"/>
        <v>GBA</v>
      </c>
      <c r="F537" s="7" t="str">
        <f t="shared" si="57"/>
        <v>MEN</v>
      </c>
      <c r="G537" s="7" t="str">
        <f t="shared" si="58"/>
        <v>TSP</v>
      </c>
      <c r="H537" s="7" t="str">
        <f t="shared" si="59"/>
        <v>ONE</v>
      </c>
      <c r="I537" s="7" t="str">
        <f t="shared" si="60"/>
        <v>JUN</v>
      </c>
      <c r="J537" s="7" t="str">
        <f t="shared" si="61"/>
        <v>JBG</v>
      </c>
      <c r="K537" s="7" t="str">
        <f t="shared" si="62"/>
        <v>XL</v>
      </c>
      <c r="L537" s="7" t="s">
        <v>2085</v>
      </c>
      <c r="M537" s="7" t="s">
        <v>4462</v>
      </c>
      <c r="N537" s="7">
        <f>_xlfn.XLOOKUP(A537,[1]SKU!$A:$A,[1]SKU!$Z:$Z)</f>
        <v>890000</v>
      </c>
    </row>
    <row r="538" spans="1:14" s="7" customFormat="1">
      <c r="A538" s="1" t="s">
        <v>5150</v>
      </c>
      <c r="B538" s="3" t="s">
        <v>4472</v>
      </c>
      <c r="C538" s="3" t="s">
        <v>71</v>
      </c>
      <c r="D538" s="1" t="s">
        <v>5151</v>
      </c>
      <c r="E538" s="7" t="str">
        <f t="shared" si="56"/>
        <v>DSP</v>
      </c>
      <c r="F538" s="7" t="str">
        <f t="shared" si="57"/>
        <v>UNI</v>
      </c>
      <c r="G538" s="7" t="str">
        <f t="shared" si="58"/>
        <v>BAG</v>
      </c>
      <c r="H538" s="7" t="str">
        <f t="shared" si="59"/>
        <v>CCR</v>
      </c>
      <c r="I538" s="7" t="str">
        <f t="shared" si="60"/>
        <v>AZ1</v>
      </c>
      <c r="J538" s="7" t="str">
        <f t="shared" si="61"/>
        <v>MBE</v>
      </c>
      <c r="K538" s="7" t="str">
        <f t="shared" si="62"/>
        <v>0</v>
      </c>
      <c r="L538" s="7">
        <v>0</v>
      </c>
      <c r="M538" s="7" t="s">
        <v>2609</v>
      </c>
      <c r="N538" s="7">
        <f>_xlfn.XLOOKUP(A538,[1]SKU!$A:$A,[1]SKU!$Z:$Z)</f>
        <v>2100000</v>
      </c>
    </row>
    <row r="539" spans="1:14" s="7" customFormat="1">
      <c r="A539" s="1" t="s">
        <v>5152</v>
      </c>
      <c r="B539" s="3" t="s">
        <v>4472</v>
      </c>
      <c r="C539" s="3" t="s">
        <v>141</v>
      </c>
      <c r="D539" s="1" t="s">
        <v>5153</v>
      </c>
      <c r="E539" s="7" t="str">
        <f t="shared" si="56"/>
        <v>DSP</v>
      </c>
      <c r="F539" s="7" t="str">
        <f t="shared" si="57"/>
        <v>UNI</v>
      </c>
      <c r="G539" s="7" t="str">
        <f t="shared" si="58"/>
        <v>BAG</v>
      </c>
      <c r="H539" s="7" t="str">
        <f t="shared" si="59"/>
        <v>CLU</v>
      </c>
      <c r="I539" s="7" t="str">
        <f t="shared" si="60"/>
        <v>CEZ</v>
      </c>
      <c r="J539" s="7" t="str">
        <f t="shared" si="61"/>
        <v>FRB</v>
      </c>
      <c r="K539" s="7" t="str">
        <f t="shared" si="62"/>
        <v>0</v>
      </c>
      <c r="L539" s="7">
        <v>0</v>
      </c>
      <c r="M539" s="7" t="s">
        <v>2609</v>
      </c>
      <c r="N539" s="7">
        <f>_xlfn.XLOOKUP(A539,[1]SKU!$A:$A,[1]SKU!$Z:$Z)</f>
        <v>2850000</v>
      </c>
    </row>
    <row r="540" spans="1:14" s="7" customFormat="1">
      <c r="A540" s="1" t="s">
        <v>702</v>
      </c>
      <c r="B540" s="3" t="s">
        <v>3</v>
      </c>
      <c r="C540" s="3" t="s">
        <v>326</v>
      </c>
      <c r="D540" s="1" t="s">
        <v>703</v>
      </c>
      <c r="E540" s="7" t="str">
        <f t="shared" si="56"/>
        <v>GCL</v>
      </c>
      <c r="F540" s="7" t="str">
        <f t="shared" si="57"/>
        <v>MEN</v>
      </c>
      <c r="G540" s="7" t="str">
        <f t="shared" si="58"/>
        <v>TSO</v>
      </c>
      <c r="H540" s="7" t="str">
        <f t="shared" si="59"/>
        <v>ONE</v>
      </c>
      <c r="I540" s="7" t="str">
        <f t="shared" si="60"/>
        <v>TMG</v>
      </c>
      <c r="J540" s="7" t="str">
        <f t="shared" si="61"/>
        <v>RED</v>
      </c>
      <c r="K540" s="7" t="str">
        <f t="shared" si="62"/>
        <v>S</v>
      </c>
      <c r="L540" s="7" t="s">
        <v>2071</v>
      </c>
      <c r="M540" s="7" t="s">
        <v>4462</v>
      </c>
      <c r="N540" s="7">
        <f>_xlfn.XLOOKUP(A540,[1]SKU!$A:$A,[1]SKU!$Z:$Z)</f>
        <v>1390000</v>
      </c>
    </row>
    <row r="541" spans="1:14" s="7" customFormat="1">
      <c r="A541" s="1" t="s">
        <v>5154</v>
      </c>
      <c r="B541" s="3" t="s">
        <v>4472</v>
      </c>
      <c r="C541" s="3" t="s">
        <v>5155</v>
      </c>
      <c r="D541" s="1" t="s">
        <v>5156</v>
      </c>
      <c r="E541" s="7" t="str">
        <f t="shared" si="56"/>
        <v>TOH</v>
      </c>
      <c r="F541" s="7" t="str">
        <f t="shared" si="57"/>
        <v>UNI</v>
      </c>
      <c r="G541" s="7" t="str">
        <f t="shared" si="58"/>
        <v>HWR</v>
      </c>
      <c r="H541" s="7" t="str">
        <f t="shared" si="59"/>
        <v>HAT</v>
      </c>
      <c r="I541" s="7" t="str">
        <f t="shared" si="60"/>
        <v>AH0</v>
      </c>
      <c r="J541" s="7" t="str">
        <f t="shared" si="61"/>
        <v>MIX</v>
      </c>
      <c r="K541" s="7" t="str">
        <f t="shared" si="62"/>
        <v>0</v>
      </c>
      <c r="L541" s="7">
        <v>0</v>
      </c>
      <c r="M541" s="7" t="s">
        <v>2609</v>
      </c>
      <c r="N541" s="7">
        <f>_xlfn.XLOOKUP(A541,[1]SKU!$A:$A,[1]SKU!$Z:$Z)</f>
        <v>270000</v>
      </c>
    </row>
    <row r="542" spans="1:14" s="7" customFormat="1">
      <c r="A542" s="1" t="s">
        <v>5157</v>
      </c>
      <c r="B542" s="3" t="s">
        <v>4472</v>
      </c>
      <c r="C542" s="3" t="s">
        <v>208</v>
      </c>
      <c r="D542" s="1" t="s">
        <v>5158</v>
      </c>
      <c r="E542" s="7" t="str">
        <f t="shared" si="56"/>
        <v>DSP</v>
      </c>
      <c r="F542" s="7" t="str">
        <f t="shared" si="57"/>
        <v>UNI</v>
      </c>
      <c r="G542" s="7" t="str">
        <f t="shared" si="58"/>
        <v>FWR</v>
      </c>
      <c r="H542" s="7" t="str">
        <f t="shared" si="59"/>
        <v>HDB</v>
      </c>
      <c r="I542" s="7" t="str">
        <f t="shared" si="60"/>
        <v>STL</v>
      </c>
      <c r="J542" s="7" t="str">
        <f t="shared" si="61"/>
        <v>BUR</v>
      </c>
      <c r="K542" s="7" t="str">
        <f t="shared" si="62"/>
        <v>48</v>
      </c>
      <c r="L542" s="7">
        <v>0</v>
      </c>
      <c r="M542" s="7" t="s">
        <v>2609</v>
      </c>
      <c r="N542" s="7">
        <f>_xlfn.XLOOKUP(A542,[1]SKU!$A:$A,[1]SKU!$Z:$Z)</f>
        <v>7800000</v>
      </c>
    </row>
    <row r="543" spans="1:14" s="7" customFormat="1">
      <c r="A543" s="1" t="s">
        <v>704</v>
      </c>
      <c r="B543" s="8" t="s">
        <v>3</v>
      </c>
      <c r="C543" s="8" t="s">
        <v>311</v>
      </c>
      <c r="D543" s="1" t="s">
        <v>705</v>
      </c>
      <c r="E543" s="7" t="str">
        <f t="shared" si="56"/>
        <v>GSU</v>
      </c>
      <c r="F543" s="7" t="str">
        <f t="shared" si="57"/>
        <v>WOM</v>
      </c>
      <c r="G543" s="7" t="str">
        <f t="shared" si="58"/>
        <v>PZE</v>
      </c>
      <c r="H543" s="7" t="str">
        <f t="shared" si="59"/>
        <v>ONE</v>
      </c>
      <c r="I543" s="7" t="str">
        <f t="shared" si="60"/>
        <v>GL2</v>
      </c>
      <c r="J543" s="7" t="str">
        <f t="shared" si="61"/>
        <v>BJL</v>
      </c>
      <c r="K543" s="7" t="str">
        <f t="shared" si="62"/>
        <v>S</v>
      </c>
      <c r="L543" s="7" t="s">
        <v>2167</v>
      </c>
      <c r="M543" s="7" t="s">
        <v>2167</v>
      </c>
      <c r="N543" s="7">
        <f>_xlfn.XLOOKUP(A543,[1]SKU!$A:$A,[1]SKU!$Z:$Z)</f>
        <v>850000</v>
      </c>
    </row>
    <row r="544" spans="1:14" s="7" customFormat="1">
      <c r="A544" s="1" t="s">
        <v>5159</v>
      </c>
      <c r="B544" s="8" t="s">
        <v>4472</v>
      </c>
      <c r="C544" s="8" t="s">
        <v>706</v>
      </c>
      <c r="D544" s="1" t="s">
        <v>5160</v>
      </c>
      <c r="E544" s="7" t="str">
        <f t="shared" si="56"/>
        <v>DSP</v>
      </c>
      <c r="F544" s="7" t="str">
        <f t="shared" si="57"/>
        <v>UNI</v>
      </c>
      <c r="G544" s="7" t="str">
        <f t="shared" si="58"/>
        <v>BAG</v>
      </c>
      <c r="H544" s="7" t="str">
        <f t="shared" si="59"/>
        <v>WAL</v>
      </c>
      <c r="I544" s="7" t="str">
        <f t="shared" si="60"/>
        <v>STR</v>
      </c>
      <c r="J544" s="7" t="str">
        <f t="shared" si="61"/>
        <v>DRE</v>
      </c>
      <c r="K544" s="7" t="str">
        <f t="shared" si="62"/>
        <v>0</v>
      </c>
      <c r="L544" s="7">
        <v>0</v>
      </c>
      <c r="M544" s="7" t="s">
        <v>2609</v>
      </c>
      <c r="N544" s="7">
        <f>_xlfn.XLOOKUP(A544,[1]SKU!$A:$A,[1]SKU!$Z:$Z)</f>
        <v>1850000</v>
      </c>
    </row>
    <row r="545" spans="1:14" s="7" customFormat="1">
      <c r="A545" s="1" t="s">
        <v>707</v>
      </c>
      <c r="B545" s="8" t="s">
        <v>3</v>
      </c>
      <c r="C545" s="8" t="s">
        <v>149</v>
      </c>
      <c r="D545" s="1" t="s">
        <v>708</v>
      </c>
      <c r="E545" s="7" t="str">
        <f t="shared" si="56"/>
        <v>GOR</v>
      </c>
      <c r="F545" s="7" t="str">
        <f t="shared" si="57"/>
        <v>MEN</v>
      </c>
      <c r="G545" s="7" t="str">
        <f t="shared" si="58"/>
        <v>TSS</v>
      </c>
      <c r="H545" s="7" t="str">
        <f t="shared" si="59"/>
        <v>ONE</v>
      </c>
      <c r="I545" s="7" t="str">
        <f t="shared" si="60"/>
        <v>OQR</v>
      </c>
      <c r="J545" s="7" t="str">
        <f t="shared" si="61"/>
        <v>GRE</v>
      </c>
      <c r="K545" s="7" t="str">
        <f t="shared" si="62"/>
        <v>S</v>
      </c>
      <c r="L545" s="7" t="s">
        <v>2018</v>
      </c>
      <c r="M545" s="7" t="s">
        <v>4462</v>
      </c>
      <c r="N545" s="7">
        <f>_xlfn.XLOOKUP(A545,[1]SKU!$A:$A,[1]SKU!$Z:$Z)</f>
        <v>790000</v>
      </c>
    </row>
    <row r="546" spans="1:14" s="7" customFormat="1">
      <c r="A546" s="1" t="s">
        <v>709</v>
      </c>
      <c r="B546" s="8" t="s">
        <v>19</v>
      </c>
      <c r="C546" s="8" t="s">
        <v>23</v>
      </c>
      <c r="D546" s="1" t="s">
        <v>710</v>
      </c>
      <c r="E546" s="7" t="str">
        <f t="shared" si="56"/>
        <v>OTH</v>
      </c>
      <c r="F546" s="7" t="str">
        <f t="shared" si="57"/>
        <v>UNI</v>
      </c>
      <c r="G546" s="7" t="str">
        <f t="shared" si="58"/>
        <v>HWR</v>
      </c>
      <c r="H546" s="7" t="str">
        <f t="shared" si="59"/>
        <v>CAP</v>
      </c>
      <c r="I546" s="7" t="str">
        <f t="shared" si="60"/>
        <v>URB</v>
      </c>
      <c r="J546" s="7" t="str">
        <f t="shared" si="61"/>
        <v>WHI</v>
      </c>
      <c r="K546" s="7" t="str">
        <f t="shared" si="62"/>
        <v>L</v>
      </c>
      <c r="L546" s="7">
        <v>0</v>
      </c>
      <c r="M546" s="7" t="s">
        <v>2609</v>
      </c>
      <c r="N546" s="7">
        <f>_xlfn.XLOOKUP(A546,[1]SKU!$A:$A,[1]SKU!$Z:$Z)</f>
        <v>390000</v>
      </c>
    </row>
    <row r="547" spans="1:14" s="7" customFormat="1">
      <c r="A547" s="1" t="s">
        <v>711</v>
      </c>
      <c r="B547" s="3" t="s">
        <v>3</v>
      </c>
      <c r="C547" s="3" t="s">
        <v>29</v>
      </c>
      <c r="D547" s="1" t="s">
        <v>712</v>
      </c>
      <c r="E547" s="7" t="str">
        <f t="shared" si="56"/>
        <v>GFN</v>
      </c>
      <c r="F547" s="7" t="str">
        <f t="shared" si="57"/>
        <v>KID</v>
      </c>
      <c r="G547" s="7" t="str">
        <f t="shared" si="58"/>
        <v>SWL</v>
      </c>
      <c r="H547" s="7" t="str">
        <f t="shared" si="59"/>
        <v>ONE</v>
      </c>
      <c r="I547" s="7" t="str">
        <f t="shared" si="60"/>
        <v>SHU</v>
      </c>
      <c r="J547" s="7" t="str">
        <f t="shared" si="61"/>
        <v>BLK</v>
      </c>
      <c r="K547" s="7" t="str">
        <f t="shared" si="62"/>
        <v>2</v>
      </c>
      <c r="L547" s="7" t="s">
        <v>2581</v>
      </c>
      <c r="M547" s="7" t="s">
        <v>4464</v>
      </c>
      <c r="N547" s="7">
        <f>_xlfn.XLOOKUP(A547,[1]SKU!$A:$A,[1]SKU!$Z:$Z)</f>
        <v>890000</v>
      </c>
    </row>
    <row r="548" spans="1:14" s="7" customFormat="1">
      <c r="A548" s="1" t="s">
        <v>5161</v>
      </c>
      <c r="B548" s="3" t="s">
        <v>4472</v>
      </c>
      <c r="C548" s="3" t="s">
        <v>713</v>
      </c>
      <c r="D548" s="1" t="s">
        <v>5162</v>
      </c>
      <c r="E548" s="7" t="str">
        <f t="shared" si="56"/>
        <v>DSP</v>
      </c>
      <c r="F548" s="7" t="str">
        <f t="shared" si="57"/>
        <v>UNI</v>
      </c>
      <c r="G548" s="7" t="str">
        <f t="shared" si="58"/>
        <v>FWR</v>
      </c>
      <c r="H548" s="7" t="str">
        <f t="shared" si="59"/>
        <v>LES</v>
      </c>
      <c r="I548" s="7" t="str">
        <f t="shared" si="60"/>
        <v>DE3</v>
      </c>
      <c r="J548" s="7" t="str">
        <f t="shared" si="61"/>
        <v>BLK</v>
      </c>
      <c r="K548" s="7" t="str">
        <f t="shared" si="62"/>
        <v>37</v>
      </c>
      <c r="L548" s="7">
        <v>0</v>
      </c>
      <c r="M548" s="7" t="s">
        <v>2609</v>
      </c>
      <c r="N548" s="7">
        <f>_xlfn.XLOOKUP(A548,[1]SKU!$A:$A,[1]SKU!$Z:$Z)</f>
        <v>7500000</v>
      </c>
    </row>
    <row r="549" spans="1:14" s="7" customFormat="1">
      <c r="A549" s="1" t="s">
        <v>714</v>
      </c>
      <c r="B549" s="3" t="s">
        <v>3</v>
      </c>
      <c r="C549" s="3" t="s">
        <v>96</v>
      </c>
      <c r="D549" s="1" t="s">
        <v>715</v>
      </c>
      <c r="E549" s="7" t="str">
        <f t="shared" si="56"/>
        <v>GOR</v>
      </c>
      <c r="F549" s="7" t="str">
        <f t="shared" si="57"/>
        <v>MEN</v>
      </c>
      <c r="G549" s="7" t="str">
        <f t="shared" si="58"/>
        <v>TSS</v>
      </c>
      <c r="H549" s="7" t="str">
        <f t="shared" si="59"/>
        <v>ONE</v>
      </c>
      <c r="I549" s="7" t="str">
        <f t="shared" si="60"/>
        <v>HNC</v>
      </c>
      <c r="J549" s="7" t="str">
        <f t="shared" si="61"/>
        <v>WHI</v>
      </c>
      <c r="K549" s="7" t="str">
        <f t="shared" si="62"/>
        <v>S</v>
      </c>
      <c r="L549" s="7" t="s">
        <v>2018</v>
      </c>
      <c r="M549" s="7" t="s">
        <v>4462</v>
      </c>
      <c r="N549" s="7">
        <f>_xlfn.XLOOKUP(A549,[1]SKU!$A:$A,[1]SKU!$Z:$Z)</f>
        <v>1090000</v>
      </c>
    </row>
    <row r="550" spans="1:14" s="7" customFormat="1">
      <c r="A550" s="1" t="s">
        <v>716</v>
      </c>
      <c r="B550" s="3" t="s">
        <v>19</v>
      </c>
      <c r="C550" s="3" t="s">
        <v>268</v>
      </c>
      <c r="D550" s="1" t="s">
        <v>717</v>
      </c>
      <c r="E550" s="7" t="str">
        <f t="shared" si="56"/>
        <v>OTH</v>
      </c>
      <c r="F550" s="7" t="str">
        <f t="shared" si="57"/>
        <v>UNI</v>
      </c>
      <c r="G550" s="7" t="str">
        <f t="shared" si="58"/>
        <v>BAG</v>
      </c>
      <c r="H550" s="7" t="str">
        <f t="shared" si="59"/>
        <v>DRB</v>
      </c>
      <c r="I550" s="7" t="str">
        <f t="shared" si="60"/>
        <v>SSY</v>
      </c>
      <c r="J550" s="7" t="str">
        <f t="shared" si="61"/>
        <v>CRE</v>
      </c>
      <c r="K550" s="7" t="str">
        <f t="shared" si="62"/>
        <v>0</v>
      </c>
      <c r="L550" s="7">
        <v>0</v>
      </c>
      <c r="M550" s="7" t="s">
        <v>2609</v>
      </c>
      <c r="N550" s="7">
        <f>_xlfn.XLOOKUP(A550,[1]SKU!$A:$A,[1]SKU!$Z:$Z)</f>
        <v>610000</v>
      </c>
    </row>
    <row r="551" spans="1:14" s="7" customFormat="1">
      <c r="A551" s="1" t="s">
        <v>5163</v>
      </c>
      <c r="B551" s="3" t="s">
        <v>4472</v>
      </c>
      <c r="C551" s="3" t="s">
        <v>718</v>
      </c>
      <c r="D551" s="1" t="s">
        <v>5164</v>
      </c>
      <c r="E551" s="7" t="str">
        <f t="shared" si="56"/>
        <v>DSP</v>
      </c>
      <c r="F551" s="7" t="str">
        <f t="shared" si="57"/>
        <v>UNI</v>
      </c>
      <c r="G551" s="7" t="str">
        <f t="shared" si="58"/>
        <v>BAG</v>
      </c>
      <c r="H551" s="7" t="str">
        <f t="shared" si="59"/>
        <v>CRB</v>
      </c>
      <c r="I551" s="7" t="str">
        <f t="shared" si="60"/>
        <v>CBG</v>
      </c>
      <c r="J551" s="7" t="str">
        <f t="shared" si="61"/>
        <v>CHO</v>
      </c>
      <c r="K551" s="7" t="str">
        <f t="shared" si="62"/>
        <v>0</v>
      </c>
      <c r="L551" s="7">
        <v>0</v>
      </c>
      <c r="M551" s="7" t="s">
        <v>2609</v>
      </c>
      <c r="N551" s="7">
        <f>_xlfn.XLOOKUP(A551,[1]SKU!$A:$A,[1]SKU!$Z:$Z)</f>
        <v>6300000</v>
      </c>
    </row>
    <row r="552" spans="1:14" s="7" customFormat="1">
      <c r="A552" s="1" t="s">
        <v>5165</v>
      </c>
      <c r="B552" s="3" t="s">
        <v>4472</v>
      </c>
      <c r="C552" s="3" t="s">
        <v>36</v>
      </c>
      <c r="D552" s="1" t="s">
        <v>5166</v>
      </c>
      <c r="E552" s="7" t="str">
        <f t="shared" si="56"/>
        <v>PSD</v>
      </c>
      <c r="F552" s="7" t="str">
        <f t="shared" si="57"/>
        <v>UNI</v>
      </c>
      <c r="G552" s="7" t="str">
        <f t="shared" si="58"/>
        <v>SOU</v>
      </c>
      <c r="H552" s="7" t="str">
        <f t="shared" si="59"/>
        <v>DEC</v>
      </c>
      <c r="I552" s="7" t="str">
        <f t="shared" si="60"/>
        <v>SIB</v>
      </c>
      <c r="J552" s="7" t="str">
        <f t="shared" si="61"/>
        <v>GRN</v>
      </c>
      <c r="K552" s="7" t="str">
        <f t="shared" si="62"/>
        <v>14</v>
      </c>
      <c r="L552" s="7">
        <v>0</v>
      </c>
      <c r="M552" s="7" t="s">
        <v>2609</v>
      </c>
      <c r="N552" s="7">
        <f>_xlfn.XLOOKUP(A552,[1]SKU!$A:$A,[1]SKU!$Z:$Z)</f>
        <v>550000</v>
      </c>
    </row>
    <row r="553" spans="1:14" s="7" customFormat="1">
      <c r="A553" s="1" t="s">
        <v>719</v>
      </c>
      <c r="B553" s="3" t="s">
        <v>3</v>
      </c>
      <c r="C553" s="3" t="s">
        <v>509</v>
      </c>
      <c r="D553" s="1" t="s">
        <v>720</v>
      </c>
      <c r="E553" s="7" t="str">
        <f t="shared" si="56"/>
        <v>GOR</v>
      </c>
      <c r="F553" s="7" t="str">
        <f t="shared" si="57"/>
        <v>MEN</v>
      </c>
      <c r="G553" s="7" t="str">
        <f t="shared" si="58"/>
        <v>TSS</v>
      </c>
      <c r="H553" s="7" t="str">
        <f t="shared" si="59"/>
        <v>HNE</v>
      </c>
      <c r="I553" s="7" t="str">
        <f t="shared" si="60"/>
        <v>FPC</v>
      </c>
      <c r="J553" s="7" t="str">
        <f t="shared" si="61"/>
        <v>BDE</v>
      </c>
      <c r="K553" s="7" t="str">
        <f t="shared" si="62"/>
        <v>M</v>
      </c>
      <c r="L553" s="7" t="s">
        <v>2018</v>
      </c>
      <c r="M553" s="7" t="s">
        <v>4462</v>
      </c>
      <c r="N553" s="7">
        <f>_xlfn.XLOOKUP(A553,[1]SKU!$A:$A,[1]SKU!$Z:$Z)</f>
        <v>1190000</v>
      </c>
    </row>
    <row r="554" spans="1:14" s="7" customFormat="1">
      <c r="A554" s="1" t="s">
        <v>5167</v>
      </c>
      <c r="B554" s="3" t="s">
        <v>4472</v>
      </c>
      <c r="C554" s="3" t="s">
        <v>721</v>
      </c>
      <c r="D554" s="1" t="s">
        <v>5168</v>
      </c>
      <c r="E554" s="7" t="str">
        <f t="shared" si="56"/>
        <v>MAZ</v>
      </c>
      <c r="F554" s="7" t="str">
        <f t="shared" si="57"/>
        <v>UNI</v>
      </c>
      <c r="G554" s="7" t="str">
        <f t="shared" si="58"/>
        <v>SOU</v>
      </c>
      <c r="H554" s="7" t="str">
        <f t="shared" si="59"/>
        <v>GAM</v>
      </c>
      <c r="I554" s="7" t="str">
        <f t="shared" si="60"/>
        <v>DOM</v>
      </c>
      <c r="J554" s="7" t="str">
        <f t="shared" si="61"/>
        <v>BLK</v>
      </c>
      <c r="K554" s="7" t="str">
        <f t="shared" si="62"/>
        <v>0</v>
      </c>
      <c r="L554" s="7">
        <v>0</v>
      </c>
      <c r="M554" s="7" t="s">
        <v>2609</v>
      </c>
      <c r="N554" s="7">
        <f>_xlfn.XLOOKUP(A554,[1]SKU!$A:$A,[1]SKU!$Z:$Z)</f>
        <v>1390000</v>
      </c>
    </row>
    <row r="555" spans="1:14" s="7" customFormat="1">
      <c r="A555" s="1" t="s">
        <v>722</v>
      </c>
      <c r="B555" s="10" t="s">
        <v>3</v>
      </c>
      <c r="C555" s="10" t="s">
        <v>358</v>
      </c>
      <c r="D555" s="1" t="s">
        <v>723</v>
      </c>
      <c r="E555" s="7" t="str">
        <f t="shared" si="56"/>
        <v>GOR</v>
      </c>
      <c r="F555" s="7" t="str">
        <f t="shared" si="57"/>
        <v>MEN</v>
      </c>
      <c r="G555" s="7" t="str">
        <f t="shared" si="58"/>
        <v>TSS</v>
      </c>
      <c r="H555" s="7" t="str">
        <f t="shared" si="59"/>
        <v>HNE</v>
      </c>
      <c r="I555" s="7" t="str">
        <f t="shared" si="60"/>
        <v>THB</v>
      </c>
      <c r="J555" s="7" t="str">
        <f t="shared" si="61"/>
        <v>WHI</v>
      </c>
      <c r="K555" s="7" t="str">
        <f t="shared" si="62"/>
        <v>XL</v>
      </c>
      <c r="L555" s="7" t="s">
        <v>2018</v>
      </c>
      <c r="M555" s="7" t="s">
        <v>4462</v>
      </c>
      <c r="N555" s="7">
        <f>_xlfn.XLOOKUP(A555,[1]SKU!$A:$A,[1]SKU!$Z:$Z)</f>
        <v>1190000</v>
      </c>
    </row>
    <row r="556" spans="1:14" s="7" customFormat="1">
      <c r="A556" s="1" t="s">
        <v>724</v>
      </c>
      <c r="B556" s="3" t="s">
        <v>19</v>
      </c>
      <c r="C556" s="3" t="s">
        <v>154</v>
      </c>
      <c r="D556" s="1" t="s">
        <v>725</v>
      </c>
      <c r="E556" s="7" t="str">
        <f t="shared" si="56"/>
        <v>OTH</v>
      </c>
      <c r="F556" s="7" t="str">
        <f t="shared" si="57"/>
        <v>UNI</v>
      </c>
      <c r="G556" s="7" t="str">
        <f t="shared" si="58"/>
        <v>HWR</v>
      </c>
      <c r="H556" s="7" t="str">
        <f t="shared" si="59"/>
        <v>NLH</v>
      </c>
      <c r="I556" s="7" t="str">
        <f t="shared" si="60"/>
        <v>TNT</v>
      </c>
      <c r="J556" s="7" t="str">
        <f t="shared" si="61"/>
        <v>WHI</v>
      </c>
      <c r="K556" s="7" t="str">
        <f t="shared" si="62"/>
        <v>L</v>
      </c>
      <c r="L556" s="7">
        <v>0</v>
      </c>
      <c r="M556" s="7" t="s">
        <v>2609</v>
      </c>
      <c r="N556" s="7">
        <f>_xlfn.XLOOKUP(A556,[1]SKU!$A:$A,[1]SKU!$Z:$Z)</f>
        <v>690000</v>
      </c>
    </row>
    <row r="557" spans="1:14" s="7" customFormat="1">
      <c r="A557" s="1" t="s">
        <v>5169</v>
      </c>
      <c r="B557" s="3" t="s">
        <v>4472</v>
      </c>
      <c r="C557" s="3" t="s">
        <v>71</v>
      </c>
      <c r="D557" s="1" t="s">
        <v>5170</v>
      </c>
      <c r="E557" s="7" t="str">
        <f t="shared" si="56"/>
        <v>DSP</v>
      </c>
      <c r="F557" s="7" t="str">
        <f t="shared" si="57"/>
        <v>UNI</v>
      </c>
      <c r="G557" s="7" t="str">
        <f t="shared" si="58"/>
        <v>BAG</v>
      </c>
      <c r="H557" s="7" t="str">
        <f t="shared" si="59"/>
        <v>CCR</v>
      </c>
      <c r="I557" s="7" t="str">
        <f t="shared" si="60"/>
        <v>AZ1</v>
      </c>
      <c r="J557" s="7" t="str">
        <f t="shared" si="61"/>
        <v>HGP</v>
      </c>
      <c r="K557" s="7" t="str">
        <f t="shared" si="62"/>
        <v>0</v>
      </c>
      <c r="L557" s="7">
        <v>0</v>
      </c>
      <c r="M557" s="7" t="s">
        <v>2609</v>
      </c>
      <c r="N557" s="7">
        <f>_xlfn.XLOOKUP(A557,[1]SKU!$A:$A,[1]SKU!$Z:$Z)</f>
        <v>2100000</v>
      </c>
    </row>
    <row r="558" spans="1:14" s="7" customFormat="1">
      <c r="A558" s="1" t="s">
        <v>5171</v>
      </c>
      <c r="B558" s="3" t="s">
        <v>4472</v>
      </c>
      <c r="C558" s="3" t="s">
        <v>726</v>
      </c>
      <c r="D558" s="1" t="s">
        <v>5172</v>
      </c>
      <c r="E558" s="7" t="str">
        <f t="shared" si="56"/>
        <v>DSP</v>
      </c>
      <c r="F558" s="7" t="str">
        <f t="shared" si="57"/>
        <v>UNI</v>
      </c>
      <c r="G558" s="7" t="str">
        <f t="shared" si="58"/>
        <v>FWR</v>
      </c>
      <c r="H558" s="7" t="str">
        <f t="shared" si="59"/>
        <v>LES</v>
      </c>
      <c r="I558" s="7" t="str">
        <f t="shared" si="60"/>
        <v>PER</v>
      </c>
      <c r="J558" s="7" t="str">
        <f t="shared" si="61"/>
        <v>BLU</v>
      </c>
      <c r="K558" s="7" t="str">
        <f t="shared" si="62"/>
        <v>40</v>
      </c>
      <c r="L558" s="7">
        <v>0</v>
      </c>
      <c r="M558" s="7" t="s">
        <v>2609</v>
      </c>
      <c r="N558" s="7">
        <f>_xlfn.XLOOKUP(A558,[1]SKU!$A:$A,[1]SKU!$Z:$Z)</f>
        <v>7500000</v>
      </c>
    </row>
    <row r="559" spans="1:14" s="7" customFormat="1">
      <c r="A559" s="1" t="s">
        <v>5173</v>
      </c>
      <c r="B559" s="3" t="s">
        <v>4481</v>
      </c>
      <c r="C559" s="3" t="s">
        <v>727</v>
      </c>
      <c r="D559" s="1" t="s">
        <v>5174</v>
      </c>
      <c r="E559" s="7" t="str">
        <f t="shared" si="56"/>
        <v>PAS</v>
      </c>
      <c r="F559" s="7" t="str">
        <f t="shared" si="57"/>
        <v>UNI</v>
      </c>
      <c r="G559" s="7" t="str">
        <f t="shared" si="58"/>
        <v>ART</v>
      </c>
      <c r="H559" s="7" t="str">
        <f t="shared" si="59"/>
        <v>ART</v>
      </c>
      <c r="I559" s="7" t="str">
        <f t="shared" si="60"/>
        <v>CA3</v>
      </c>
      <c r="J559" s="7" t="str">
        <f t="shared" si="61"/>
        <v>MIX</v>
      </c>
      <c r="K559" s="7" t="str">
        <f t="shared" si="62"/>
        <v>A4</v>
      </c>
      <c r="L559" s="7">
        <v>0</v>
      </c>
      <c r="M559" s="7" t="s">
        <v>2609</v>
      </c>
      <c r="N559" s="7">
        <f>_xlfn.XLOOKUP(A559,[1]SKU!$A:$A,[1]SKU!$Z:$Z)</f>
        <v>2500000</v>
      </c>
    </row>
    <row r="560" spans="1:14" s="7" customFormat="1">
      <c r="A560" s="1" t="s">
        <v>728</v>
      </c>
      <c r="B560" s="3" t="s">
        <v>3</v>
      </c>
      <c r="C560" s="3" t="s">
        <v>509</v>
      </c>
      <c r="D560" s="1" t="s">
        <v>729</v>
      </c>
      <c r="E560" s="7" t="str">
        <f t="shared" si="56"/>
        <v>GOR</v>
      </c>
      <c r="F560" s="7" t="str">
        <f t="shared" si="57"/>
        <v>MEN</v>
      </c>
      <c r="G560" s="7" t="str">
        <f t="shared" si="58"/>
        <v>TSS</v>
      </c>
      <c r="H560" s="7" t="str">
        <f t="shared" si="59"/>
        <v>HNE</v>
      </c>
      <c r="I560" s="7" t="str">
        <f t="shared" si="60"/>
        <v>FPC</v>
      </c>
      <c r="J560" s="7" t="str">
        <f t="shared" si="61"/>
        <v>OLI</v>
      </c>
      <c r="K560" s="7" t="str">
        <f t="shared" si="62"/>
        <v>M</v>
      </c>
      <c r="L560" s="7" t="s">
        <v>2018</v>
      </c>
      <c r="M560" s="7" t="s">
        <v>4462</v>
      </c>
      <c r="N560" s="7">
        <f>_xlfn.XLOOKUP(A560,[1]SKU!$A:$A,[1]SKU!$Z:$Z)</f>
        <v>1190000</v>
      </c>
    </row>
    <row r="561" spans="1:14" s="7" customFormat="1">
      <c r="A561" s="1" t="s">
        <v>730</v>
      </c>
      <c r="B561" s="3" t="s">
        <v>3</v>
      </c>
      <c r="C561" s="3" t="s">
        <v>412</v>
      </c>
      <c r="D561" s="1" t="s">
        <v>731</v>
      </c>
      <c r="E561" s="7" t="str">
        <f t="shared" si="56"/>
        <v>GCV</v>
      </c>
      <c r="F561" s="7" t="str">
        <f t="shared" si="57"/>
        <v>WOM</v>
      </c>
      <c r="G561" s="7" t="str">
        <f t="shared" si="58"/>
        <v>BLB</v>
      </c>
      <c r="H561" s="7" t="str">
        <f t="shared" si="59"/>
        <v>ONE</v>
      </c>
      <c r="I561" s="7" t="str">
        <f t="shared" si="60"/>
        <v>MWY</v>
      </c>
      <c r="J561" s="7" t="str">
        <f t="shared" si="61"/>
        <v>WHI</v>
      </c>
      <c r="K561" s="7" t="str">
        <f t="shared" si="62"/>
        <v>M</v>
      </c>
      <c r="L561" s="7" t="s">
        <v>2284</v>
      </c>
      <c r="M561" s="7" t="s">
        <v>4465</v>
      </c>
      <c r="N561" s="7">
        <f>_xlfn.XLOOKUP(A561,[1]SKU!$A:$A,[1]SKU!$Z:$Z)</f>
        <v>1190000</v>
      </c>
    </row>
    <row r="562" spans="1:14" s="7" customFormat="1">
      <c r="A562" s="1" t="s">
        <v>732</v>
      </c>
      <c r="B562" s="3" t="s">
        <v>3</v>
      </c>
      <c r="C562" s="3" t="s">
        <v>16</v>
      </c>
      <c r="D562" s="1" t="s">
        <v>733</v>
      </c>
      <c r="E562" s="7" t="str">
        <f t="shared" si="56"/>
        <v>GBA</v>
      </c>
      <c r="F562" s="7" t="str">
        <f t="shared" si="57"/>
        <v>MEN</v>
      </c>
      <c r="G562" s="7" t="str">
        <f t="shared" si="58"/>
        <v>TSS</v>
      </c>
      <c r="H562" s="7" t="str">
        <f t="shared" si="59"/>
        <v>ONE</v>
      </c>
      <c r="I562" s="7" t="str">
        <f t="shared" si="60"/>
        <v>SMP</v>
      </c>
      <c r="J562" s="7" t="str">
        <f t="shared" si="61"/>
        <v>BLK</v>
      </c>
      <c r="K562" s="7" t="str">
        <f t="shared" si="62"/>
        <v>L</v>
      </c>
      <c r="L562" s="7" t="s">
        <v>2018</v>
      </c>
      <c r="M562" s="7" t="s">
        <v>4462</v>
      </c>
      <c r="N562" s="7">
        <f>_xlfn.XLOOKUP(A562,[1]SKU!$A:$A,[1]SKU!$Z:$Z)</f>
        <v>710000</v>
      </c>
    </row>
    <row r="563" spans="1:14" s="7" customFormat="1">
      <c r="A563" s="1" t="s">
        <v>734</v>
      </c>
      <c r="B563" s="3" t="s">
        <v>19</v>
      </c>
      <c r="C563" s="3" t="s">
        <v>735</v>
      </c>
      <c r="D563" s="1" t="s">
        <v>736</v>
      </c>
      <c r="E563" s="7" t="str">
        <f t="shared" si="56"/>
        <v>OTH</v>
      </c>
      <c r="F563" s="7" t="str">
        <f t="shared" si="57"/>
        <v>UNI</v>
      </c>
      <c r="G563" s="7" t="str">
        <f t="shared" si="58"/>
        <v>SOU</v>
      </c>
      <c r="H563" s="7" t="str">
        <f t="shared" si="59"/>
        <v>LUG</v>
      </c>
      <c r="I563" s="7" t="str">
        <f t="shared" si="60"/>
        <v>XKM</v>
      </c>
      <c r="J563" s="7" t="str">
        <f t="shared" si="61"/>
        <v>MNT</v>
      </c>
      <c r="K563" s="7" t="str">
        <f t="shared" si="62"/>
        <v>0</v>
      </c>
      <c r="L563" s="7">
        <v>0</v>
      </c>
      <c r="M563" s="7" t="s">
        <v>2609</v>
      </c>
      <c r="N563" s="7">
        <f>_xlfn.XLOOKUP(A563,[1]SKU!$A:$A,[1]SKU!$Z:$Z)</f>
        <v>155000</v>
      </c>
    </row>
    <row r="564" spans="1:14" s="7" customFormat="1">
      <c r="A564" s="1" t="s">
        <v>737</v>
      </c>
      <c r="B564" s="3" t="s">
        <v>3</v>
      </c>
      <c r="C564" s="3" t="s">
        <v>450</v>
      </c>
      <c r="D564" s="1" t="s">
        <v>738</v>
      </c>
      <c r="E564" s="7" t="str">
        <f t="shared" si="56"/>
        <v>GOR</v>
      </c>
      <c r="F564" s="7" t="str">
        <f t="shared" si="57"/>
        <v>MEN</v>
      </c>
      <c r="G564" s="7" t="str">
        <f t="shared" si="58"/>
        <v>TSP</v>
      </c>
      <c r="H564" s="7" t="str">
        <f t="shared" si="59"/>
        <v>ONE</v>
      </c>
      <c r="I564" s="7" t="str">
        <f t="shared" si="60"/>
        <v>HNB</v>
      </c>
      <c r="J564" s="7" t="str">
        <f t="shared" si="61"/>
        <v>RED</v>
      </c>
      <c r="K564" s="7" t="str">
        <f t="shared" si="62"/>
        <v>XL</v>
      </c>
      <c r="L564" s="7" t="s">
        <v>2085</v>
      </c>
      <c r="M564" s="7" t="s">
        <v>4462</v>
      </c>
      <c r="N564" s="7">
        <f>_xlfn.XLOOKUP(A564,[1]SKU!$A:$A,[1]SKU!$Z:$Z)</f>
        <v>790000</v>
      </c>
    </row>
    <row r="565" spans="1:14" s="7" customFormat="1">
      <c r="A565" s="1" t="s">
        <v>739</v>
      </c>
      <c r="B565" s="3" t="s">
        <v>3</v>
      </c>
      <c r="C565" s="3" t="s">
        <v>12</v>
      </c>
      <c r="D565" s="1" t="s">
        <v>740</v>
      </c>
      <c r="E565" s="7" t="str">
        <f t="shared" si="56"/>
        <v>GOR</v>
      </c>
      <c r="F565" s="7" t="str">
        <f t="shared" si="57"/>
        <v>MEN</v>
      </c>
      <c r="G565" s="7" t="str">
        <f t="shared" si="58"/>
        <v>TSS</v>
      </c>
      <c r="H565" s="7" t="str">
        <f t="shared" si="59"/>
        <v>ONE</v>
      </c>
      <c r="I565" s="7" t="str">
        <f t="shared" si="60"/>
        <v>STC</v>
      </c>
      <c r="J565" s="7" t="str">
        <f t="shared" si="61"/>
        <v>WHI</v>
      </c>
      <c r="K565" s="7" t="str">
        <f t="shared" si="62"/>
        <v>S</v>
      </c>
      <c r="L565" s="7" t="s">
        <v>2018</v>
      </c>
      <c r="M565" s="7" t="s">
        <v>4462</v>
      </c>
      <c r="N565" s="7">
        <f>_xlfn.XLOOKUP(A565,[1]SKU!$A:$A,[1]SKU!$Z:$Z)</f>
        <v>790000</v>
      </c>
    </row>
    <row r="566" spans="1:14" s="7" customFormat="1">
      <c r="A566" s="1" t="s">
        <v>5175</v>
      </c>
      <c r="B566" s="3" t="s">
        <v>4472</v>
      </c>
      <c r="C566" s="3" t="s">
        <v>468</v>
      </c>
      <c r="D566" s="1" t="s">
        <v>5176</v>
      </c>
      <c r="E566" s="7" t="str">
        <f t="shared" si="56"/>
        <v>DSP</v>
      </c>
      <c r="F566" s="7" t="str">
        <f t="shared" si="57"/>
        <v>UNI</v>
      </c>
      <c r="G566" s="7" t="str">
        <f t="shared" si="58"/>
        <v>FWR</v>
      </c>
      <c r="H566" s="7" t="str">
        <f t="shared" si="59"/>
        <v>LES</v>
      </c>
      <c r="I566" s="7" t="str">
        <f t="shared" si="60"/>
        <v>BYR</v>
      </c>
      <c r="J566" s="7" t="str">
        <f t="shared" si="61"/>
        <v>LPA</v>
      </c>
      <c r="K566" s="7" t="str">
        <f t="shared" si="62"/>
        <v>47</v>
      </c>
      <c r="L566" s="7">
        <v>0</v>
      </c>
      <c r="M566" s="7" t="s">
        <v>2609</v>
      </c>
      <c r="N566" s="7">
        <f>_xlfn.XLOOKUP(A566,[1]SKU!$A:$A,[1]SKU!$Z:$Z)</f>
        <v>8250000</v>
      </c>
    </row>
    <row r="567" spans="1:14" s="7" customFormat="1">
      <c r="A567" s="1" t="s">
        <v>5177</v>
      </c>
      <c r="B567" s="3" t="s">
        <v>4472</v>
      </c>
      <c r="C567" s="3" t="s">
        <v>100</v>
      </c>
      <c r="D567" s="1" t="s">
        <v>5178</v>
      </c>
      <c r="E567" s="7" t="str">
        <f t="shared" si="56"/>
        <v>PSD</v>
      </c>
      <c r="F567" s="7" t="str">
        <f t="shared" si="57"/>
        <v>UNI</v>
      </c>
      <c r="G567" s="7" t="str">
        <f t="shared" si="58"/>
        <v>SOU</v>
      </c>
      <c r="H567" s="7" t="str">
        <f t="shared" si="59"/>
        <v>DEC</v>
      </c>
      <c r="I567" s="7" t="str">
        <f t="shared" si="60"/>
        <v>LBA</v>
      </c>
      <c r="J567" s="7" t="str">
        <f t="shared" si="61"/>
        <v>RED</v>
      </c>
      <c r="K567" s="7" t="str">
        <f t="shared" si="62"/>
        <v>12</v>
      </c>
      <c r="L567" s="7">
        <v>0</v>
      </c>
      <c r="M567" s="7" t="s">
        <v>2609</v>
      </c>
      <c r="N567" s="7">
        <f>_xlfn.XLOOKUP(A567,[1]SKU!$A:$A,[1]SKU!$Z:$Z)</f>
        <v>395000</v>
      </c>
    </row>
    <row r="568" spans="1:14" s="7" customFormat="1">
      <c r="A568" s="1" t="s">
        <v>741</v>
      </c>
      <c r="B568" s="3" t="s">
        <v>3</v>
      </c>
      <c r="C568" s="3" t="s">
        <v>674</v>
      </c>
      <c r="D568" s="1" t="s">
        <v>742</v>
      </c>
      <c r="E568" s="7" t="str">
        <f t="shared" si="56"/>
        <v>GOR</v>
      </c>
      <c r="F568" s="7" t="str">
        <f t="shared" si="57"/>
        <v>MEN</v>
      </c>
      <c r="G568" s="7" t="str">
        <f t="shared" si="58"/>
        <v>TSS</v>
      </c>
      <c r="H568" s="7" t="str">
        <f t="shared" si="59"/>
        <v>ONE</v>
      </c>
      <c r="I568" s="7" t="str">
        <f t="shared" si="60"/>
        <v>TPO</v>
      </c>
      <c r="J568" s="7" t="str">
        <f t="shared" si="61"/>
        <v>WHI</v>
      </c>
      <c r="K568" s="7" t="str">
        <f t="shared" si="62"/>
        <v>XL</v>
      </c>
      <c r="L568" s="7" t="s">
        <v>2018</v>
      </c>
      <c r="M568" s="7" t="s">
        <v>4462</v>
      </c>
      <c r="N568" s="7">
        <f>_xlfn.XLOOKUP(A568,[1]SKU!$A:$A,[1]SKU!$Z:$Z)</f>
        <v>990000</v>
      </c>
    </row>
    <row r="569" spans="1:14" s="7" customFormat="1">
      <c r="A569" s="1" t="s">
        <v>743</v>
      </c>
      <c r="B569" s="3" t="s">
        <v>19</v>
      </c>
      <c r="C569" s="3" t="s">
        <v>744</v>
      </c>
      <c r="D569" s="1" t="s">
        <v>745</v>
      </c>
      <c r="E569" s="7" t="str">
        <f t="shared" si="56"/>
        <v>OTH</v>
      </c>
      <c r="F569" s="7" t="str">
        <f t="shared" si="57"/>
        <v>UNI</v>
      </c>
      <c r="G569" s="7" t="str">
        <f t="shared" si="58"/>
        <v>SOU</v>
      </c>
      <c r="H569" s="7" t="str">
        <f t="shared" si="59"/>
        <v>HFS</v>
      </c>
      <c r="I569" s="7" t="str">
        <f t="shared" si="60"/>
        <v>FSK</v>
      </c>
      <c r="J569" s="7" t="str">
        <f t="shared" si="61"/>
        <v>YEL</v>
      </c>
      <c r="K569" s="7" t="str">
        <f t="shared" si="62"/>
        <v>0</v>
      </c>
      <c r="L569" s="7">
        <v>0</v>
      </c>
      <c r="M569" s="7" t="s">
        <v>2609</v>
      </c>
      <c r="N569" s="7">
        <f>_xlfn.XLOOKUP(A569,[1]SKU!$A:$A,[1]SKU!$Z:$Z)</f>
        <v>355000</v>
      </c>
    </row>
    <row r="570" spans="1:14" s="7" customFormat="1">
      <c r="A570" s="1" t="s">
        <v>5179</v>
      </c>
      <c r="B570" s="3" t="s">
        <v>4472</v>
      </c>
      <c r="C570" s="3" t="s">
        <v>721</v>
      </c>
      <c r="D570" s="1" t="s">
        <v>5180</v>
      </c>
      <c r="E570" s="7" t="str">
        <f t="shared" si="56"/>
        <v>MAZ</v>
      </c>
      <c r="F570" s="7" t="str">
        <f t="shared" si="57"/>
        <v>UNI</v>
      </c>
      <c r="G570" s="7" t="str">
        <f t="shared" si="58"/>
        <v>SOU</v>
      </c>
      <c r="H570" s="7" t="str">
        <f t="shared" si="59"/>
        <v>GAM</v>
      </c>
      <c r="I570" s="7" t="str">
        <f t="shared" si="60"/>
        <v>DOM</v>
      </c>
      <c r="J570" s="7" t="str">
        <f t="shared" si="61"/>
        <v>GRN</v>
      </c>
      <c r="K570" s="7" t="str">
        <f t="shared" si="62"/>
        <v>0</v>
      </c>
      <c r="L570" s="7">
        <v>0</v>
      </c>
      <c r="M570" s="7" t="s">
        <v>2609</v>
      </c>
      <c r="N570" s="7">
        <f>_xlfn.XLOOKUP(A570,[1]SKU!$A:$A,[1]SKU!$Z:$Z)</f>
        <v>1390000</v>
      </c>
    </row>
    <row r="571" spans="1:14" s="7" customFormat="1">
      <c r="A571" s="1" t="s">
        <v>746</v>
      </c>
      <c r="B571" s="3" t="s">
        <v>3</v>
      </c>
      <c r="C571" s="3" t="s">
        <v>572</v>
      </c>
      <c r="D571" s="1" t="s">
        <v>747</v>
      </c>
      <c r="E571" s="7" t="str">
        <f t="shared" si="56"/>
        <v>GOR</v>
      </c>
      <c r="F571" s="7" t="str">
        <f t="shared" si="57"/>
        <v>KID</v>
      </c>
      <c r="G571" s="7" t="str">
        <f t="shared" si="58"/>
        <v>TSS</v>
      </c>
      <c r="H571" s="7" t="str">
        <f t="shared" si="59"/>
        <v>ONE</v>
      </c>
      <c r="I571" s="7" t="str">
        <f t="shared" si="60"/>
        <v>SDS</v>
      </c>
      <c r="J571" s="7" t="str">
        <f t="shared" si="61"/>
        <v>WHI</v>
      </c>
      <c r="K571" s="7" t="str">
        <f t="shared" si="62"/>
        <v>6</v>
      </c>
      <c r="L571" s="7" t="s">
        <v>2018</v>
      </c>
      <c r="M571" s="7" t="s">
        <v>4462</v>
      </c>
      <c r="N571" s="7">
        <f>_xlfn.XLOOKUP(A571,[1]SKU!$A:$A,[1]SKU!$Z:$Z)</f>
        <v>590000</v>
      </c>
    </row>
    <row r="572" spans="1:14" s="7" customFormat="1">
      <c r="A572" s="1" t="s">
        <v>5181</v>
      </c>
      <c r="B572" s="3" t="s">
        <v>4472</v>
      </c>
      <c r="C572" s="3" t="s">
        <v>5182</v>
      </c>
      <c r="D572" s="1" t="s">
        <v>5183</v>
      </c>
      <c r="E572" s="7" t="str">
        <f t="shared" si="56"/>
        <v>LAN</v>
      </c>
      <c r="F572" s="7" t="str">
        <f t="shared" si="57"/>
        <v>UNI</v>
      </c>
      <c r="G572" s="7" t="str">
        <f t="shared" si="58"/>
        <v>HWR</v>
      </c>
      <c r="H572" s="7" t="str">
        <f t="shared" si="59"/>
        <v>SC2</v>
      </c>
      <c r="I572" s="7" t="str">
        <f t="shared" si="60"/>
        <v>HXH</v>
      </c>
      <c r="J572" s="7" t="str">
        <f t="shared" si="61"/>
        <v>BLU</v>
      </c>
      <c r="K572" s="7" t="str">
        <f t="shared" si="62"/>
        <v>6x130</v>
      </c>
      <c r="L572" s="7">
        <v>0</v>
      </c>
      <c r="M572" s="7" t="s">
        <v>2609</v>
      </c>
      <c r="N572" s="7">
        <f>_xlfn.XLOOKUP(A572,[1]SKU!$A:$A,[1]SKU!$Z:$Z)</f>
        <v>365000</v>
      </c>
    </row>
    <row r="573" spans="1:14" s="7" customFormat="1">
      <c r="A573" s="1" t="s">
        <v>748</v>
      </c>
      <c r="B573" s="3" t="s">
        <v>3</v>
      </c>
      <c r="C573" s="3" t="s">
        <v>110</v>
      </c>
      <c r="D573" s="1" t="s">
        <v>749</v>
      </c>
      <c r="E573" s="7" t="str">
        <f t="shared" si="56"/>
        <v>GOR</v>
      </c>
      <c r="F573" s="7" t="str">
        <f t="shared" si="57"/>
        <v>KID</v>
      </c>
      <c r="G573" s="7" t="str">
        <f t="shared" si="58"/>
        <v>TSS</v>
      </c>
      <c r="H573" s="7" t="str">
        <f t="shared" si="59"/>
        <v>ONE</v>
      </c>
      <c r="I573" s="7" t="str">
        <f t="shared" si="60"/>
        <v>TLT</v>
      </c>
      <c r="J573" s="7" t="str">
        <f t="shared" si="61"/>
        <v>BLK</v>
      </c>
      <c r="K573" s="7" t="str">
        <f t="shared" si="62"/>
        <v>4</v>
      </c>
      <c r="L573" s="7" t="s">
        <v>2018</v>
      </c>
      <c r="M573" s="7" t="s">
        <v>4462</v>
      </c>
      <c r="N573" s="7">
        <f>_xlfn.XLOOKUP(A573,[1]SKU!$A:$A,[1]SKU!$Z:$Z)</f>
        <v>590000</v>
      </c>
    </row>
    <row r="574" spans="1:14" s="7" customFormat="1">
      <c r="A574" s="1" t="s">
        <v>750</v>
      </c>
      <c r="B574" s="3" t="s">
        <v>3</v>
      </c>
      <c r="C574" s="3" t="s">
        <v>532</v>
      </c>
      <c r="D574" s="1" t="s">
        <v>751</v>
      </c>
      <c r="E574" s="7" t="str">
        <f t="shared" si="56"/>
        <v>GBA</v>
      </c>
      <c r="F574" s="7" t="str">
        <f t="shared" si="57"/>
        <v>MEN</v>
      </c>
      <c r="G574" s="7" t="str">
        <f t="shared" si="58"/>
        <v>TSS</v>
      </c>
      <c r="H574" s="7" t="str">
        <f t="shared" si="59"/>
        <v>ONE</v>
      </c>
      <c r="I574" s="7" t="str">
        <f t="shared" si="60"/>
        <v>SCR</v>
      </c>
      <c r="J574" s="7" t="str">
        <f t="shared" si="61"/>
        <v>WHI</v>
      </c>
      <c r="K574" s="7" t="str">
        <f t="shared" si="62"/>
        <v>L</v>
      </c>
      <c r="L574" s="7" t="s">
        <v>2018</v>
      </c>
      <c r="M574" s="7" t="s">
        <v>4462</v>
      </c>
      <c r="N574" s="7">
        <f>_xlfn.XLOOKUP(A574,[1]SKU!$A:$A,[1]SKU!$Z:$Z)</f>
        <v>950000</v>
      </c>
    </row>
    <row r="575" spans="1:14" s="7" customFormat="1">
      <c r="A575" s="1" t="s">
        <v>5184</v>
      </c>
      <c r="B575" s="3" t="s">
        <v>4472</v>
      </c>
      <c r="C575" s="3" t="s">
        <v>752</v>
      </c>
      <c r="D575" s="1" t="s">
        <v>5185</v>
      </c>
      <c r="E575" s="7" t="str">
        <f t="shared" si="56"/>
        <v>DSP</v>
      </c>
      <c r="F575" s="7" t="str">
        <f t="shared" si="57"/>
        <v>UNI</v>
      </c>
      <c r="G575" s="7" t="str">
        <f t="shared" si="58"/>
        <v>FWR</v>
      </c>
      <c r="H575" s="7" t="str">
        <f t="shared" si="59"/>
        <v>LES</v>
      </c>
      <c r="I575" s="7" t="str">
        <f t="shared" si="60"/>
        <v>RAY</v>
      </c>
      <c r="J575" s="7" t="str">
        <f t="shared" si="61"/>
        <v>BUR</v>
      </c>
      <c r="K575" s="7" t="str">
        <f t="shared" si="62"/>
        <v>40</v>
      </c>
      <c r="L575" s="7">
        <v>0</v>
      </c>
      <c r="M575" s="7" t="s">
        <v>2609</v>
      </c>
      <c r="N575" s="7">
        <f>_xlfn.XLOOKUP(A575,[1]SKU!$A:$A,[1]SKU!$Z:$Z)</f>
        <v>7500000</v>
      </c>
    </row>
    <row r="576" spans="1:14" s="7" customFormat="1">
      <c r="A576" s="1" t="s">
        <v>5186</v>
      </c>
      <c r="B576" s="8" t="s">
        <v>4472</v>
      </c>
      <c r="C576" s="8" t="s">
        <v>5187</v>
      </c>
      <c r="D576" s="1" t="s">
        <v>5188</v>
      </c>
      <c r="E576" s="7" t="str">
        <f t="shared" si="56"/>
        <v>HAM</v>
      </c>
      <c r="F576" s="7" t="str">
        <f t="shared" si="57"/>
        <v>UNI</v>
      </c>
      <c r="G576" s="7" t="str">
        <f t="shared" si="58"/>
        <v>JEW</v>
      </c>
      <c r="H576" s="7" t="str">
        <f t="shared" si="59"/>
        <v>NEC</v>
      </c>
      <c r="I576" s="7" t="str">
        <f t="shared" si="60"/>
        <v>155</v>
      </c>
      <c r="J576" s="7" t="str">
        <f t="shared" si="61"/>
        <v>MIX</v>
      </c>
      <c r="K576" s="7" t="str">
        <f t="shared" si="62"/>
        <v>0</v>
      </c>
      <c r="L576" s="7">
        <v>0</v>
      </c>
      <c r="M576" s="7" t="s">
        <v>2609</v>
      </c>
      <c r="N576" s="7">
        <f>_xlfn.XLOOKUP(A576,[1]SKU!$A:$A,[1]SKU!$Z:$Z)</f>
        <v>3200000</v>
      </c>
    </row>
    <row r="577" spans="1:14" s="7" customFormat="1">
      <c r="A577" s="1" t="s">
        <v>5189</v>
      </c>
      <c r="B577" s="3" t="s">
        <v>4472</v>
      </c>
      <c r="C577" s="3" t="s">
        <v>5190</v>
      </c>
      <c r="D577" s="1" t="s">
        <v>5191</v>
      </c>
      <c r="E577" s="7" t="str">
        <f t="shared" si="56"/>
        <v>DSP</v>
      </c>
      <c r="F577" s="7" t="str">
        <f t="shared" si="57"/>
        <v>UNI</v>
      </c>
      <c r="G577" s="7" t="str">
        <f t="shared" si="58"/>
        <v>FWR</v>
      </c>
      <c r="H577" s="7" t="str">
        <f t="shared" si="59"/>
        <v>LES</v>
      </c>
      <c r="I577" s="7" t="str">
        <f t="shared" si="60"/>
        <v>MA2</v>
      </c>
      <c r="J577" s="7" t="str">
        <f t="shared" si="61"/>
        <v>RGN</v>
      </c>
      <c r="K577" s="7" t="str">
        <f t="shared" si="62"/>
        <v>44</v>
      </c>
      <c r="L577" s="7">
        <v>0</v>
      </c>
      <c r="M577" s="7" t="s">
        <v>2609</v>
      </c>
      <c r="N577" s="7">
        <f>_xlfn.XLOOKUP(A577,[1]SKU!$A:$A,[1]SKU!$Z:$Z)</f>
        <v>10800000</v>
      </c>
    </row>
    <row r="578" spans="1:14" s="7" customFormat="1">
      <c r="A578" s="1" t="s">
        <v>5192</v>
      </c>
      <c r="B578" s="3" t="s">
        <v>4472</v>
      </c>
      <c r="C578" s="3" t="s">
        <v>5193</v>
      </c>
      <c r="D578" s="1" t="s">
        <v>5194</v>
      </c>
      <c r="E578" s="7" t="str">
        <f t="shared" si="56"/>
        <v>TOH</v>
      </c>
      <c r="F578" s="7" t="str">
        <f t="shared" si="57"/>
        <v>UNI</v>
      </c>
      <c r="G578" s="7" t="str">
        <f t="shared" si="58"/>
        <v>BAG</v>
      </c>
      <c r="H578" s="7" t="str">
        <f t="shared" si="59"/>
        <v>WAL</v>
      </c>
      <c r="I578" s="7" t="str">
        <f t="shared" si="60"/>
        <v>AW1</v>
      </c>
      <c r="J578" s="7" t="str">
        <f t="shared" si="61"/>
        <v>MIX</v>
      </c>
      <c r="K578" s="7" t="str">
        <f t="shared" si="62"/>
        <v>S</v>
      </c>
      <c r="L578" s="7">
        <v>0</v>
      </c>
      <c r="M578" s="7" t="s">
        <v>2609</v>
      </c>
      <c r="N578" s="7">
        <f>_xlfn.XLOOKUP(A578,[1]SKU!$A:$A,[1]SKU!$Z:$Z)</f>
        <v>280000</v>
      </c>
    </row>
    <row r="579" spans="1:14" s="7" customFormat="1">
      <c r="A579" s="1" t="s">
        <v>754</v>
      </c>
      <c r="B579" s="3" t="s">
        <v>3</v>
      </c>
      <c r="C579" s="3" t="s">
        <v>29</v>
      </c>
      <c r="D579" s="1" t="s">
        <v>755</v>
      </c>
      <c r="E579" s="7" t="str">
        <f t="shared" ref="E579:E642" si="63">_xlfn.TEXTBEFORE(_xlfn.TEXTAFTER(D579,"-"),"-")</f>
        <v>GSP</v>
      </c>
      <c r="F579" s="7" t="str">
        <f t="shared" ref="F579:F642" si="64">_xlfn.TEXTBEFORE(_xlfn.TEXTAFTER(D579,"-",2),"-")</f>
        <v>MEN</v>
      </c>
      <c r="G579" s="7" t="str">
        <f t="shared" ref="G579:G642" si="65">_xlfn.TEXTBEFORE(_xlfn.TEXTAFTER(D579,"-",3),"-")</f>
        <v>POL</v>
      </c>
      <c r="H579" s="7" t="str">
        <f t="shared" ref="H579:H642" si="66">_xlfn.TEXTBEFORE(_xlfn.TEXTAFTER(D579,"-",4),"-")</f>
        <v>MAN</v>
      </c>
      <c r="I579" s="7" t="str">
        <f t="shared" ref="I579:I642" si="67">_xlfn.TEXTBEFORE(_xlfn.TEXTAFTER(D579,"-",5),"-")</f>
        <v>SHU</v>
      </c>
      <c r="J579" s="7" t="str">
        <f t="shared" ref="J579:J642" si="68">_xlfn.TEXTBEFORE(_xlfn.TEXTAFTER(D579,"-",6),"-")</f>
        <v>NAV</v>
      </c>
      <c r="K579" s="7" t="str">
        <f t="shared" ref="K579:K642" si="69">_xlfn.TEXTAFTER(D579,"-",7)</f>
        <v>XXL</v>
      </c>
      <c r="L579" s="7" t="s">
        <v>1995</v>
      </c>
      <c r="M579" s="7" t="s">
        <v>4468</v>
      </c>
      <c r="N579" s="7">
        <f>_xlfn.XLOOKUP(A579,[1]SKU!$A:$A,[1]SKU!$Z:$Z)</f>
        <v>1090000</v>
      </c>
    </row>
    <row r="580" spans="1:14" s="7" customFormat="1">
      <c r="A580" s="1" t="s">
        <v>756</v>
      </c>
      <c r="B580" s="3" t="s">
        <v>3</v>
      </c>
      <c r="C580" s="3" t="s">
        <v>314</v>
      </c>
      <c r="D580" s="1" t="s">
        <v>757</v>
      </c>
      <c r="E580" s="7" t="str">
        <f t="shared" si="63"/>
        <v>GBA</v>
      </c>
      <c r="F580" s="7" t="str">
        <f t="shared" si="64"/>
        <v>MEN</v>
      </c>
      <c r="G580" s="7" t="str">
        <f t="shared" si="65"/>
        <v>TSP</v>
      </c>
      <c r="H580" s="7" t="str">
        <f t="shared" si="66"/>
        <v>ONE</v>
      </c>
      <c r="I580" s="7" t="str">
        <f t="shared" si="67"/>
        <v>XLO</v>
      </c>
      <c r="J580" s="7" t="str">
        <f t="shared" si="68"/>
        <v>WHI</v>
      </c>
      <c r="K580" s="7" t="str">
        <f t="shared" si="69"/>
        <v>L</v>
      </c>
      <c r="L580" s="7" t="s">
        <v>2085</v>
      </c>
      <c r="M580" s="7" t="s">
        <v>4462</v>
      </c>
      <c r="N580" s="7">
        <f>_xlfn.XLOOKUP(A580,[1]SKU!$A:$A,[1]SKU!$Z:$Z)</f>
        <v>710000</v>
      </c>
    </row>
    <row r="581" spans="1:14" s="7" customFormat="1">
      <c r="A581" s="1" t="s">
        <v>5195</v>
      </c>
      <c r="B581" s="3" t="s">
        <v>4472</v>
      </c>
      <c r="C581" s="3" t="s">
        <v>5196</v>
      </c>
      <c r="D581" s="1" t="s">
        <v>5197</v>
      </c>
      <c r="E581" s="7" t="str">
        <f t="shared" si="63"/>
        <v>HAM</v>
      </c>
      <c r="F581" s="7" t="str">
        <f t="shared" si="64"/>
        <v>UNI</v>
      </c>
      <c r="G581" s="7" t="str">
        <f t="shared" si="65"/>
        <v>JEW</v>
      </c>
      <c r="H581" s="7" t="str">
        <f t="shared" si="66"/>
        <v>NEC</v>
      </c>
      <c r="I581" s="7" t="str">
        <f t="shared" si="67"/>
        <v>092</v>
      </c>
      <c r="J581" s="7" t="str">
        <f t="shared" si="68"/>
        <v>MIX</v>
      </c>
      <c r="K581" s="7" t="str">
        <f t="shared" si="69"/>
        <v>0</v>
      </c>
      <c r="L581" s="7">
        <v>0</v>
      </c>
      <c r="M581" s="7" t="s">
        <v>2609</v>
      </c>
      <c r="N581" s="7">
        <f>_xlfn.XLOOKUP(A581,[1]SKU!$A:$A,[1]SKU!$Z:$Z)</f>
        <v>1800000</v>
      </c>
    </row>
    <row r="582" spans="1:14" s="7" customFormat="1">
      <c r="A582" s="1" t="s">
        <v>759</v>
      </c>
      <c r="B582" s="3" t="s">
        <v>3</v>
      </c>
      <c r="C582" s="3" t="s">
        <v>236</v>
      </c>
      <c r="D582" s="1" t="s">
        <v>760</v>
      </c>
      <c r="E582" s="7" t="str">
        <f t="shared" si="63"/>
        <v>GOR</v>
      </c>
      <c r="F582" s="7" t="str">
        <f t="shared" si="64"/>
        <v>KID</v>
      </c>
      <c r="G582" s="7" t="str">
        <f t="shared" si="65"/>
        <v>TSS</v>
      </c>
      <c r="H582" s="7" t="str">
        <f t="shared" si="66"/>
        <v>ONE</v>
      </c>
      <c r="I582" s="7" t="str">
        <f t="shared" si="67"/>
        <v>STA</v>
      </c>
      <c r="J582" s="7" t="str">
        <f t="shared" si="68"/>
        <v>RED</v>
      </c>
      <c r="K582" s="7" t="str">
        <f t="shared" si="69"/>
        <v>10</v>
      </c>
      <c r="L582" s="7" t="s">
        <v>2018</v>
      </c>
      <c r="M582" s="7" t="s">
        <v>4462</v>
      </c>
      <c r="N582" s="7">
        <f>_xlfn.XLOOKUP(A582,[1]SKU!$A:$A,[1]SKU!$Z:$Z)</f>
        <v>590000</v>
      </c>
    </row>
    <row r="583" spans="1:14" s="7" customFormat="1">
      <c r="A583" s="1" t="s">
        <v>761</v>
      </c>
      <c r="B583" s="3" t="s">
        <v>3</v>
      </c>
      <c r="C583" s="3" t="s">
        <v>29</v>
      </c>
      <c r="D583" s="1" t="s">
        <v>762</v>
      </c>
      <c r="E583" s="7" t="str">
        <f t="shared" si="63"/>
        <v>GFN</v>
      </c>
      <c r="F583" s="7" t="str">
        <f t="shared" si="64"/>
        <v>KID</v>
      </c>
      <c r="G583" s="7" t="str">
        <f t="shared" si="65"/>
        <v>SWL</v>
      </c>
      <c r="H583" s="7" t="str">
        <f t="shared" si="66"/>
        <v>ONE</v>
      </c>
      <c r="I583" s="7" t="str">
        <f t="shared" si="67"/>
        <v>SHU</v>
      </c>
      <c r="J583" s="7" t="str">
        <f t="shared" si="68"/>
        <v>BLK</v>
      </c>
      <c r="K583" s="7" t="str">
        <f t="shared" si="69"/>
        <v>4</v>
      </c>
      <c r="L583" s="7" t="s">
        <v>2581</v>
      </c>
      <c r="M583" s="7" t="s">
        <v>4464</v>
      </c>
      <c r="N583" s="7">
        <f>_xlfn.XLOOKUP(A583,[1]SKU!$A:$A,[1]SKU!$Z:$Z)</f>
        <v>890000</v>
      </c>
    </row>
    <row r="584" spans="1:14" s="7" customFormat="1">
      <c r="A584" s="1" t="s">
        <v>5198</v>
      </c>
      <c r="B584" s="3" t="s">
        <v>4472</v>
      </c>
      <c r="C584" s="3" t="s">
        <v>4547</v>
      </c>
      <c r="D584" s="1" t="s">
        <v>5199</v>
      </c>
      <c r="E584" s="7" t="str">
        <f t="shared" si="63"/>
        <v>HAM</v>
      </c>
      <c r="F584" s="7" t="str">
        <f t="shared" si="64"/>
        <v>UNI</v>
      </c>
      <c r="G584" s="7" t="str">
        <f t="shared" si="65"/>
        <v>JEW</v>
      </c>
      <c r="H584" s="7" t="str">
        <f t="shared" si="66"/>
        <v>NEC</v>
      </c>
      <c r="I584" s="7" t="str">
        <f t="shared" si="67"/>
        <v>A38</v>
      </c>
      <c r="J584" s="7" t="str">
        <f t="shared" si="68"/>
        <v>MIX</v>
      </c>
      <c r="K584" s="7" t="str">
        <f t="shared" si="69"/>
        <v>0</v>
      </c>
      <c r="L584" s="7">
        <v>0</v>
      </c>
      <c r="M584" s="7" t="s">
        <v>2609</v>
      </c>
      <c r="N584" s="7">
        <f>_xlfn.XLOOKUP(A584,[1]SKU!$A:$A,[1]SKU!$Z:$Z)</f>
        <v>2200000</v>
      </c>
    </row>
    <row r="585" spans="1:14" s="7" customFormat="1">
      <c r="A585" s="1" t="s">
        <v>764</v>
      </c>
      <c r="B585" s="3" t="s">
        <v>3</v>
      </c>
      <c r="C585" s="3" t="s">
        <v>268</v>
      </c>
      <c r="D585" s="1" t="s">
        <v>765</v>
      </c>
      <c r="E585" s="7" t="str">
        <f t="shared" si="63"/>
        <v>GSL</v>
      </c>
      <c r="F585" s="7" t="str">
        <f t="shared" si="64"/>
        <v>WOM</v>
      </c>
      <c r="G585" s="7" t="str">
        <f t="shared" si="65"/>
        <v>FZE</v>
      </c>
      <c r="H585" s="7" t="str">
        <f t="shared" si="66"/>
        <v>BNE</v>
      </c>
      <c r="I585" s="7" t="str">
        <f t="shared" si="67"/>
        <v>SSY</v>
      </c>
      <c r="J585" s="7" t="str">
        <f t="shared" si="68"/>
        <v>WHI</v>
      </c>
      <c r="K585" s="7" t="str">
        <f t="shared" si="69"/>
        <v>L</v>
      </c>
      <c r="L585" s="7" t="s">
        <v>2131</v>
      </c>
      <c r="M585" s="7" t="s">
        <v>2131</v>
      </c>
      <c r="N585" s="7">
        <f>_xlfn.XLOOKUP(A585,[1]SKU!$A:$A,[1]SKU!$Z:$Z)</f>
        <v>750000</v>
      </c>
    </row>
    <row r="586" spans="1:14" s="7" customFormat="1">
      <c r="A586" s="1" t="s">
        <v>766</v>
      </c>
      <c r="B586" s="3" t="s">
        <v>3</v>
      </c>
      <c r="C586" s="3" t="s">
        <v>23</v>
      </c>
      <c r="D586" s="1" t="s">
        <v>767</v>
      </c>
      <c r="E586" s="7" t="str">
        <f t="shared" si="63"/>
        <v>GOR</v>
      </c>
      <c r="F586" s="7" t="str">
        <f t="shared" si="64"/>
        <v>MEN</v>
      </c>
      <c r="G586" s="7" t="str">
        <f t="shared" si="65"/>
        <v>TSS</v>
      </c>
      <c r="H586" s="7" t="str">
        <f t="shared" si="66"/>
        <v>ONE</v>
      </c>
      <c r="I586" s="7" t="str">
        <f t="shared" si="67"/>
        <v>URB</v>
      </c>
      <c r="J586" s="7" t="str">
        <f t="shared" si="68"/>
        <v>JBG</v>
      </c>
      <c r="K586" s="7" t="str">
        <f t="shared" si="69"/>
        <v>XL</v>
      </c>
      <c r="L586" s="7" t="s">
        <v>2018</v>
      </c>
      <c r="M586" s="7" t="s">
        <v>4462</v>
      </c>
      <c r="N586" s="7">
        <f>_xlfn.XLOOKUP(A586,[1]SKU!$A:$A,[1]SKU!$Z:$Z)</f>
        <v>790000</v>
      </c>
    </row>
    <row r="587" spans="1:14" s="7" customFormat="1">
      <c r="A587" s="1" t="s">
        <v>5200</v>
      </c>
      <c r="B587" s="3" t="s">
        <v>4472</v>
      </c>
      <c r="C587" s="3" t="s">
        <v>171</v>
      </c>
      <c r="D587" s="1" t="s">
        <v>5201</v>
      </c>
      <c r="E587" s="7" t="str">
        <f t="shared" si="63"/>
        <v>DSP</v>
      </c>
      <c r="F587" s="7" t="str">
        <f t="shared" si="64"/>
        <v>UNI</v>
      </c>
      <c r="G587" s="7" t="str">
        <f t="shared" si="65"/>
        <v>FWR</v>
      </c>
      <c r="H587" s="7" t="str">
        <f t="shared" si="66"/>
        <v>SLI</v>
      </c>
      <c r="I587" s="7" t="str">
        <f t="shared" si="67"/>
        <v>MAS</v>
      </c>
      <c r="J587" s="7" t="str">
        <f t="shared" si="68"/>
        <v>MBE</v>
      </c>
      <c r="K587" s="7" t="str">
        <f t="shared" si="69"/>
        <v>38</v>
      </c>
      <c r="L587" s="7">
        <v>0</v>
      </c>
      <c r="M587" s="7" t="s">
        <v>2609</v>
      </c>
      <c r="N587" s="7">
        <f>_xlfn.XLOOKUP(A587,[1]SKU!$A:$A,[1]SKU!$Z:$Z)</f>
        <v>6200000</v>
      </c>
    </row>
    <row r="588" spans="1:14" s="7" customFormat="1">
      <c r="A588" s="1" t="s">
        <v>768</v>
      </c>
      <c r="B588" s="3" t="s">
        <v>3</v>
      </c>
      <c r="C588" s="3" t="s">
        <v>38</v>
      </c>
      <c r="D588" s="1" t="s">
        <v>769</v>
      </c>
      <c r="E588" s="7" t="str">
        <f t="shared" si="63"/>
        <v>GPI</v>
      </c>
      <c r="F588" s="7" t="str">
        <f t="shared" si="64"/>
        <v>MEN</v>
      </c>
      <c r="G588" s="7" t="str">
        <f t="shared" si="65"/>
        <v>POL</v>
      </c>
      <c r="H588" s="7" t="str">
        <f t="shared" si="66"/>
        <v>RIB</v>
      </c>
      <c r="I588" s="7" t="str">
        <f t="shared" si="67"/>
        <v>LOG</v>
      </c>
      <c r="J588" s="7" t="str">
        <f t="shared" si="68"/>
        <v>AGD</v>
      </c>
      <c r="K588" s="7" t="str">
        <f t="shared" si="69"/>
        <v>XXL</v>
      </c>
      <c r="L588" s="7" t="s">
        <v>1995</v>
      </c>
      <c r="M588" s="7" t="s">
        <v>4468</v>
      </c>
      <c r="N588" s="7">
        <f>_xlfn.XLOOKUP(A588,[1]SKU!$A:$A,[1]SKU!$Z:$Z)</f>
        <v>1390000</v>
      </c>
    </row>
    <row r="589" spans="1:14" s="7" customFormat="1">
      <c r="A589" s="1" t="s">
        <v>770</v>
      </c>
      <c r="B589" s="3" t="s">
        <v>3</v>
      </c>
      <c r="C589" s="3" t="s">
        <v>33</v>
      </c>
      <c r="D589" s="1" t="s">
        <v>771</v>
      </c>
      <c r="E589" s="7" t="str">
        <f t="shared" si="63"/>
        <v>GBA</v>
      </c>
      <c r="F589" s="7" t="str">
        <f t="shared" si="64"/>
        <v>MEN</v>
      </c>
      <c r="G589" s="7" t="str">
        <f t="shared" si="65"/>
        <v>TSS</v>
      </c>
      <c r="H589" s="7" t="str">
        <f t="shared" si="66"/>
        <v>ONE</v>
      </c>
      <c r="I589" s="7" t="str">
        <f t="shared" si="67"/>
        <v>VTM</v>
      </c>
      <c r="J589" s="7" t="str">
        <f t="shared" si="68"/>
        <v>WHI</v>
      </c>
      <c r="K589" s="7" t="str">
        <f t="shared" si="69"/>
        <v>S</v>
      </c>
      <c r="L589" s="7" t="s">
        <v>2018</v>
      </c>
      <c r="M589" s="7" t="s">
        <v>4462</v>
      </c>
      <c r="N589" s="7">
        <f>_xlfn.XLOOKUP(A589,[1]SKU!$A:$A,[1]SKU!$Z:$Z)</f>
        <v>710000</v>
      </c>
    </row>
    <row r="590" spans="1:14" s="7" customFormat="1">
      <c r="A590" s="1" t="s">
        <v>772</v>
      </c>
      <c r="B590" s="3" t="s">
        <v>3</v>
      </c>
      <c r="C590" s="3" t="s">
        <v>42</v>
      </c>
      <c r="D590" s="1" t="s">
        <v>773</v>
      </c>
      <c r="E590" s="7" t="str">
        <f t="shared" si="63"/>
        <v>GCL</v>
      </c>
      <c r="F590" s="7" t="str">
        <f t="shared" si="64"/>
        <v>MEN</v>
      </c>
      <c r="G590" s="7" t="str">
        <f t="shared" si="65"/>
        <v>TSO</v>
      </c>
      <c r="H590" s="7" t="str">
        <f t="shared" si="66"/>
        <v>ONE</v>
      </c>
      <c r="I590" s="7" t="str">
        <f t="shared" si="67"/>
        <v>EHT</v>
      </c>
      <c r="J590" s="7" t="str">
        <f t="shared" si="68"/>
        <v>WHI</v>
      </c>
      <c r="K590" s="7" t="str">
        <f t="shared" si="69"/>
        <v>S</v>
      </c>
      <c r="L590" s="7" t="s">
        <v>2071</v>
      </c>
      <c r="M590" s="7" t="s">
        <v>4462</v>
      </c>
      <c r="N590" s="7">
        <f>_xlfn.XLOOKUP(A590,[1]SKU!$A:$A,[1]SKU!$Z:$Z)</f>
        <v>1290000</v>
      </c>
    </row>
    <row r="591" spans="1:14" s="7" customFormat="1">
      <c r="A591" s="1" t="s">
        <v>774</v>
      </c>
      <c r="B591" s="3" t="s">
        <v>3</v>
      </c>
      <c r="C591" s="3" t="s">
        <v>29</v>
      </c>
      <c r="D591" s="1" t="s">
        <v>775</v>
      </c>
      <c r="E591" s="7" t="str">
        <f t="shared" si="63"/>
        <v>GSP</v>
      </c>
      <c r="F591" s="7" t="str">
        <f t="shared" si="64"/>
        <v>MEN</v>
      </c>
      <c r="G591" s="7" t="str">
        <f t="shared" si="65"/>
        <v>POL</v>
      </c>
      <c r="H591" s="7" t="str">
        <f t="shared" si="66"/>
        <v>MAN</v>
      </c>
      <c r="I591" s="7" t="str">
        <f t="shared" si="67"/>
        <v>SHU</v>
      </c>
      <c r="J591" s="7" t="str">
        <f t="shared" si="68"/>
        <v>BLK</v>
      </c>
      <c r="K591" s="7" t="str">
        <f t="shared" si="69"/>
        <v>XL</v>
      </c>
      <c r="L591" s="7" t="s">
        <v>1995</v>
      </c>
      <c r="M591" s="7" t="s">
        <v>4468</v>
      </c>
      <c r="N591" s="7">
        <f>_xlfn.XLOOKUP(A591,[1]SKU!$A:$A,[1]SKU!$Z:$Z)</f>
        <v>1090000</v>
      </c>
    </row>
    <row r="592" spans="1:14" s="7" customFormat="1">
      <c r="A592" s="1" t="s">
        <v>776</v>
      </c>
      <c r="B592" s="3" t="s">
        <v>3</v>
      </c>
      <c r="C592" s="3" t="s">
        <v>23</v>
      </c>
      <c r="D592" s="1" t="s">
        <v>777</v>
      </c>
      <c r="E592" s="7" t="str">
        <f t="shared" si="63"/>
        <v>GBA</v>
      </c>
      <c r="F592" s="7" t="str">
        <f t="shared" si="64"/>
        <v>MEN</v>
      </c>
      <c r="G592" s="7" t="str">
        <f t="shared" si="65"/>
        <v>TSS</v>
      </c>
      <c r="H592" s="7" t="str">
        <f t="shared" si="66"/>
        <v>ONE</v>
      </c>
      <c r="I592" s="7" t="str">
        <f t="shared" si="67"/>
        <v>URB</v>
      </c>
      <c r="J592" s="7" t="str">
        <f t="shared" si="68"/>
        <v>JBG</v>
      </c>
      <c r="K592" s="7" t="str">
        <f t="shared" si="69"/>
        <v>XL</v>
      </c>
      <c r="L592" s="7" t="s">
        <v>2018</v>
      </c>
      <c r="M592" s="7" t="s">
        <v>4462</v>
      </c>
      <c r="N592" s="7">
        <f>_xlfn.XLOOKUP(A592,[1]SKU!$A:$A,[1]SKU!$Z:$Z)</f>
        <v>710000</v>
      </c>
    </row>
    <row r="593" spans="1:14" s="7" customFormat="1">
      <c r="A593" s="1" t="s">
        <v>778</v>
      </c>
      <c r="B593" s="3" t="s">
        <v>3</v>
      </c>
      <c r="C593" s="3" t="s">
        <v>268</v>
      </c>
      <c r="D593" s="1" t="s">
        <v>779</v>
      </c>
      <c r="E593" s="7" t="str">
        <f t="shared" si="63"/>
        <v>GOR</v>
      </c>
      <c r="F593" s="7" t="str">
        <f t="shared" si="64"/>
        <v>MEN</v>
      </c>
      <c r="G593" s="7" t="str">
        <f t="shared" si="65"/>
        <v>TSS</v>
      </c>
      <c r="H593" s="7" t="str">
        <f t="shared" si="66"/>
        <v>ONE</v>
      </c>
      <c r="I593" s="7" t="str">
        <f t="shared" si="67"/>
        <v>SSY</v>
      </c>
      <c r="J593" s="7" t="str">
        <f t="shared" si="68"/>
        <v>WHI</v>
      </c>
      <c r="K593" s="7" t="str">
        <f t="shared" si="69"/>
        <v>L</v>
      </c>
      <c r="L593" s="7" t="s">
        <v>2018</v>
      </c>
      <c r="M593" s="7" t="s">
        <v>4462</v>
      </c>
      <c r="N593" s="7">
        <f>_xlfn.XLOOKUP(A593,[1]SKU!$A:$A,[1]SKU!$Z:$Z)</f>
        <v>790000</v>
      </c>
    </row>
    <row r="594" spans="1:14" s="7" customFormat="1">
      <c r="A594" s="1" t="s">
        <v>780</v>
      </c>
      <c r="B594" s="3" t="s">
        <v>3</v>
      </c>
      <c r="C594" s="3" t="s">
        <v>7</v>
      </c>
      <c r="D594" s="1" t="s">
        <v>781</v>
      </c>
      <c r="E594" s="7" t="str">
        <f t="shared" si="63"/>
        <v>GKK</v>
      </c>
      <c r="F594" s="7" t="str">
        <f t="shared" si="64"/>
        <v>WOM</v>
      </c>
      <c r="G594" s="7" t="str">
        <f t="shared" si="65"/>
        <v>SHD</v>
      </c>
      <c r="H594" s="7" t="str">
        <f t="shared" si="66"/>
        <v>FBT</v>
      </c>
      <c r="I594" s="7" t="str">
        <f t="shared" si="67"/>
        <v>FLH</v>
      </c>
      <c r="J594" s="7" t="str">
        <f t="shared" si="68"/>
        <v>BLK</v>
      </c>
      <c r="K594" s="7" t="str">
        <f t="shared" si="69"/>
        <v>XL</v>
      </c>
      <c r="L594" s="7" t="s">
        <v>2774</v>
      </c>
      <c r="M594" s="7" t="s">
        <v>4463</v>
      </c>
      <c r="N594" s="7">
        <f>_xlfn.XLOOKUP(A594,[1]SKU!$A:$A,[1]SKU!$Z:$Z)</f>
        <v>1650000</v>
      </c>
    </row>
    <row r="595" spans="1:14" s="7" customFormat="1">
      <c r="A595" s="1" t="s">
        <v>5202</v>
      </c>
      <c r="B595" s="3" t="s">
        <v>4472</v>
      </c>
      <c r="C595" s="3" t="s">
        <v>221</v>
      </c>
      <c r="D595" s="1" t="s">
        <v>5203</v>
      </c>
      <c r="E595" s="7" t="str">
        <f t="shared" si="63"/>
        <v>DSP</v>
      </c>
      <c r="F595" s="7" t="str">
        <f t="shared" si="64"/>
        <v>UNI</v>
      </c>
      <c r="G595" s="7" t="str">
        <f t="shared" si="65"/>
        <v>BAG</v>
      </c>
      <c r="H595" s="7" t="str">
        <f t="shared" si="66"/>
        <v>HDB</v>
      </c>
      <c r="I595" s="7" t="str">
        <f t="shared" si="67"/>
        <v>SHE</v>
      </c>
      <c r="J595" s="7" t="str">
        <f t="shared" si="68"/>
        <v>BLK</v>
      </c>
      <c r="K595" s="7" t="str">
        <f t="shared" si="69"/>
        <v>0</v>
      </c>
      <c r="L595" s="7">
        <v>0</v>
      </c>
      <c r="M595" s="7" t="s">
        <v>2609</v>
      </c>
      <c r="N595" s="7">
        <f>_xlfn.XLOOKUP(A595,[1]SKU!$A:$A,[1]SKU!$Z:$Z)</f>
        <v>4650000</v>
      </c>
    </row>
    <row r="596" spans="1:14" s="7" customFormat="1">
      <c r="A596" s="1" t="s">
        <v>782</v>
      </c>
      <c r="B596" s="3" t="s">
        <v>19</v>
      </c>
      <c r="C596" s="3" t="s">
        <v>783</v>
      </c>
      <c r="D596" s="1" t="s">
        <v>784</v>
      </c>
      <c r="E596" s="7" t="str">
        <f t="shared" si="63"/>
        <v>OTH</v>
      </c>
      <c r="F596" s="7" t="str">
        <f t="shared" si="64"/>
        <v>UNI</v>
      </c>
      <c r="G596" s="7" t="str">
        <f t="shared" si="65"/>
        <v>SCA</v>
      </c>
      <c r="H596" s="7" t="str">
        <f t="shared" si="66"/>
        <v>SCS</v>
      </c>
      <c r="I596" s="7" t="str">
        <f t="shared" si="67"/>
        <v>VNR</v>
      </c>
      <c r="J596" s="7" t="str">
        <f t="shared" si="68"/>
        <v>ORA</v>
      </c>
      <c r="K596" s="7" t="str">
        <f t="shared" si="69"/>
        <v>90</v>
      </c>
      <c r="L596" s="7">
        <v>0</v>
      </c>
      <c r="M596" s="7" t="s">
        <v>2609</v>
      </c>
      <c r="N596" s="7">
        <f>_xlfn.XLOOKUP(A596,[1]SKU!$A:$A,[1]SKU!$Z:$Z)</f>
        <v>2850000</v>
      </c>
    </row>
    <row r="597" spans="1:14" s="7" customFormat="1">
      <c r="A597" s="1" t="s">
        <v>5204</v>
      </c>
      <c r="B597" s="3" t="s">
        <v>4472</v>
      </c>
      <c r="C597" s="3" t="s">
        <v>785</v>
      </c>
      <c r="D597" s="1" t="s">
        <v>5205</v>
      </c>
      <c r="E597" s="7" t="str">
        <f t="shared" si="63"/>
        <v>DSP</v>
      </c>
      <c r="F597" s="7" t="str">
        <f t="shared" si="64"/>
        <v>UNI</v>
      </c>
      <c r="G597" s="7" t="str">
        <f t="shared" si="65"/>
        <v>FWR</v>
      </c>
      <c r="H597" s="7" t="str">
        <f t="shared" si="66"/>
        <v>LES</v>
      </c>
      <c r="I597" s="7" t="str">
        <f t="shared" si="67"/>
        <v>LAU</v>
      </c>
      <c r="J597" s="7" t="str">
        <f t="shared" si="68"/>
        <v>TUR</v>
      </c>
      <c r="K597" s="7" t="str">
        <f t="shared" si="69"/>
        <v>38</v>
      </c>
      <c r="L597" s="7">
        <v>0</v>
      </c>
      <c r="M597" s="7" t="s">
        <v>2609</v>
      </c>
      <c r="N597" s="7">
        <f>_xlfn.XLOOKUP(A597,[1]SKU!$A:$A,[1]SKU!$Z:$Z)</f>
        <v>7500000</v>
      </c>
    </row>
    <row r="598" spans="1:14" s="7" customFormat="1">
      <c r="A598" s="1" t="s">
        <v>786</v>
      </c>
      <c r="B598" s="3" t="s">
        <v>19</v>
      </c>
      <c r="C598" s="3" t="s">
        <v>787</v>
      </c>
      <c r="D598" s="1" t="s">
        <v>788</v>
      </c>
      <c r="E598" s="7" t="str">
        <f t="shared" si="63"/>
        <v>OTH</v>
      </c>
      <c r="F598" s="7" t="str">
        <f t="shared" si="64"/>
        <v>UNI</v>
      </c>
      <c r="G598" s="7" t="str">
        <f t="shared" si="65"/>
        <v>SOU</v>
      </c>
      <c r="H598" s="7" t="str">
        <f t="shared" si="66"/>
        <v>HFS</v>
      </c>
      <c r="I598" s="7" t="str">
        <f t="shared" si="67"/>
        <v>LLY</v>
      </c>
      <c r="J598" s="7" t="str">
        <f t="shared" si="68"/>
        <v>BOR</v>
      </c>
      <c r="K598" s="7" t="str">
        <f t="shared" si="69"/>
        <v>0</v>
      </c>
      <c r="L598" s="7">
        <v>0</v>
      </c>
      <c r="M598" s="7" t="s">
        <v>2609</v>
      </c>
      <c r="N598" s="7">
        <f>_xlfn.XLOOKUP(A598,[1]SKU!$A:$A,[1]SKU!$Z:$Z)</f>
        <v>355000</v>
      </c>
    </row>
    <row r="599" spans="1:14" s="7" customFormat="1">
      <c r="A599" s="1" t="s">
        <v>789</v>
      </c>
      <c r="B599" s="3" t="s">
        <v>19</v>
      </c>
      <c r="C599" s="3" t="s">
        <v>790</v>
      </c>
      <c r="D599" s="1" t="s">
        <v>791</v>
      </c>
      <c r="E599" s="7" t="str">
        <f t="shared" si="63"/>
        <v>OTH</v>
      </c>
      <c r="F599" s="7" t="str">
        <f t="shared" si="64"/>
        <v>UNI</v>
      </c>
      <c r="G599" s="7" t="str">
        <f t="shared" si="65"/>
        <v>SOU</v>
      </c>
      <c r="H599" s="7" t="str">
        <f t="shared" si="66"/>
        <v>NBS</v>
      </c>
      <c r="I599" s="7" t="str">
        <f t="shared" si="67"/>
        <v>WLS</v>
      </c>
      <c r="J599" s="7" t="str">
        <f t="shared" si="68"/>
        <v>MIX</v>
      </c>
      <c r="K599" s="7" t="str">
        <f t="shared" si="69"/>
        <v>A6</v>
      </c>
      <c r="L599" s="7">
        <v>0</v>
      </c>
      <c r="M599" s="7" t="s">
        <v>2609</v>
      </c>
      <c r="N599" s="7">
        <f>_xlfn.XLOOKUP(A599,[1]SKU!$A:$A,[1]SKU!$Z:$Z)</f>
        <v>65000</v>
      </c>
    </row>
    <row r="600" spans="1:14" s="7" customFormat="1">
      <c r="A600" s="9" t="s">
        <v>792</v>
      </c>
      <c r="B600" s="3" t="s">
        <v>3</v>
      </c>
      <c r="C600" s="3" t="s">
        <v>268</v>
      </c>
      <c r="D600" s="1" t="s">
        <v>793</v>
      </c>
      <c r="E600" s="7" t="str">
        <f t="shared" si="63"/>
        <v>GSL</v>
      </c>
      <c r="F600" s="7" t="str">
        <f t="shared" si="64"/>
        <v>WOM</v>
      </c>
      <c r="G600" s="7" t="str">
        <f t="shared" si="65"/>
        <v>FZE</v>
      </c>
      <c r="H600" s="7" t="str">
        <f t="shared" si="66"/>
        <v>BNE</v>
      </c>
      <c r="I600" s="7" t="str">
        <f t="shared" si="67"/>
        <v>SSY</v>
      </c>
      <c r="J600" s="7" t="str">
        <f t="shared" si="68"/>
        <v>WHI</v>
      </c>
      <c r="K600" s="7" t="str">
        <f t="shared" si="69"/>
        <v>S</v>
      </c>
      <c r="L600" s="7" t="s">
        <v>2131</v>
      </c>
      <c r="M600" s="7" t="s">
        <v>2131</v>
      </c>
      <c r="N600" s="7">
        <f>_xlfn.XLOOKUP(A600,[1]SKU!$A:$A,[1]SKU!$Z:$Z)</f>
        <v>750000</v>
      </c>
    </row>
    <row r="601" spans="1:14" s="7" customFormat="1">
      <c r="A601" s="1" t="s">
        <v>5206</v>
      </c>
      <c r="B601" s="3" t="s">
        <v>4472</v>
      </c>
      <c r="C601" s="3" t="s">
        <v>5207</v>
      </c>
      <c r="D601" s="1" t="s">
        <v>5208</v>
      </c>
      <c r="E601" s="7" t="str">
        <f t="shared" si="63"/>
        <v>DSP</v>
      </c>
      <c r="F601" s="7" t="str">
        <f t="shared" si="64"/>
        <v>UNI</v>
      </c>
      <c r="G601" s="7" t="str">
        <f t="shared" si="65"/>
        <v>FWR</v>
      </c>
      <c r="H601" s="7" t="str">
        <f t="shared" si="66"/>
        <v>LES</v>
      </c>
      <c r="I601" s="7" t="str">
        <f t="shared" si="67"/>
        <v>PAS</v>
      </c>
      <c r="J601" s="7" t="str">
        <f t="shared" si="68"/>
        <v>DBW</v>
      </c>
      <c r="K601" s="7" t="str">
        <f t="shared" si="69"/>
        <v>43</v>
      </c>
      <c r="L601" s="7">
        <v>0</v>
      </c>
      <c r="M601" s="7" t="s">
        <v>2609</v>
      </c>
      <c r="N601" s="7">
        <f>_xlfn.XLOOKUP(A601,[1]SKU!$A:$A,[1]SKU!$Z:$Z)</f>
        <v>9250000</v>
      </c>
    </row>
    <row r="602" spans="1:14" s="7" customFormat="1">
      <c r="A602" s="1" t="s">
        <v>794</v>
      </c>
      <c r="B602" s="3" t="s">
        <v>3</v>
      </c>
      <c r="C602" s="3" t="s">
        <v>563</v>
      </c>
      <c r="D602" s="1" t="s">
        <v>795</v>
      </c>
      <c r="E602" s="7" t="str">
        <f t="shared" si="63"/>
        <v>GLI</v>
      </c>
      <c r="F602" s="7" t="str">
        <f t="shared" si="64"/>
        <v>MEN</v>
      </c>
      <c r="G602" s="7" t="str">
        <f t="shared" si="65"/>
        <v>SHS</v>
      </c>
      <c r="H602" s="7" t="str">
        <f t="shared" si="66"/>
        <v>BBT</v>
      </c>
      <c r="I602" s="7" t="str">
        <f t="shared" si="67"/>
        <v>LIN</v>
      </c>
      <c r="J602" s="7" t="str">
        <f t="shared" si="68"/>
        <v>NAV</v>
      </c>
      <c r="K602" s="7" t="str">
        <f t="shared" si="69"/>
        <v>M</v>
      </c>
      <c r="L602" s="7" t="s">
        <v>2752</v>
      </c>
      <c r="M602" s="7" t="s">
        <v>4463</v>
      </c>
      <c r="N602" s="7">
        <f>_xlfn.XLOOKUP(A602,[1]SKU!$A:$A,[1]SKU!$Z:$Z)</f>
        <v>2290000</v>
      </c>
    </row>
    <row r="603" spans="1:14" s="7" customFormat="1">
      <c r="A603" s="1" t="s">
        <v>796</v>
      </c>
      <c r="B603" s="3" t="s">
        <v>3</v>
      </c>
      <c r="C603" s="3" t="s">
        <v>92</v>
      </c>
      <c r="D603" s="1" t="s">
        <v>797</v>
      </c>
      <c r="E603" s="7" t="str">
        <f t="shared" si="63"/>
        <v>GBA</v>
      </c>
      <c r="F603" s="7" t="str">
        <f t="shared" si="64"/>
        <v>MEN</v>
      </c>
      <c r="G603" s="7" t="str">
        <f t="shared" si="65"/>
        <v>TSS</v>
      </c>
      <c r="H603" s="7" t="str">
        <f t="shared" si="66"/>
        <v>ONE</v>
      </c>
      <c r="I603" s="7" t="str">
        <f t="shared" si="67"/>
        <v>SVR</v>
      </c>
      <c r="J603" s="7" t="str">
        <f t="shared" si="68"/>
        <v>WHI</v>
      </c>
      <c r="K603" s="7" t="str">
        <f t="shared" si="69"/>
        <v>S</v>
      </c>
      <c r="L603" s="7" t="s">
        <v>2018</v>
      </c>
      <c r="M603" s="7" t="s">
        <v>4462</v>
      </c>
      <c r="N603" s="7">
        <f>_xlfn.XLOOKUP(A603,[1]SKU!$A:$A,[1]SKU!$Z:$Z)</f>
        <v>890000</v>
      </c>
    </row>
    <row r="604" spans="1:14" s="7" customFormat="1">
      <c r="A604" s="1" t="s">
        <v>5209</v>
      </c>
      <c r="B604" s="3" t="s">
        <v>4472</v>
      </c>
      <c r="C604" s="3" t="s">
        <v>105</v>
      </c>
      <c r="D604" s="1" t="s">
        <v>5210</v>
      </c>
      <c r="E604" s="7" t="str">
        <f t="shared" si="63"/>
        <v>PSD</v>
      </c>
      <c r="F604" s="7" t="str">
        <f t="shared" si="64"/>
        <v>UNI</v>
      </c>
      <c r="G604" s="7" t="str">
        <f t="shared" si="65"/>
        <v>SOU</v>
      </c>
      <c r="H604" s="7" t="str">
        <f t="shared" si="66"/>
        <v>DEC</v>
      </c>
      <c r="I604" s="7" t="str">
        <f t="shared" si="67"/>
        <v>SBA</v>
      </c>
      <c r="J604" s="7" t="str">
        <f t="shared" si="68"/>
        <v>GRN</v>
      </c>
      <c r="K604" s="7" t="str">
        <f t="shared" si="69"/>
        <v>18</v>
      </c>
      <c r="L604" s="7">
        <v>0</v>
      </c>
      <c r="M604" s="7" t="s">
        <v>2609</v>
      </c>
      <c r="N604" s="7">
        <f>_xlfn.XLOOKUP(A604,[1]SKU!$A:$A,[1]SKU!$Z:$Z)</f>
        <v>550000</v>
      </c>
    </row>
    <row r="605" spans="1:14" s="7" customFormat="1">
      <c r="A605" s="1" t="s">
        <v>5211</v>
      </c>
      <c r="B605" s="3" t="s">
        <v>4472</v>
      </c>
      <c r="C605" s="3" t="s">
        <v>798</v>
      </c>
      <c r="D605" s="1" t="s">
        <v>5212</v>
      </c>
      <c r="E605" s="7" t="str">
        <f t="shared" si="63"/>
        <v>ODE</v>
      </c>
      <c r="F605" s="7" t="str">
        <f t="shared" si="64"/>
        <v>UNI</v>
      </c>
      <c r="G605" s="7" t="str">
        <f t="shared" si="65"/>
        <v>COS</v>
      </c>
      <c r="H605" s="7" t="str">
        <f t="shared" si="66"/>
        <v>FCE</v>
      </c>
      <c r="I605" s="7" t="str">
        <f t="shared" si="67"/>
        <v>F03</v>
      </c>
      <c r="J605" s="7" t="str">
        <f t="shared" si="68"/>
        <v>NON</v>
      </c>
      <c r="K605" s="7" t="str">
        <f t="shared" si="69"/>
        <v>0</v>
      </c>
      <c r="L605" s="7">
        <v>0</v>
      </c>
      <c r="M605" s="7" t="s">
        <v>2609</v>
      </c>
      <c r="N605" s="7">
        <f>_xlfn.XLOOKUP(A605,[1]SKU!$A:$A,[1]SKU!$Z:$Z)</f>
        <v>295000</v>
      </c>
    </row>
    <row r="606" spans="1:14" s="7" customFormat="1">
      <c r="A606" s="1" t="s">
        <v>799</v>
      </c>
      <c r="B606" s="3" t="s">
        <v>3</v>
      </c>
      <c r="C606" s="3" t="s">
        <v>137</v>
      </c>
      <c r="D606" s="1" t="s">
        <v>800</v>
      </c>
      <c r="E606" s="7" t="str">
        <f t="shared" si="63"/>
        <v>GBA</v>
      </c>
      <c r="F606" s="7" t="str">
        <f t="shared" si="64"/>
        <v>WOM</v>
      </c>
      <c r="G606" s="7" t="str">
        <f t="shared" si="65"/>
        <v>PZE</v>
      </c>
      <c r="H606" s="7" t="str">
        <f t="shared" si="66"/>
        <v>ONE</v>
      </c>
      <c r="I606" s="7" t="str">
        <f t="shared" si="67"/>
        <v>HHA</v>
      </c>
      <c r="J606" s="7" t="str">
        <f t="shared" si="68"/>
        <v>WHI</v>
      </c>
      <c r="K606" s="7" t="str">
        <f t="shared" si="69"/>
        <v>M</v>
      </c>
      <c r="L606" s="7" t="s">
        <v>2167</v>
      </c>
      <c r="M606" s="7" t="s">
        <v>2167</v>
      </c>
      <c r="N606" s="7">
        <f>_xlfn.XLOOKUP(A606,[1]SKU!$A:$A,[1]SKU!$Z:$Z)</f>
        <v>890000</v>
      </c>
    </row>
    <row r="607" spans="1:14" s="7" customFormat="1">
      <c r="A607" s="1" t="s">
        <v>801</v>
      </c>
      <c r="B607" s="3" t="s">
        <v>3</v>
      </c>
      <c r="C607" s="3" t="s">
        <v>78</v>
      </c>
      <c r="D607" s="1" t="s">
        <v>802</v>
      </c>
      <c r="E607" s="7" t="str">
        <f t="shared" si="63"/>
        <v>GBA</v>
      </c>
      <c r="F607" s="7" t="str">
        <f t="shared" si="64"/>
        <v>MEN</v>
      </c>
      <c r="G607" s="7" t="str">
        <f t="shared" si="65"/>
        <v>TSS</v>
      </c>
      <c r="H607" s="7" t="str">
        <f t="shared" si="66"/>
        <v>ONE</v>
      </c>
      <c r="I607" s="7" t="str">
        <f t="shared" si="67"/>
        <v>STE</v>
      </c>
      <c r="J607" s="7" t="str">
        <f t="shared" si="68"/>
        <v>WHI</v>
      </c>
      <c r="K607" s="7" t="str">
        <f t="shared" si="69"/>
        <v>L</v>
      </c>
      <c r="L607" s="7" t="s">
        <v>2018</v>
      </c>
      <c r="M607" s="7" t="s">
        <v>4462</v>
      </c>
      <c r="N607" s="7">
        <f>_xlfn.XLOOKUP(A607,[1]SKU!$A:$A,[1]SKU!$Z:$Z)</f>
        <v>710000</v>
      </c>
    </row>
    <row r="608" spans="1:14" s="7" customFormat="1">
      <c r="A608" s="1" t="s">
        <v>803</v>
      </c>
      <c r="B608" s="3" t="s">
        <v>3</v>
      </c>
      <c r="C608" s="3" t="s">
        <v>84</v>
      </c>
      <c r="D608" s="1" t="s">
        <v>804</v>
      </c>
      <c r="E608" s="7" t="str">
        <f t="shared" si="63"/>
        <v>GSL</v>
      </c>
      <c r="F608" s="7" t="str">
        <f t="shared" si="64"/>
        <v>WOM</v>
      </c>
      <c r="G608" s="7" t="str">
        <f t="shared" si="65"/>
        <v>FZE</v>
      </c>
      <c r="H608" s="7" t="str">
        <f t="shared" si="66"/>
        <v>BNE</v>
      </c>
      <c r="I608" s="7" t="str">
        <f t="shared" si="67"/>
        <v>HAI</v>
      </c>
      <c r="J608" s="7" t="str">
        <f t="shared" si="68"/>
        <v>BLK</v>
      </c>
      <c r="K608" s="7" t="str">
        <f t="shared" si="69"/>
        <v>S</v>
      </c>
      <c r="L608" s="7" t="s">
        <v>2131</v>
      </c>
      <c r="M608" s="7" t="s">
        <v>2131</v>
      </c>
      <c r="N608" s="7">
        <f>_xlfn.XLOOKUP(A608,[1]SKU!$A:$A,[1]SKU!$Z:$Z)</f>
        <v>750000</v>
      </c>
    </row>
    <row r="609" spans="1:14" s="7" customFormat="1">
      <c r="A609" s="1" t="s">
        <v>805</v>
      </c>
      <c r="B609" s="3" t="s">
        <v>3</v>
      </c>
      <c r="C609" s="3" t="s">
        <v>806</v>
      </c>
      <c r="D609" s="1" t="s">
        <v>807</v>
      </c>
      <c r="E609" s="7" t="str">
        <f t="shared" si="63"/>
        <v>GOR</v>
      </c>
      <c r="F609" s="7" t="str">
        <f t="shared" si="64"/>
        <v>MEN</v>
      </c>
      <c r="G609" s="7" t="str">
        <f t="shared" si="65"/>
        <v>TSS</v>
      </c>
      <c r="H609" s="7" t="str">
        <f t="shared" si="66"/>
        <v>ONE</v>
      </c>
      <c r="I609" s="7" t="str">
        <f t="shared" si="67"/>
        <v>TDM</v>
      </c>
      <c r="J609" s="7" t="str">
        <f t="shared" si="68"/>
        <v>BLK</v>
      </c>
      <c r="K609" s="7" t="str">
        <f t="shared" si="69"/>
        <v>S</v>
      </c>
      <c r="L609" s="7" t="s">
        <v>2018</v>
      </c>
      <c r="M609" s="7" t="s">
        <v>4462</v>
      </c>
      <c r="N609" s="7">
        <f>_xlfn.XLOOKUP(A609,[1]SKU!$A:$A,[1]SKU!$Z:$Z)</f>
        <v>690000</v>
      </c>
    </row>
    <row r="610" spans="1:14" s="7" customFormat="1">
      <c r="A610" s="1" t="s">
        <v>5213</v>
      </c>
      <c r="B610" s="3" t="s">
        <v>4472</v>
      </c>
      <c r="C610" s="3" t="s">
        <v>4507</v>
      </c>
      <c r="D610" s="1" t="s">
        <v>5214</v>
      </c>
      <c r="E610" s="7" t="str">
        <f t="shared" si="63"/>
        <v>HAM</v>
      </c>
      <c r="F610" s="7" t="str">
        <f t="shared" si="64"/>
        <v>UNI</v>
      </c>
      <c r="G610" s="7" t="str">
        <f t="shared" si="65"/>
        <v>JEW</v>
      </c>
      <c r="H610" s="7" t="str">
        <f t="shared" si="66"/>
        <v>NEC</v>
      </c>
      <c r="I610" s="7" t="str">
        <f t="shared" si="67"/>
        <v>A17</v>
      </c>
      <c r="J610" s="7" t="str">
        <f t="shared" si="68"/>
        <v>MIX</v>
      </c>
      <c r="K610" s="7" t="str">
        <f t="shared" si="69"/>
        <v>0</v>
      </c>
      <c r="L610" s="7">
        <v>0</v>
      </c>
      <c r="M610" s="7" t="s">
        <v>2609</v>
      </c>
      <c r="N610" s="7">
        <f>_xlfn.XLOOKUP(A610,[1]SKU!$A:$A,[1]SKU!$Z:$Z)</f>
        <v>1800000</v>
      </c>
    </row>
    <row r="611" spans="1:14" s="7" customFormat="1">
      <c r="A611" s="1" t="s">
        <v>5215</v>
      </c>
      <c r="B611" s="3" t="s">
        <v>4472</v>
      </c>
      <c r="C611" s="3" t="s">
        <v>809</v>
      </c>
      <c r="D611" s="1" t="s">
        <v>5216</v>
      </c>
      <c r="E611" s="7" t="str">
        <f t="shared" si="63"/>
        <v>GAR</v>
      </c>
      <c r="F611" s="7" t="str">
        <f t="shared" si="64"/>
        <v>UNI</v>
      </c>
      <c r="G611" s="7" t="str">
        <f t="shared" si="65"/>
        <v>SOU</v>
      </c>
      <c r="H611" s="7" t="str">
        <f t="shared" si="66"/>
        <v>SOP</v>
      </c>
      <c r="I611" s="7" t="str">
        <f t="shared" si="67"/>
        <v>MAS</v>
      </c>
      <c r="J611" s="7" t="str">
        <f t="shared" si="68"/>
        <v>MIX</v>
      </c>
      <c r="K611" s="7" t="str">
        <f t="shared" si="69"/>
        <v>0</v>
      </c>
      <c r="L611" s="7">
        <v>0</v>
      </c>
      <c r="M611" s="7" t="s">
        <v>2609</v>
      </c>
      <c r="N611" s="7">
        <f>_xlfn.XLOOKUP(A611,[1]SKU!$A:$A,[1]SKU!$Z:$Z)</f>
        <v>115000</v>
      </c>
    </row>
    <row r="612" spans="1:14" s="7" customFormat="1">
      <c r="A612" s="1" t="s">
        <v>810</v>
      </c>
      <c r="B612" s="3" t="s">
        <v>3</v>
      </c>
      <c r="C612" s="3" t="s">
        <v>268</v>
      </c>
      <c r="D612" s="1" t="s">
        <v>811</v>
      </c>
      <c r="E612" s="7" t="str">
        <f t="shared" si="63"/>
        <v>GOR</v>
      </c>
      <c r="F612" s="7" t="str">
        <f t="shared" si="64"/>
        <v>MEN</v>
      </c>
      <c r="G612" s="7" t="str">
        <f t="shared" si="65"/>
        <v>TSP</v>
      </c>
      <c r="H612" s="7" t="str">
        <f t="shared" si="66"/>
        <v>ONE</v>
      </c>
      <c r="I612" s="7" t="str">
        <f t="shared" si="67"/>
        <v>SSY</v>
      </c>
      <c r="J612" s="7" t="str">
        <f t="shared" si="68"/>
        <v>GRE</v>
      </c>
      <c r="K612" s="7" t="str">
        <f t="shared" si="69"/>
        <v>M</v>
      </c>
      <c r="L612" s="7" t="s">
        <v>2085</v>
      </c>
      <c r="M612" s="7" t="s">
        <v>4462</v>
      </c>
      <c r="N612" s="7">
        <f>_xlfn.XLOOKUP(A612,[1]SKU!$A:$A,[1]SKU!$Z:$Z)</f>
        <v>790000</v>
      </c>
    </row>
    <row r="613" spans="1:14" s="7" customFormat="1">
      <c r="A613" s="1" t="s">
        <v>812</v>
      </c>
      <c r="B613" s="3" t="s">
        <v>3</v>
      </c>
      <c r="C613" s="3" t="s">
        <v>45</v>
      </c>
      <c r="D613" s="1" t="s">
        <v>813</v>
      </c>
      <c r="E613" s="7" t="str">
        <f t="shared" si="63"/>
        <v>GBA</v>
      </c>
      <c r="F613" s="7" t="str">
        <f t="shared" si="64"/>
        <v>MEN</v>
      </c>
      <c r="G613" s="7" t="str">
        <f t="shared" si="65"/>
        <v>TSS</v>
      </c>
      <c r="H613" s="7" t="str">
        <f t="shared" si="66"/>
        <v>ONE</v>
      </c>
      <c r="I613" s="7" t="str">
        <f t="shared" si="67"/>
        <v>DDU</v>
      </c>
      <c r="J613" s="7" t="str">
        <f t="shared" si="68"/>
        <v>GRE</v>
      </c>
      <c r="K613" s="7" t="str">
        <f t="shared" si="69"/>
        <v>L</v>
      </c>
      <c r="L613" s="7" t="s">
        <v>2018</v>
      </c>
      <c r="M613" s="7" t="s">
        <v>4462</v>
      </c>
      <c r="N613" s="7">
        <f>_xlfn.XLOOKUP(A613,[1]SKU!$A:$A,[1]SKU!$Z:$Z)</f>
        <v>710000</v>
      </c>
    </row>
    <row r="614" spans="1:14" s="7" customFormat="1">
      <c r="A614" s="1" t="s">
        <v>814</v>
      </c>
      <c r="B614" s="3" t="s">
        <v>3</v>
      </c>
      <c r="C614" s="3" t="s">
        <v>815</v>
      </c>
      <c r="D614" s="1" t="s">
        <v>816</v>
      </c>
      <c r="E614" s="7" t="str">
        <f t="shared" si="63"/>
        <v>GSP</v>
      </c>
      <c r="F614" s="7" t="str">
        <f t="shared" si="64"/>
        <v>MEN</v>
      </c>
      <c r="G614" s="7" t="str">
        <f t="shared" si="65"/>
        <v>POL</v>
      </c>
      <c r="H614" s="7" t="str">
        <f t="shared" si="66"/>
        <v>MAN</v>
      </c>
      <c r="I614" s="7" t="str">
        <f t="shared" si="67"/>
        <v>CHA</v>
      </c>
      <c r="J614" s="7" t="str">
        <f t="shared" si="68"/>
        <v>BLK</v>
      </c>
      <c r="K614" s="7" t="str">
        <f t="shared" si="69"/>
        <v>L</v>
      </c>
      <c r="L614" s="7" t="s">
        <v>1995</v>
      </c>
      <c r="M614" s="7" t="s">
        <v>4468</v>
      </c>
      <c r="N614" s="7">
        <f>_xlfn.XLOOKUP(A614,[1]SKU!$A:$A,[1]SKU!$Z:$Z)</f>
        <v>1090000</v>
      </c>
    </row>
    <row r="615" spans="1:14" s="7" customFormat="1">
      <c r="A615" s="1" t="s">
        <v>5217</v>
      </c>
      <c r="B615" s="3" t="s">
        <v>4472</v>
      </c>
      <c r="C615" s="3" t="s">
        <v>5218</v>
      </c>
      <c r="D615" s="1" t="s">
        <v>5219</v>
      </c>
      <c r="E615" s="7" t="str">
        <f t="shared" si="63"/>
        <v>EDE</v>
      </c>
      <c r="F615" s="7" t="str">
        <f t="shared" si="64"/>
        <v>UNI</v>
      </c>
      <c r="G615" s="7" t="str">
        <f t="shared" si="65"/>
        <v>BAG</v>
      </c>
      <c r="H615" s="7" t="str">
        <f t="shared" si="66"/>
        <v>CLU</v>
      </c>
      <c r="I615" s="7" t="str">
        <f t="shared" si="67"/>
        <v>YEN</v>
      </c>
      <c r="J615" s="7" t="str">
        <f t="shared" si="68"/>
        <v>MIX</v>
      </c>
      <c r="K615" s="7" t="str">
        <f t="shared" si="69"/>
        <v>L</v>
      </c>
      <c r="L615" s="7">
        <v>0</v>
      </c>
      <c r="M615" s="7" t="s">
        <v>2609</v>
      </c>
      <c r="N615" s="7">
        <f>_xlfn.XLOOKUP(A615,[1]SKU!$A:$A,[1]SKU!$Z:$Z)</f>
        <v>395000</v>
      </c>
    </row>
    <row r="616" spans="1:14" s="7" customFormat="1">
      <c r="A616" s="1" t="s">
        <v>817</v>
      </c>
      <c r="B616" s="3" t="s">
        <v>3</v>
      </c>
      <c r="C616" s="3" t="s">
        <v>23</v>
      </c>
      <c r="D616" s="1" t="s">
        <v>818</v>
      </c>
      <c r="E616" s="7" t="str">
        <f t="shared" si="63"/>
        <v>GOR</v>
      </c>
      <c r="F616" s="7" t="str">
        <f t="shared" si="64"/>
        <v>MEN</v>
      </c>
      <c r="G616" s="7" t="str">
        <f t="shared" si="65"/>
        <v>TSS</v>
      </c>
      <c r="H616" s="7" t="str">
        <f t="shared" si="66"/>
        <v>ONE</v>
      </c>
      <c r="I616" s="7" t="str">
        <f t="shared" si="67"/>
        <v>URB</v>
      </c>
      <c r="J616" s="7" t="str">
        <f t="shared" si="68"/>
        <v>WHI</v>
      </c>
      <c r="K616" s="7" t="str">
        <f t="shared" si="69"/>
        <v>XL</v>
      </c>
      <c r="L616" s="7" t="s">
        <v>2018</v>
      </c>
      <c r="M616" s="7" t="s">
        <v>4462</v>
      </c>
      <c r="N616" s="7">
        <f>_xlfn.XLOOKUP(A616,[1]SKU!$A:$A,[1]SKU!$Z:$Z)</f>
        <v>790000</v>
      </c>
    </row>
    <row r="617" spans="1:14" s="7" customFormat="1">
      <c r="A617" s="1" t="s">
        <v>5220</v>
      </c>
      <c r="B617" s="3" t="s">
        <v>4472</v>
      </c>
      <c r="C617" s="3" t="s">
        <v>819</v>
      </c>
      <c r="D617" s="1" t="s">
        <v>5221</v>
      </c>
      <c r="E617" s="7" t="str">
        <f t="shared" si="63"/>
        <v>DSP</v>
      </c>
      <c r="F617" s="7" t="str">
        <f t="shared" si="64"/>
        <v>UNI</v>
      </c>
      <c r="G617" s="7" t="str">
        <f t="shared" si="65"/>
        <v>BAG</v>
      </c>
      <c r="H617" s="7" t="str">
        <f t="shared" si="66"/>
        <v>CLU</v>
      </c>
      <c r="I617" s="7" t="str">
        <f t="shared" si="67"/>
        <v>BAZ</v>
      </c>
      <c r="J617" s="7" t="str">
        <f t="shared" si="68"/>
        <v>MBE</v>
      </c>
      <c r="K617" s="7" t="str">
        <f t="shared" si="69"/>
        <v>0</v>
      </c>
      <c r="L617" s="7">
        <v>0</v>
      </c>
      <c r="M617" s="7" t="s">
        <v>2609</v>
      </c>
      <c r="N617" s="7">
        <f>_xlfn.XLOOKUP(A617,[1]SKU!$A:$A,[1]SKU!$Z:$Z)</f>
        <v>1150000</v>
      </c>
    </row>
    <row r="618" spans="1:14" s="7" customFormat="1">
      <c r="A618" s="1" t="s">
        <v>820</v>
      </c>
      <c r="B618" s="3" t="s">
        <v>3</v>
      </c>
      <c r="C618" s="3" t="s">
        <v>84</v>
      </c>
      <c r="D618" s="1" t="s">
        <v>821</v>
      </c>
      <c r="E618" s="7" t="str">
        <f t="shared" si="63"/>
        <v>GBA</v>
      </c>
      <c r="F618" s="7" t="str">
        <f t="shared" si="64"/>
        <v>MEN</v>
      </c>
      <c r="G618" s="7" t="str">
        <f t="shared" si="65"/>
        <v>TSS</v>
      </c>
      <c r="H618" s="7" t="str">
        <f t="shared" si="66"/>
        <v>ONE</v>
      </c>
      <c r="I618" s="7" t="str">
        <f t="shared" si="67"/>
        <v>HAI</v>
      </c>
      <c r="J618" s="7" t="str">
        <f t="shared" si="68"/>
        <v>BLK</v>
      </c>
      <c r="K618" s="7" t="str">
        <f t="shared" si="69"/>
        <v>XL</v>
      </c>
      <c r="L618" s="7" t="s">
        <v>2018</v>
      </c>
      <c r="M618" s="7" t="s">
        <v>4462</v>
      </c>
      <c r="N618" s="7">
        <f>_xlfn.XLOOKUP(A618,[1]SKU!$A:$A,[1]SKU!$Z:$Z)</f>
        <v>710000</v>
      </c>
    </row>
    <row r="619" spans="1:14" s="7" customFormat="1">
      <c r="A619" s="1" t="s">
        <v>822</v>
      </c>
      <c r="B619" s="3" t="s">
        <v>3</v>
      </c>
      <c r="C619" s="3" t="s">
        <v>236</v>
      </c>
      <c r="D619" s="1" t="s">
        <v>823</v>
      </c>
      <c r="E619" s="7" t="str">
        <f t="shared" si="63"/>
        <v>GOR</v>
      </c>
      <c r="F619" s="7" t="str">
        <f t="shared" si="64"/>
        <v>KID</v>
      </c>
      <c r="G619" s="7" t="str">
        <f t="shared" si="65"/>
        <v>TSS</v>
      </c>
      <c r="H619" s="7" t="str">
        <f t="shared" si="66"/>
        <v>ONE</v>
      </c>
      <c r="I619" s="7" t="str">
        <f t="shared" si="67"/>
        <v>STA</v>
      </c>
      <c r="J619" s="7" t="str">
        <f t="shared" si="68"/>
        <v>RED</v>
      </c>
      <c r="K619" s="7" t="str">
        <f t="shared" si="69"/>
        <v>2</v>
      </c>
      <c r="L619" s="7" t="s">
        <v>2018</v>
      </c>
      <c r="M619" s="7" t="s">
        <v>4462</v>
      </c>
      <c r="N619" s="7">
        <f>_xlfn.XLOOKUP(A619,[1]SKU!$A:$A,[1]SKU!$Z:$Z)</f>
        <v>590000</v>
      </c>
    </row>
    <row r="620" spans="1:14" s="7" customFormat="1">
      <c r="A620" s="1" t="s">
        <v>5222</v>
      </c>
      <c r="B620" s="8" t="s">
        <v>4472</v>
      </c>
      <c r="C620" s="8" t="s">
        <v>5223</v>
      </c>
      <c r="D620" s="1" t="s">
        <v>5224</v>
      </c>
      <c r="E620" s="7" t="str">
        <f t="shared" si="63"/>
        <v>HAM</v>
      </c>
      <c r="F620" s="7" t="str">
        <f t="shared" si="64"/>
        <v>UNI</v>
      </c>
      <c r="G620" s="7" t="str">
        <f t="shared" si="65"/>
        <v>JEW</v>
      </c>
      <c r="H620" s="7" t="str">
        <f t="shared" si="66"/>
        <v>EAR</v>
      </c>
      <c r="I620" s="7" t="str">
        <f t="shared" si="67"/>
        <v>E51</v>
      </c>
      <c r="J620" s="7" t="str">
        <f t="shared" si="68"/>
        <v>MIX</v>
      </c>
      <c r="K620" s="7" t="str">
        <f t="shared" si="69"/>
        <v>0</v>
      </c>
      <c r="L620" s="7">
        <v>0</v>
      </c>
      <c r="M620" s="7" t="s">
        <v>2609</v>
      </c>
      <c r="N620" s="7">
        <f>_xlfn.XLOOKUP(A620,[1]SKU!$A:$A,[1]SKU!$Z:$Z)</f>
        <v>1200000</v>
      </c>
    </row>
    <row r="621" spans="1:14" s="7" customFormat="1">
      <c r="A621" s="1" t="s">
        <v>825</v>
      </c>
      <c r="B621" s="8" t="s">
        <v>3</v>
      </c>
      <c r="C621" s="8" t="s">
        <v>38</v>
      </c>
      <c r="D621" s="1" t="s">
        <v>826</v>
      </c>
      <c r="E621" s="7" t="str">
        <f t="shared" si="63"/>
        <v>GOR</v>
      </c>
      <c r="F621" s="7" t="str">
        <f t="shared" si="64"/>
        <v>MEN</v>
      </c>
      <c r="G621" s="7" t="str">
        <f t="shared" si="65"/>
        <v>POL</v>
      </c>
      <c r="H621" s="7" t="str">
        <f t="shared" si="66"/>
        <v>MAN</v>
      </c>
      <c r="I621" s="7" t="str">
        <f t="shared" si="67"/>
        <v>LOG</v>
      </c>
      <c r="J621" s="7" t="str">
        <f t="shared" si="68"/>
        <v>JBG</v>
      </c>
      <c r="K621" s="7" t="str">
        <f t="shared" si="69"/>
        <v>S</v>
      </c>
      <c r="L621" s="7" t="s">
        <v>1995</v>
      </c>
      <c r="M621" s="7" t="s">
        <v>4468</v>
      </c>
      <c r="N621" s="7">
        <f>_xlfn.XLOOKUP(A621,[1]SKU!$A:$A,[1]SKU!$Z:$Z)</f>
        <v>1090000</v>
      </c>
    </row>
    <row r="622" spans="1:14" s="7" customFormat="1">
      <c r="A622" s="1" t="s">
        <v>5225</v>
      </c>
      <c r="B622" s="8" t="s">
        <v>4472</v>
      </c>
      <c r="C622" s="8" t="s">
        <v>827</v>
      </c>
      <c r="D622" s="1" t="s">
        <v>5226</v>
      </c>
      <c r="E622" s="7" t="str">
        <f t="shared" si="63"/>
        <v>DSP</v>
      </c>
      <c r="F622" s="7" t="str">
        <f t="shared" si="64"/>
        <v>UNI</v>
      </c>
      <c r="G622" s="7" t="str">
        <f t="shared" si="65"/>
        <v>BAG</v>
      </c>
      <c r="H622" s="7" t="str">
        <f t="shared" si="66"/>
        <v>CHR</v>
      </c>
      <c r="I622" s="7" t="str">
        <f t="shared" si="67"/>
        <v>BRE</v>
      </c>
      <c r="J622" s="7" t="str">
        <f t="shared" si="68"/>
        <v>CHO</v>
      </c>
      <c r="K622" s="7" t="str">
        <f t="shared" si="69"/>
        <v>0</v>
      </c>
      <c r="L622" s="7">
        <v>0</v>
      </c>
      <c r="M622" s="7" t="s">
        <v>2609</v>
      </c>
      <c r="N622" s="7">
        <f>_xlfn.XLOOKUP(A622,[1]SKU!$A:$A,[1]SKU!$Z:$Z)</f>
        <v>1500000</v>
      </c>
    </row>
    <row r="623" spans="1:14" s="7" customFormat="1">
      <c r="A623" s="1" t="s">
        <v>5227</v>
      </c>
      <c r="B623" s="8" t="s">
        <v>4472</v>
      </c>
      <c r="C623" s="8" t="s">
        <v>287</v>
      </c>
      <c r="D623" s="1" t="s">
        <v>5228</v>
      </c>
      <c r="E623" s="7" t="str">
        <f t="shared" si="63"/>
        <v>SHI</v>
      </c>
      <c r="F623" s="7" t="str">
        <f t="shared" si="64"/>
        <v>UNI</v>
      </c>
      <c r="G623" s="7" t="str">
        <f t="shared" si="65"/>
        <v>FNB</v>
      </c>
      <c r="H623" s="7" t="str">
        <f t="shared" si="66"/>
        <v>CFP</v>
      </c>
      <c r="I623" s="7" t="str">
        <f t="shared" si="67"/>
        <v>KSB</v>
      </c>
      <c r="J623" s="7" t="str">
        <f t="shared" si="68"/>
        <v>WHI</v>
      </c>
      <c r="K623" s="7" t="str">
        <f t="shared" si="69"/>
        <v>BAG</v>
      </c>
      <c r="L623" s="7">
        <v>0</v>
      </c>
      <c r="M623" s="7" t="s">
        <v>2609</v>
      </c>
      <c r="N623" s="7">
        <f>_xlfn.XLOOKUP(A623,[1]SKU!$A:$A,[1]SKU!$Z:$Z)</f>
        <v>150000</v>
      </c>
    </row>
    <row r="624" spans="1:14" s="7" customFormat="1">
      <c r="A624" s="1" t="s">
        <v>5229</v>
      </c>
      <c r="B624" s="3" t="s">
        <v>4481</v>
      </c>
      <c r="C624" s="3" t="s">
        <v>5230</v>
      </c>
      <c r="D624" s="1" t="s">
        <v>5231</v>
      </c>
      <c r="E624" s="7" t="str">
        <f t="shared" si="63"/>
        <v>PAS</v>
      </c>
      <c r="F624" s="7" t="str">
        <f t="shared" si="64"/>
        <v>UNI</v>
      </c>
      <c r="G624" s="7" t="str">
        <f t="shared" si="65"/>
        <v>ART</v>
      </c>
      <c r="H624" s="7" t="str">
        <f t="shared" si="66"/>
        <v>ART</v>
      </c>
      <c r="I624" s="7" t="str">
        <f t="shared" si="67"/>
        <v>GBR</v>
      </c>
      <c r="J624" s="7" t="str">
        <f t="shared" si="68"/>
        <v>MIX</v>
      </c>
      <c r="K624" s="7" t="str">
        <f t="shared" si="69"/>
        <v>A2</v>
      </c>
      <c r="L624" s="7">
        <v>0</v>
      </c>
      <c r="M624" s="7" t="s">
        <v>2609</v>
      </c>
      <c r="N624" s="7">
        <f>_xlfn.XLOOKUP(A624,[1]SKU!$A:$A,[1]SKU!$Z:$Z)</f>
        <v>3000000</v>
      </c>
    </row>
    <row r="625" spans="1:14" s="7" customFormat="1">
      <c r="A625" s="1" t="s">
        <v>828</v>
      </c>
      <c r="B625" s="3" t="s">
        <v>3</v>
      </c>
      <c r="C625" s="3" t="s">
        <v>815</v>
      </c>
      <c r="D625" s="1" t="s">
        <v>829</v>
      </c>
      <c r="E625" s="7" t="str">
        <f t="shared" si="63"/>
        <v>GSP</v>
      </c>
      <c r="F625" s="7" t="str">
        <f t="shared" si="64"/>
        <v>MEN</v>
      </c>
      <c r="G625" s="7" t="str">
        <f t="shared" si="65"/>
        <v>POL</v>
      </c>
      <c r="H625" s="7" t="str">
        <f t="shared" si="66"/>
        <v>MAN</v>
      </c>
      <c r="I625" s="7" t="str">
        <f t="shared" si="67"/>
        <v>CHA</v>
      </c>
      <c r="J625" s="7" t="str">
        <f t="shared" si="68"/>
        <v>BLK</v>
      </c>
      <c r="K625" s="7" t="str">
        <f t="shared" si="69"/>
        <v>S</v>
      </c>
      <c r="L625" s="7" t="s">
        <v>1995</v>
      </c>
      <c r="M625" s="7" t="s">
        <v>4468</v>
      </c>
      <c r="N625" s="7">
        <f>_xlfn.XLOOKUP(A625,[1]SKU!$A:$A,[1]SKU!$Z:$Z)</f>
        <v>1090000</v>
      </c>
    </row>
    <row r="626" spans="1:14" s="7" customFormat="1">
      <c r="A626" s="1" t="s">
        <v>830</v>
      </c>
      <c r="B626" s="3" t="s">
        <v>3</v>
      </c>
      <c r="C626" s="3" t="s">
        <v>84</v>
      </c>
      <c r="D626" s="1" t="s">
        <v>831</v>
      </c>
      <c r="E626" s="7" t="str">
        <f t="shared" si="63"/>
        <v>GSL</v>
      </c>
      <c r="F626" s="7" t="str">
        <f t="shared" si="64"/>
        <v>WOM</v>
      </c>
      <c r="G626" s="7" t="str">
        <f t="shared" si="65"/>
        <v>FZE</v>
      </c>
      <c r="H626" s="7" t="str">
        <f t="shared" si="66"/>
        <v>BNE</v>
      </c>
      <c r="I626" s="7" t="str">
        <f t="shared" si="67"/>
        <v>HAI</v>
      </c>
      <c r="J626" s="7" t="str">
        <f t="shared" si="68"/>
        <v>BLK</v>
      </c>
      <c r="K626" s="7" t="str">
        <f t="shared" si="69"/>
        <v>L</v>
      </c>
      <c r="L626" s="7" t="s">
        <v>2131</v>
      </c>
      <c r="M626" s="7" t="s">
        <v>2131</v>
      </c>
      <c r="N626" s="7">
        <f>_xlfn.XLOOKUP(A626,[1]SKU!$A:$A,[1]SKU!$Z:$Z)</f>
        <v>750000</v>
      </c>
    </row>
    <row r="627" spans="1:14" s="7" customFormat="1">
      <c r="A627" s="1" t="s">
        <v>832</v>
      </c>
      <c r="B627" s="3" t="s">
        <v>3</v>
      </c>
      <c r="C627" s="3" t="s">
        <v>23</v>
      </c>
      <c r="D627" s="1" t="s">
        <v>833</v>
      </c>
      <c r="E627" s="7" t="str">
        <f t="shared" si="63"/>
        <v>GSL</v>
      </c>
      <c r="F627" s="7" t="str">
        <f t="shared" si="64"/>
        <v>MEN</v>
      </c>
      <c r="G627" s="7" t="str">
        <f t="shared" si="65"/>
        <v>TTS</v>
      </c>
      <c r="H627" s="7" t="str">
        <f t="shared" si="66"/>
        <v>ONE</v>
      </c>
      <c r="I627" s="7" t="str">
        <f t="shared" si="67"/>
        <v>URB</v>
      </c>
      <c r="J627" s="7" t="str">
        <f t="shared" si="68"/>
        <v>WHI</v>
      </c>
      <c r="K627" s="7" t="str">
        <f t="shared" si="69"/>
        <v>XL</v>
      </c>
      <c r="L627" s="7" t="s">
        <v>2310</v>
      </c>
      <c r="M627" s="7" t="s">
        <v>4469</v>
      </c>
      <c r="N627" s="7">
        <f>_xlfn.XLOOKUP(A627,[1]SKU!$A:$A,[1]SKU!$Z:$Z)</f>
        <v>750000</v>
      </c>
    </row>
    <row r="628" spans="1:14" s="7" customFormat="1">
      <c r="A628" s="1" t="s">
        <v>5232</v>
      </c>
      <c r="B628" s="3" t="s">
        <v>4472</v>
      </c>
      <c r="C628" s="3" t="s">
        <v>5233</v>
      </c>
      <c r="D628" s="1" t="s">
        <v>5234</v>
      </c>
      <c r="E628" s="7" t="str">
        <f t="shared" si="63"/>
        <v>LAN</v>
      </c>
      <c r="F628" s="7" t="str">
        <f t="shared" si="64"/>
        <v>UNI</v>
      </c>
      <c r="G628" s="7" t="str">
        <f t="shared" si="65"/>
        <v>HWR</v>
      </c>
      <c r="H628" s="7" t="str">
        <f t="shared" si="66"/>
        <v>SC2</v>
      </c>
      <c r="I628" s="7" t="str">
        <f t="shared" si="67"/>
        <v>DDL</v>
      </c>
      <c r="J628" s="7" t="str">
        <f t="shared" si="68"/>
        <v>BLU</v>
      </c>
      <c r="K628" s="7" t="str">
        <f t="shared" si="69"/>
        <v>70x70</v>
      </c>
      <c r="L628" s="7">
        <v>0</v>
      </c>
      <c r="M628" s="7" t="s">
        <v>2609</v>
      </c>
      <c r="N628" s="7">
        <f>_xlfn.XLOOKUP(A628,[1]SKU!$A:$A,[1]SKU!$Z:$Z)</f>
        <v>749000</v>
      </c>
    </row>
    <row r="629" spans="1:14" s="7" customFormat="1">
      <c r="A629" s="1" t="s">
        <v>5235</v>
      </c>
      <c r="B629" s="3" t="s">
        <v>4472</v>
      </c>
      <c r="C629" s="3" t="s">
        <v>468</v>
      </c>
      <c r="D629" s="1" t="s">
        <v>5236</v>
      </c>
      <c r="E629" s="7" t="str">
        <f t="shared" si="63"/>
        <v>DSP</v>
      </c>
      <c r="F629" s="7" t="str">
        <f t="shared" si="64"/>
        <v>UNI</v>
      </c>
      <c r="G629" s="7" t="str">
        <f t="shared" si="65"/>
        <v>FWR</v>
      </c>
      <c r="H629" s="7" t="str">
        <f t="shared" si="66"/>
        <v>LES</v>
      </c>
      <c r="I629" s="7" t="str">
        <f t="shared" si="67"/>
        <v>BYR</v>
      </c>
      <c r="J629" s="7" t="str">
        <f t="shared" si="68"/>
        <v>BLK</v>
      </c>
      <c r="K629" s="7" t="str">
        <f t="shared" si="69"/>
        <v>41</v>
      </c>
      <c r="L629" s="7">
        <v>0</v>
      </c>
      <c r="M629" s="7" t="s">
        <v>2609</v>
      </c>
      <c r="N629" s="7">
        <f>_xlfn.XLOOKUP(A629,[1]SKU!$A:$A,[1]SKU!$Z:$Z)</f>
        <v>8250000</v>
      </c>
    </row>
    <row r="630" spans="1:14" s="7" customFormat="1">
      <c r="A630" s="1" t="s">
        <v>834</v>
      </c>
      <c r="B630" s="3" t="s">
        <v>3</v>
      </c>
      <c r="C630" s="3" t="s">
        <v>75</v>
      </c>
      <c r="D630" s="1" t="s">
        <v>835</v>
      </c>
      <c r="E630" s="7" t="str">
        <f t="shared" si="63"/>
        <v>GSL</v>
      </c>
      <c r="F630" s="7" t="str">
        <f t="shared" si="64"/>
        <v>KID</v>
      </c>
      <c r="G630" s="7" t="str">
        <f t="shared" si="65"/>
        <v>APP</v>
      </c>
      <c r="H630" s="7" t="str">
        <f t="shared" si="66"/>
        <v>BNE</v>
      </c>
      <c r="I630" s="7" t="str">
        <f t="shared" si="67"/>
        <v>HOA</v>
      </c>
      <c r="J630" s="7" t="str">
        <f t="shared" si="68"/>
        <v>WHI</v>
      </c>
      <c r="K630" s="7" t="str">
        <f t="shared" si="69"/>
        <v>12</v>
      </c>
      <c r="L630" s="7" t="s">
        <v>2117</v>
      </c>
      <c r="M630" s="7" t="s">
        <v>2117</v>
      </c>
      <c r="N630" s="7">
        <f>_xlfn.XLOOKUP(A630,[1]SKU!$A:$A,[1]SKU!$Z:$Z)</f>
        <v>550000</v>
      </c>
    </row>
    <row r="631" spans="1:14" s="7" customFormat="1">
      <c r="A631" s="1" t="s">
        <v>5237</v>
      </c>
      <c r="B631" s="3" t="s">
        <v>4472</v>
      </c>
      <c r="C631" s="3" t="s">
        <v>5238</v>
      </c>
      <c r="D631" s="1" t="s">
        <v>5239</v>
      </c>
      <c r="E631" s="7" t="str">
        <f t="shared" si="63"/>
        <v>LAN</v>
      </c>
      <c r="F631" s="7" t="str">
        <f t="shared" si="64"/>
        <v>UNI</v>
      </c>
      <c r="G631" s="7" t="str">
        <f t="shared" si="65"/>
        <v>HWR</v>
      </c>
      <c r="H631" s="7" t="str">
        <f t="shared" si="66"/>
        <v>SC2</v>
      </c>
      <c r="I631" s="7" t="str">
        <f t="shared" si="67"/>
        <v>SNA</v>
      </c>
      <c r="J631" s="7" t="str">
        <f t="shared" si="68"/>
        <v>YEL</v>
      </c>
      <c r="K631" s="7" t="str">
        <f t="shared" si="69"/>
        <v>70x70</v>
      </c>
      <c r="L631" s="7">
        <v>0</v>
      </c>
      <c r="M631" s="7" t="s">
        <v>2609</v>
      </c>
      <c r="N631" s="7">
        <f>_xlfn.XLOOKUP(A631,[1]SKU!$A:$A,[1]SKU!$Z:$Z)</f>
        <v>749000</v>
      </c>
    </row>
    <row r="632" spans="1:14" s="7" customFormat="1">
      <c r="A632" s="1" t="s">
        <v>836</v>
      </c>
      <c r="B632" s="3" t="s">
        <v>3</v>
      </c>
      <c r="C632" s="3" t="s">
        <v>314</v>
      </c>
      <c r="D632" s="1" t="s">
        <v>837</v>
      </c>
      <c r="E632" s="7" t="str">
        <f t="shared" si="63"/>
        <v>GBA</v>
      </c>
      <c r="F632" s="7" t="str">
        <f t="shared" si="64"/>
        <v>MEN</v>
      </c>
      <c r="G632" s="7" t="str">
        <f t="shared" si="65"/>
        <v>TSP</v>
      </c>
      <c r="H632" s="7" t="str">
        <f t="shared" si="66"/>
        <v>ONE</v>
      </c>
      <c r="I632" s="7" t="str">
        <f t="shared" si="67"/>
        <v>XLO</v>
      </c>
      <c r="J632" s="7" t="str">
        <f t="shared" si="68"/>
        <v>WHI</v>
      </c>
      <c r="K632" s="7" t="str">
        <f t="shared" si="69"/>
        <v>XL</v>
      </c>
      <c r="L632" s="7" t="s">
        <v>2085</v>
      </c>
      <c r="M632" s="7" t="s">
        <v>4462</v>
      </c>
      <c r="N632" s="7">
        <f>_xlfn.XLOOKUP(A632,[1]SKU!$A:$A,[1]SKU!$Z:$Z)</f>
        <v>710000</v>
      </c>
    </row>
    <row r="633" spans="1:14" s="7" customFormat="1">
      <c r="A633" s="1" t="s">
        <v>5240</v>
      </c>
      <c r="B633" s="3" t="s">
        <v>4472</v>
      </c>
      <c r="C633" s="3" t="s">
        <v>436</v>
      </c>
      <c r="D633" s="1" t="s">
        <v>5241</v>
      </c>
      <c r="E633" s="7" t="str">
        <f t="shared" si="63"/>
        <v>DSP</v>
      </c>
      <c r="F633" s="7" t="str">
        <f t="shared" si="64"/>
        <v>UNI</v>
      </c>
      <c r="G633" s="7" t="str">
        <f t="shared" si="65"/>
        <v>FWR</v>
      </c>
      <c r="H633" s="7" t="str">
        <f t="shared" si="66"/>
        <v>HDB</v>
      </c>
      <c r="I633" s="7" t="str">
        <f t="shared" si="67"/>
        <v>TAL</v>
      </c>
      <c r="J633" s="7" t="str">
        <f t="shared" si="68"/>
        <v>TAU</v>
      </c>
      <c r="K633" s="7" t="str">
        <f t="shared" si="69"/>
        <v>41</v>
      </c>
      <c r="L633" s="7">
        <v>0</v>
      </c>
      <c r="M633" s="7" t="s">
        <v>2609</v>
      </c>
      <c r="N633" s="7">
        <f>_xlfn.XLOOKUP(A633,[1]SKU!$A:$A,[1]SKU!$Z:$Z)</f>
        <v>7800000</v>
      </c>
    </row>
    <row r="634" spans="1:14" s="7" customFormat="1">
      <c r="A634" s="1" t="s">
        <v>838</v>
      </c>
      <c r="B634" s="3" t="s">
        <v>3</v>
      </c>
      <c r="C634" s="3" t="s">
        <v>81</v>
      </c>
      <c r="D634" s="1" t="s">
        <v>839</v>
      </c>
      <c r="E634" s="7" t="str">
        <f t="shared" si="63"/>
        <v>GSU</v>
      </c>
      <c r="F634" s="7" t="str">
        <f t="shared" si="64"/>
        <v>MEN</v>
      </c>
      <c r="G634" s="7" t="str">
        <f t="shared" si="65"/>
        <v>POL</v>
      </c>
      <c r="H634" s="7" t="str">
        <f t="shared" si="66"/>
        <v>MAN</v>
      </c>
      <c r="I634" s="7" t="str">
        <f t="shared" si="67"/>
        <v>JUN</v>
      </c>
      <c r="J634" s="7" t="str">
        <f t="shared" si="68"/>
        <v>WHI</v>
      </c>
      <c r="K634" s="7" t="str">
        <f t="shared" si="69"/>
        <v>XL</v>
      </c>
      <c r="L634" s="7" t="s">
        <v>1995</v>
      </c>
      <c r="M634" s="7" t="s">
        <v>4468</v>
      </c>
      <c r="N634" s="7">
        <f>_xlfn.XLOOKUP(A634,[1]SKU!$A:$A,[1]SKU!$Z:$Z)</f>
        <v>1190000</v>
      </c>
    </row>
    <row r="635" spans="1:14" s="7" customFormat="1">
      <c r="A635" s="1" t="s">
        <v>5242</v>
      </c>
      <c r="B635" s="3" t="s">
        <v>4472</v>
      </c>
      <c r="C635" s="3" t="s">
        <v>5243</v>
      </c>
      <c r="D635" s="1" t="s">
        <v>5244</v>
      </c>
      <c r="E635" s="7" t="str">
        <f t="shared" si="63"/>
        <v>DSP</v>
      </c>
      <c r="F635" s="7" t="str">
        <f t="shared" si="64"/>
        <v>UNI</v>
      </c>
      <c r="G635" s="7" t="str">
        <f t="shared" si="65"/>
        <v>BAG</v>
      </c>
      <c r="H635" s="7" t="str">
        <f t="shared" si="66"/>
        <v>HDB</v>
      </c>
      <c r="I635" s="7" t="str">
        <f t="shared" si="67"/>
        <v>ABG</v>
      </c>
      <c r="J635" s="7" t="str">
        <f t="shared" si="68"/>
        <v>HGP</v>
      </c>
      <c r="K635" s="7" t="str">
        <f t="shared" si="69"/>
        <v>S</v>
      </c>
      <c r="L635" s="7">
        <v>0</v>
      </c>
      <c r="M635" s="7" t="s">
        <v>2609</v>
      </c>
      <c r="N635" s="7">
        <f>_xlfn.XLOOKUP(A635,[1]SKU!$A:$A,[1]SKU!$Z:$Z)</f>
        <v>3800000</v>
      </c>
    </row>
    <row r="636" spans="1:14" s="7" customFormat="1">
      <c r="A636" s="1" t="s">
        <v>5245</v>
      </c>
      <c r="B636" s="3" t="s">
        <v>4472</v>
      </c>
      <c r="C636" s="3" t="s">
        <v>5246</v>
      </c>
      <c r="D636" s="1" t="s">
        <v>5247</v>
      </c>
      <c r="E636" s="7" t="str">
        <f t="shared" si="63"/>
        <v>EDE</v>
      </c>
      <c r="F636" s="7" t="str">
        <f t="shared" si="64"/>
        <v>UNI</v>
      </c>
      <c r="G636" s="7" t="str">
        <f t="shared" si="65"/>
        <v>BAG</v>
      </c>
      <c r="H636" s="7" t="str">
        <f t="shared" si="66"/>
        <v>CLU</v>
      </c>
      <c r="I636" s="7" t="str">
        <f t="shared" si="67"/>
        <v>BIC</v>
      </c>
      <c r="J636" s="7" t="str">
        <f t="shared" si="68"/>
        <v>MIX</v>
      </c>
      <c r="K636" s="7" t="str">
        <f t="shared" si="69"/>
        <v>0</v>
      </c>
      <c r="L636" s="7">
        <v>0</v>
      </c>
      <c r="M636" s="7" t="s">
        <v>2609</v>
      </c>
      <c r="N636" s="7">
        <f>_xlfn.XLOOKUP(A636,[1]SKU!$A:$A,[1]SKU!$Z:$Z)</f>
        <v>310000</v>
      </c>
    </row>
    <row r="637" spans="1:14" s="7" customFormat="1">
      <c r="A637" s="1" t="s">
        <v>5248</v>
      </c>
      <c r="B637" s="3" t="s">
        <v>4472</v>
      </c>
      <c r="C637" s="3" t="s">
        <v>73</v>
      </c>
      <c r="D637" s="1" t="s">
        <v>5249</v>
      </c>
      <c r="E637" s="7" t="str">
        <f t="shared" si="63"/>
        <v>DSP</v>
      </c>
      <c r="F637" s="7" t="str">
        <f t="shared" si="64"/>
        <v>UNI</v>
      </c>
      <c r="G637" s="7" t="str">
        <f t="shared" si="65"/>
        <v>BAG</v>
      </c>
      <c r="H637" s="7" t="str">
        <f t="shared" si="66"/>
        <v>WAL</v>
      </c>
      <c r="I637" s="7" t="str">
        <f t="shared" si="67"/>
        <v>SEU</v>
      </c>
      <c r="J637" s="7" t="str">
        <f t="shared" si="68"/>
        <v>BLK</v>
      </c>
      <c r="K637" s="7" t="str">
        <f t="shared" si="69"/>
        <v>0</v>
      </c>
      <c r="L637" s="7">
        <v>0</v>
      </c>
      <c r="M637" s="7" t="s">
        <v>2609</v>
      </c>
      <c r="N637" s="7">
        <f>_xlfn.XLOOKUP(A637,[1]SKU!$A:$A,[1]SKU!$Z:$Z)</f>
        <v>2900000</v>
      </c>
    </row>
    <row r="638" spans="1:14" s="7" customFormat="1">
      <c r="A638" s="1" t="s">
        <v>840</v>
      </c>
      <c r="B638" s="3" t="s">
        <v>3</v>
      </c>
      <c r="C638" s="3" t="s">
        <v>841</v>
      </c>
      <c r="D638" s="1" t="s">
        <v>842</v>
      </c>
      <c r="E638" s="7" t="str">
        <f t="shared" si="63"/>
        <v>GSU</v>
      </c>
      <c r="F638" s="7" t="str">
        <f t="shared" si="64"/>
        <v>WOM</v>
      </c>
      <c r="G638" s="7" t="str">
        <f t="shared" si="65"/>
        <v>TTB</v>
      </c>
      <c r="H638" s="7" t="str">
        <f t="shared" si="66"/>
        <v>BNE</v>
      </c>
      <c r="I638" s="7" t="str">
        <f t="shared" si="67"/>
        <v>RDY</v>
      </c>
      <c r="J638" s="7" t="str">
        <f t="shared" si="68"/>
        <v>WHI</v>
      </c>
      <c r="K638" s="7" t="str">
        <f t="shared" si="69"/>
        <v>L</v>
      </c>
      <c r="L638" s="7" t="s">
        <v>2326</v>
      </c>
      <c r="M638" s="7" t="s">
        <v>4469</v>
      </c>
      <c r="N638" s="7">
        <f>_xlfn.XLOOKUP(A638,[1]SKU!$A:$A,[1]SKU!$Z:$Z)</f>
        <v>850000</v>
      </c>
    </row>
    <row r="639" spans="1:14" s="7" customFormat="1">
      <c r="A639" s="1" t="s">
        <v>843</v>
      </c>
      <c r="B639" s="3" t="s">
        <v>3</v>
      </c>
      <c r="C639" s="3" t="s">
        <v>167</v>
      </c>
      <c r="D639" s="1" t="s">
        <v>844</v>
      </c>
      <c r="E639" s="7" t="str">
        <f t="shared" si="63"/>
        <v>GOR</v>
      </c>
      <c r="F639" s="7" t="str">
        <f t="shared" si="64"/>
        <v>MEN</v>
      </c>
      <c r="G639" s="7" t="str">
        <f t="shared" si="65"/>
        <v>TSP</v>
      </c>
      <c r="H639" s="7" t="str">
        <f t="shared" si="66"/>
        <v>ONE</v>
      </c>
      <c r="I639" s="7" t="str">
        <f t="shared" si="67"/>
        <v>TJM</v>
      </c>
      <c r="J639" s="7" t="str">
        <f t="shared" si="68"/>
        <v>OLI</v>
      </c>
      <c r="K639" s="7" t="str">
        <f t="shared" si="69"/>
        <v>XXL</v>
      </c>
      <c r="L639" s="7" t="s">
        <v>2085</v>
      </c>
      <c r="M639" s="7" t="s">
        <v>4462</v>
      </c>
      <c r="N639" s="7">
        <f>_xlfn.XLOOKUP(A639,[1]SKU!$A:$A,[1]SKU!$Z:$Z)</f>
        <v>790000</v>
      </c>
    </row>
    <row r="640" spans="1:14" s="7" customFormat="1">
      <c r="A640" s="1" t="s">
        <v>845</v>
      </c>
      <c r="B640" s="3" t="s">
        <v>3</v>
      </c>
      <c r="C640" s="3" t="s">
        <v>23</v>
      </c>
      <c r="D640" s="1" t="s">
        <v>846</v>
      </c>
      <c r="E640" s="7" t="str">
        <f t="shared" si="63"/>
        <v>GBA</v>
      </c>
      <c r="F640" s="7" t="str">
        <f t="shared" si="64"/>
        <v>MEN</v>
      </c>
      <c r="G640" s="7" t="str">
        <f t="shared" si="65"/>
        <v>TSS</v>
      </c>
      <c r="H640" s="7" t="str">
        <f t="shared" si="66"/>
        <v>ONE</v>
      </c>
      <c r="I640" s="7" t="str">
        <f t="shared" si="67"/>
        <v>URB</v>
      </c>
      <c r="J640" s="7" t="str">
        <f t="shared" si="68"/>
        <v>WHI</v>
      </c>
      <c r="K640" s="7" t="str">
        <f t="shared" si="69"/>
        <v>XXL</v>
      </c>
      <c r="L640" s="7" t="s">
        <v>2018</v>
      </c>
      <c r="M640" s="7" t="s">
        <v>4462</v>
      </c>
      <c r="N640" s="7">
        <f>_xlfn.XLOOKUP(A640,[1]SKU!$A:$A,[1]SKU!$Z:$Z)</f>
        <v>710000</v>
      </c>
    </row>
    <row r="641" spans="1:14" s="7" customFormat="1">
      <c r="A641" s="1" t="s">
        <v>5250</v>
      </c>
      <c r="B641" s="3" t="s">
        <v>4472</v>
      </c>
      <c r="C641" s="3" t="s">
        <v>94</v>
      </c>
      <c r="D641" s="1" t="s">
        <v>5251</v>
      </c>
      <c r="E641" s="7" t="str">
        <f t="shared" si="63"/>
        <v>NGO</v>
      </c>
      <c r="F641" s="7" t="str">
        <f t="shared" si="64"/>
        <v>UNI</v>
      </c>
      <c r="G641" s="7" t="str">
        <f t="shared" si="65"/>
        <v>FWR</v>
      </c>
      <c r="H641" s="7" t="str">
        <f t="shared" si="66"/>
        <v>SNE</v>
      </c>
      <c r="I641" s="7" t="str">
        <f t="shared" si="67"/>
        <v>SGS</v>
      </c>
      <c r="J641" s="7" t="str">
        <f t="shared" si="68"/>
        <v>RBY</v>
      </c>
      <c r="K641" s="7" t="str">
        <f t="shared" si="69"/>
        <v>39</v>
      </c>
      <c r="L641" s="7">
        <v>0</v>
      </c>
      <c r="M641" s="7" t="s">
        <v>2609</v>
      </c>
      <c r="N641" s="7">
        <f>_xlfn.XLOOKUP(A641,[1]SKU!$A:$A,[1]SKU!$Z:$Z)</f>
        <v>3850000</v>
      </c>
    </row>
    <row r="642" spans="1:14" s="7" customFormat="1">
      <c r="A642" s="1" t="s">
        <v>847</v>
      </c>
      <c r="B642" s="3" t="s">
        <v>3</v>
      </c>
      <c r="C642" s="3" t="s">
        <v>137</v>
      </c>
      <c r="D642" s="1" t="s">
        <v>848</v>
      </c>
      <c r="E642" s="7" t="str">
        <f t="shared" si="63"/>
        <v>GBA</v>
      </c>
      <c r="F642" s="7" t="str">
        <f t="shared" si="64"/>
        <v>MEN</v>
      </c>
      <c r="G642" s="7" t="str">
        <f t="shared" si="65"/>
        <v>TSS</v>
      </c>
      <c r="H642" s="7" t="str">
        <f t="shared" si="66"/>
        <v>ONE</v>
      </c>
      <c r="I642" s="7" t="str">
        <f t="shared" si="67"/>
        <v>HHA</v>
      </c>
      <c r="J642" s="7" t="str">
        <f t="shared" si="68"/>
        <v>WHI</v>
      </c>
      <c r="K642" s="7" t="str">
        <f t="shared" si="69"/>
        <v>M</v>
      </c>
      <c r="L642" s="7" t="s">
        <v>2018</v>
      </c>
      <c r="M642" s="7" t="s">
        <v>4462</v>
      </c>
      <c r="N642" s="7">
        <f>_xlfn.XLOOKUP(A642,[1]SKU!$A:$A,[1]SKU!$Z:$Z)</f>
        <v>890000</v>
      </c>
    </row>
    <row r="643" spans="1:14" s="7" customFormat="1">
      <c r="A643" s="1" t="s">
        <v>849</v>
      </c>
      <c r="B643" s="3" t="s">
        <v>3</v>
      </c>
      <c r="C643" s="3" t="s">
        <v>137</v>
      </c>
      <c r="D643" s="1" t="s">
        <v>850</v>
      </c>
      <c r="E643" s="7" t="str">
        <f t="shared" ref="E643:E706" si="70">_xlfn.TEXTBEFORE(_xlfn.TEXTAFTER(D643,"-"),"-")</f>
        <v>GBA</v>
      </c>
      <c r="F643" s="7" t="str">
        <f t="shared" ref="F643:F706" si="71">_xlfn.TEXTBEFORE(_xlfn.TEXTAFTER(D643,"-",2),"-")</f>
        <v>MEN</v>
      </c>
      <c r="G643" s="7" t="str">
        <f t="shared" ref="G643:G706" si="72">_xlfn.TEXTBEFORE(_xlfn.TEXTAFTER(D643,"-",3),"-")</f>
        <v>TSS</v>
      </c>
      <c r="H643" s="7" t="str">
        <f t="shared" ref="H643:H706" si="73">_xlfn.TEXTBEFORE(_xlfn.TEXTAFTER(D643,"-",4),"-")</f>
        <v>ONE</v>
      </c>
      <c r="I643" s="7" t="str">
        <f t="shared" ref="I643:I706" si="74">_xlfn.TEXTBEFORE(_xlfn.TEXTAFTER(D643,"-",5),"-")</f>
        <v>HHA</v>
      </c>
      <c r="J643" s="7" t="str">
        <f t="shared" ref="J643:J706" si="75">_xlfn.TEXTBEFORE(_xlfn.TEXTAFTER(D643,"-",6),"-")</f>
        <v>WHI</v>
      </c>
      <c r="K643" s="7" t="str">
        <f t="shared" ref="K643:K706" si="76">_xlfn.TEXTAFTER(D643,"-",7)</f>
        <v>XXL</v>
      </c>
      <c r="L643" s="7" t="s">
        <v>2018</v>
      </c>
      <c r="M643" s="7" t="s">
        <v>4462</v>
      </c>
      <c r="N643" s="7">
        <f>_xlfn.XLOOKUP(A643,[1]SKU!$A:$A,[1]SKU!$Z:$Z)</f>
        <v>890000</v>
      </c>
    </row>
    <row r="644" spans="1:14" s="7" customFormat="1">
      <c r="A644" s="1" t="s">
        <v>851</v>
      </c>
      <c r="B644" s="3" t="s">
        <v>19</v>
      </c>
      <c r="C644" s="3" t="s">
        <v>154</v>
      </c>
      <c r="D644" s="1" t="s">
        <v>852</v>
      </c>
      <c r="E644" s="7" t="str">
        <f t="shared" si="70"/>
        <v>OTH</v>
      </c>
      <c r="F644" s="7" t="str">
        <f t="shared" si="71"/>
        <v>UNI</v>
      </c>
      <c r="G644" s="7" t="str">
        <f t="shared" si="72"/>
        <v>SOU</v>
      </c>
      <c r="H644" s="7" t="str">
        <f t="shared" si="73"/>
        <v>HFS</v>
      </c>
      <c r="I644" s="7" t="str">
        <f t="shared" si="74"/>
        <v>TNT</v>
      </c>
      <c r="J644" s="7" t="str">
        <f t="shared" si="75"/>
        <v>WHI</v>
      </c>
      <c r="K644" s="7" t="str">
        <f t="shared" si="76"/>
        <v>0</v>
      </c>
      <c r="L644" s="7">
        <v>0</v>
      </c>
      <c r="M644" s="7" t="s">
        <v>2609</v>
      </c>
      <c r="N644" s="7">
        <f>_xlfn.XLOOKUP(A644,[1]SKU!$A:$A,[1]SKU!$Z:$Z)</f>
        <v>355000</v>
      </c>
    </row>
    <row r="645" spans="1:14" s="7" customFormat="1">
      <c r="A645" s="1" t="s">
        <v>853</v>
      </c>
      <c r="B645" s="3" t="s">
        <v>3</v>
      </c>
      <c r="C645" s="3" t="s">
        <v>23</v>
      </c>
      <c r="D645" s="1" t="s">
        <v>854</v>
      </c>
      <c r="E645" s="7" t="str">
        <f t="shared" si="70"/>
        <v>GOR</v>
      </c>
      <c r="F645" s="7" t="str">
        <f t="shared" si="71"/>
        <v>MEN</v>
      </c>
      <c r="G645" s="7" t="str">
        <f t="shared" si="72"/>
        <v>TSS</v>
      </c>
      <c r="H645" s="7" t="str">
        <f t="shared" si="73"/>
        <v>ONE</v>
      </c>
      <c r="I645" s="7" t="str">
        <f t="shared" si="74"/>
        <v>URB</v>
      </c>
      <c r="J645" s="7" t="str">
        <f t="shared" si="75"/>
        <v>WHI</v>
      </c>
      <c r="K645" s="7" t="str">
        <f t="shared" si="76"/>
        <v>XXL</v>
      </c>
      <c r="L645" s="7" t="s">
        <v>2018</v>
      </c>
      <c r="M645" s="7" t="s">
        <v>4462</v>
      </c>
      <c r="N645" s="7">
        <f>_xlfn.XLOOKUP(A645,[1]SKU!$A:$A,[1]SKU!$Z:$Z)</f>
        <v>790000</v>
      </c>
    </row>
    <row r="646" spans="1:14" s="7" customFormat="1">
      <c r="A646" s="1" t="s">
        <v>5252</v>
      </c>
      <c r="B646" s="3" t="s">
        <v>4472</v>
      </c>
      <c r="C646" s="3" t="s">
        <v>855</v>
      </c>
      <c r="D646" s="1" t="s">
        <v>5253</v>
      </c>
      <c r="E646" s="7" t="str">
        <f t="shared" si="70"/>
        <v>DSP</v>
      </c>
      <c r="F646" s="7" t="str">
        <f t="shared" si="71"/>
        <v>UNI</v>
      </c>
      <c r="G646" s="7" t="str">
        <f t="shared" si="72"/>
        <v>BAG</v>
      </c>
      <c r="H646" s="7" t="str">
        <f t="shared" si="73"/>
        <v>CLU</v>
      </c>
      <c r="I646" s="7" t="str">
        <f t="shared" si="74"/>
        <v>FOU</v>
      </c>
      <c r="J646" s="7" t="str">
        <f t="shared" si="75"/>
        <v>CHO</v>
      </c>
      <c r="K646" s="7" t="str">
        <f t="shared" si="76"/>
        <v>0</v>
      </c>
      <c r="L646" s="7">
        <v>0</v>
      </c>
      <c r="M646" s="7" t="s">
        <v>2609</v>
      </c>
      <c r="N646" s="7">
        <f>_xlfn.XLOOKUP(A646,[1]SKU!$A:$A,[1]SKU!$Z:$Z)</f>
        <v>1500000</v>
      </c>
    </row>
    <row r="647" spans="1:14" s="7" customFormat="1">
      <c r="A647" s="1" t="s">
        <v>856</v>
      </c>
      <c r="B647" s="3" t="s">
        <v>3</v>
      </c>
      <c r="C647" s="3" t="s">
        <v>684</v>
      </c>
      <c r="D647" s="1" t="s">
        <v>857</v>
      </c>
      <c r="E647" s="7" t="str">
        <f t="shared" si="70"/>
        <v>GOR</v>
      </c>
      <c r="F647" s="7" t="str">
        <f t="shared" si="71"/>
        <v>WOM</v>
      </c>
      <c r="G647" s="7" t="str">
        <f t="shared" si="72"/>
        <v>PZE</v>
      </c>
      <c r="H647" s="7" t="str">
        <f t="shared" si="73"/>
        <v>ONE</v>
      </c>
      <c r="I647" s="7" t="str">
        <f t="shared" si="74"/>
        <v>STC</v>
      </c>
      <c r="J647" s="7" t="str">
        <f t="shared" si="75"/>
        <v>PPA</v>
      </c>
      <c r="K647" s="7" t="str">
        <f t="shared" si="76"/>
        <v>L</v>
      </c>
      <c r="L647" s="7" t="s">
        <v>2167</v>
      </c>
      <c r="M647" s="7" t="s">
        <v>2167</v>
      </c>
      <c r="N647" s="7">
        <f>_xlfn.XLOOKUP(A647,[1]SKU!$A:$A,[1]SKU!$Z:$Z)</f>
        <v>790000</v>
      </c>
    </row>
    <row r="648" spans="1:14" s="7" customFormat="1">
      <c r="A648" s="1" t="s">
        <v>858</v>
      </c>
      <c r="B648" s="3" t="s">
        <v>3</v>
      </c>
      <c r="C648" s="3" t="s">
        <v>81</v>
      </c>
      <c r="D648" s="1" t="s">
        <v>859</v>
      </c>
      <c r="E648" s="7" t="str">
        <f t="shared" si="70"/>
        <v>GSU</v>
      </c>
      <c r="F648" s="7" t="str">
        <f t="shared" si="71"/>
        <v>MEN</v>
      </c>
      <c r="G648" s="7" t="str">
        <f t="shared" si="72"/>
        <v>POL</v>
      </c>
      <c r="H648" s="7" t="str">
        <f t="shared" si="73"/>
        <v>MAN</v>
      </c>
      <c r="I648" s="7" t="str">
        <f t="shared" si="74"/>
        <v>JUN</v>
      </c>
      <c r="J648" s="7" t="str">
        <f t="shared" si="75"/>
        <v>WHI</v>
      </c>
      <c r="K648" s="7" t="str">
        <f t="shared" si="76"/>
        <v>XXL</v>
      </c>
      <c r="L648" s="7" t="s">
        <v>1995</v>
      </c>
      <c r="M648" s="7" t="s">
        <v>4468</v>
      </c>
      <c r="N648" s="7">
        <f>_xlfn.XLOOKUP(A648,[1]SKU!$A:$A,[1]SKU!$Z:$Z)</f>
        <v>1190000</v>
      </c>
    </row>
    <row r="649" spans="1:14" s="7" customFormat="1">
      <c r="A649" s="1" t="s">
        <v>860</v>
      </c>
      <c r="B649" s="3" t="s">
        <v>3</v>
      </c>
      <c r="C649" s="3" t="s">
        <v>300</v>
      </c>
      <c r="D649" s="1" t="s">
        <v>861</v>
      </c>
      <c r="E649" s="7" t="str">
        <f t="shared" si="70"/>
        <v>GSL</v>
      </c>
      <c r="F649" s="7" t="str">
        <f t="shared" si="71"/>
        <v>KID</v>
      </c>
      <c r="G649" s="7" t="str">
        <f t="shared" si="72"/>
        <v>TSS</v>
      </c>
      <c r="H649" s="7" t="str">
        <f t="shared" si="73"/>
        <v>ONE</v>
      </c>
      <c r="I649" s="7" t="str">
        <f t="shared" si="74"/>
        <v>SMP</v>
      </c>
      <c r="J649" s="7" t="str">
        <f t="shared" si="75"/>
        <v>WHI</v>
      </c>
      <c r="K649" s="7" t="str">
        <f t="shared" si="76"/>
        <v>8</v>
      </c>
      <c r="L649" s="7" t="s">
        <v>2018</v>
      </c>
      <c r="M649" s="7" t="s">
        <v>4462</v>
      </c>
      <c r="N649" s="7">
        <f>_xlfn.XLOOKUP(A649,[1]SKU!$A:$A,[1]SKU!$Z:$Z)</f>
        <v>550000</v>
      </c>
    </row>
    <row r="650" spans="1:14" s="7" customFormat="1">
      <c r="A650" s="1" t="s">
        <v>862</v>
      </c>
      <c r="B650" s="3" t="s">
        <v>3</v>
      </c>
      <c r="C650" s="3" t="s">
        <v>311</v>
      </c>
      <c r="D650" s="1" t="s">
        <v>863</v>
      </c>
      <c r="E650" s="7" t="str">
        <f t="shared" si="70"/>
        <v>GSL</v>
      </c>
      <c r="F650" s="7" t="str">
        <f t="shared" si="71"/>
        <v>KID</v>
      </c>
      <c r="G650" s="7" t="str">
        <f t="shared" si="72"/>
        <v>TTS</v>
      </c>
      <c r="H650" s="7" t="str">
        <f t="shared" si="73"/>
        <v>ONE</v>
      </c>
      <c r="I650" s="7" t="str">
        <f t="shared" si="74"/>
        <v>GL2</v>
      </c>
      <c r="J650" s="7" t="str">
        <f t="shared" si="75"/>
        <v>RED</v>
      </c>
      <c r="K650" s="7" t="str">
        <f t="shared" si="76"/>
        <v>6</v>
      </c>
      <c r="L650" s="7" t="s">
        <v>2310</v>
      </c>
      <c r="M650" s="7" t="s">
        <v>4469</v>
      </c>
      <c r="N650" s="7">
        <f>_xlfn.XLOOKUP(A650,[1]SKU!$A:$A,[1]SKU!$Z:$Z)</f>
        <v>550000</v>
      </c>
    </row>
    <row r="651" spans="1:14" s="7" customFormat="1">
      <c r="A651" s="1" t="s">
        <v>864</v>
      </c>
      <c r="B651" s="3" t="s">
        <v>3</v>
      </c>
      <c r="C651" s="3" t="s">
        <v>300</v>
      </c>
      <c r="D651" s="1" t="s">
        <v>865</v>
      </c>
      <c r="E651" s="7" t="str">
        <f t="shared" si="70"/>
        <v>GSL</v>
      </c>
      <c r="F651" s="7" t="str">
        <f t="shared" si="71"/>
        <v>KID</v>
      </c>
      <c r="G651" s="7" t="str">
        <f t="shared" si="72"/>
        <v>TSS</v>
      </c>
      <c r="H651" s="7" t="str">
        <f t="shared" si="73"/>
        <v>ONE</v>
      </c>
      <c r="I651" s="7" t="str">
        <f t="shared" si="74"/>
        <v>SMP</v>
      </c>
      <c r="J651" s="7" t="str">
        <f t="shared" si="75"/>
        <v>WHI</v>
      </c>
      <c r="K651" s="7" t="str">
        <f t="shared" si="76"/>
        <v>6</v>
      </c>
      <c r="L651" s="7" t="s">
        <v>2018</v>
      </c>
      <c r="M651" s="7" t="s">
        <v>4462</v>
      </c>
      <c r="N651" s="7">
        <f>_xlfn.XLOOKUP(A651,[1]SKU!$A:$A,[1]SKU!$Z:$Z)</f>
        <v>550000</v>
      </c>
    </row>
    <row r="652" spans="1:14" s="7" customFormat="1">
      <c r="A652" s="1" t="s">
        <v>866</v>
      </c>
      <c r="B652" s="3" t="s">
        <v>3</v>
      </c>
      <c r="C652" s="3" t="s">
        <v>113</v>
      </c>
      <c r="D652" s="1" t="s">
        <v>867</v>
      </c>
      <c r="E652" s="7" t="str">
        <f t="shared" si="70"/>
        <v>GBA</v>
      </c>
      <c r="F652" s="7" t="str">
        <f t="shared" si="71"/>
        <v>WOM</v>
      </c>
      <c r="G652" s="7" t="str">
        <f t="shared" si="72"/>
        <v>CRO</v>
      </c>
      <c r="H652" s="7" t="str">
        <f t="shared" si="73"/>
        <v>ONE</v>
      </c>
      <c r="I652" s="7" t="str">
        <f t="shared" si="74"/>
        <v>TCS</v>
      </c>
      <c r="J652" s="7" t="str">
        <f t="shared" si="75"/>
        <v>BLK</v>
      </c>
      <c r="K652" s="7" t="str">
        <f t="shared" si="76"/>
        <v>M</v>
      </c>
      <c r="L652" s="7" t="s">
        <v>2453</v>
      </c>
      <c r="M652" s="7" t="s">
        <v>4463</v>
      </c>
      <c r="N652" s="7">
        <f>_xlfn.XLOOKUP(A652,[1]SKU!$A:$A,[1]SKU!$Z:$Z)</f>
        <v>1190000</v>
      </c>
    </row>
    <row r="653" spans="1:14" s="7" customFormat="1">
      <c r="A653" s="1" t="s">
        <v>868</v>
      </c>
      <c r="B653" s="3" t="s">
        <v>3</v>
      </c>
      <c r="C653" s="3" t="s">
        <v>311</v>
      </c>
      <c r="D653" s="1" t="s">
        <v>869</v>
      </c>
      <c r="E653" s="7" t="str">
        <f t="shared" si="70"/>
        <v>GSP</v>
      </c>
      <c r="F653" s="7" t="str">
        <f t="shared" si="71"/>
        <v>WOM</v>
      </c>
      <c r="G653" s="7" t="str">
        <f t="shared" si="72"/>
        <v>PZE</v>
      </c>
      <c r="H653" s="7" t="str">
        <f t="shared" si="73"/>
        <v>ONE</v>
      </c>
      <c r="I653" s="7" t="str">
        <f t="shared" si="74"/>
        <v>GL2</v>
      </c>
      <c r="J653" s="7" t="str">
        <f t="shared" si="75"/>
        <v>NAV</v>
      </c>
      <c r="K653" s="7" t="str">
        <f t="shared" si="76"/>
        <v>L</v>
      </c>
      <c r="L653" s="7" t="s">
        <v>2167</v>
      </c>
      <c r="M653" s="7" t="s">
        <v>2167</v>
      </c>
      <c r="N653" s="7">
        <f>_xlfn.XLOOKUP(A653,[1]SKU!$A:$A,[1]SKU!$Z:$Z)</f>
        <v>790000</v>
      </c>
    </row>
    <row r="654" spans="1:14" s="7" customFormat="1">
      <c r="A654" s="1" t="s">
        <v>870</v>
      </c>
      <c r="B654" s="3" t="s">
        <v>3</v>
      </c>
      <c r="C654" s="3" t="s">
        <v>455</v>
      </c>
      <c r="D654" s="1" t="s">
        <v>871</v>
      </c>
      <c r="E654" s="7" t="str">
        <f t="shared" si="70"/>
        <v>GOR</v>
      </c>
      <c r="F654" s="7" t="str">
        <f t="shared" si="71"/>
        <v>MEN</v>
      </c>
      <c r="G654" s="7" t="str">
        <f t="shared" si="72"/>
        <v>TSS</v>
      </c>
      <c r="H654" s="7" t="str">
        <f t="shared" si="73"/>
        <v>ONE</v>
      </c>
      <c r="I654" s="7" t="str">
        <f t="shared" si="74"/>
        <v>RTE</v>
      </c>
      <c r="J654" s="7" t="str">
        <f t="shared" si="75"/>
        <v>BLK</v>
      </c>
      <c r="K654" s="7" t="str">
        <f t="shared" si="76"/>
        <v>XL</v>
      </c>
      <c r="L654" s="7" t="s">
        <v>2018</v>
      </c>
      <c r="M654" s="7" t="s">
        <v>4462</v>
      </c>
      <c r="N654" s="7">
        <f>_xlfn.XLOOKUP(A654,[1]SKU!$A:$A,[1]SKU!$Z:$Z)</f>
        <v>990000</v>
      </c>
    </row>
    <row r="655" spans="1:14" s="7" customFormat="1">
      <c r="A655" s="1" t="s">
        <v>5254</v>
      </c>
      <c r="B655" s="3" t="s">
        <v>4472</v>
      </c>
      <c r="C655" s="3" t="s">
        <v>5255</v>
      </c>
      <c r="D655" s="1" t="s">
        <v>5256</v>
      </c>
      <c r="E655" s="7" t="str">
        <f t="shared" si="70"/>
        <v>LAN</v>
      </c>
      <c r="F655" s="7" t="str">
        <f t="shared" si="71"/>
        <v>UNI</v>
      </c>
      <c r="G655" s="7" t="str">
        <f t="shared" si="72"/>
        <v>HWR</v>
      </c>
      <c r="H655" s="7" t="str">
        <f t="shared" si="73"/>
        <v>SC1</v>
      </c>
      <c r="I655" s="7" t="str">
        <f t="shared" si="74"/>
        <v>MAC</v>
      </c>
      <c r="J655" s="7" t="str">
        <f t="shared" si="75"/>
        <v>RED</v>
      </c>
      <c r="K655" s="7" t="str">
        <f t="shared" si="76"/>
        <v>90x90</v>
      </c>
      <c r="L655" s="7">
        <v>0</v>
      </c>
      <c r="M655" s="7" t="s">
        <v>2609</v>
      </c>
      <c r="N655" s="7">
        <f>_xlfn.XLOOKUP(A655,[1]SKU!$A:$A,[1]SKU!$Z:$Z)</f>
        <v>849000</v>
      </c>
    </row>
    <row r="656" spans="1:14" s="7" customFormat="1">
      <c r="A656" s="1" t="s">
        <v>5257</v>
      </c>
      <c r="B656" s="3" t="s">
        <v>4472</v>
      </c>
      <c r="C656" s="3" t="s">
        <v>872</v>
      </c>
      <c r="D656" s="1" t="s">
        <v>5258</v>
      </c>
      <c r="E656" s="7" t="str">
        <f t="shared" si="70"/>
        <v>VNE</v>
      </c>
      <c r="F656" s="7" t="str">
        <f t="shared" si="71"/>
        <v>UNI</v>
      </c>
      <c r="G656" s="7" t="str">
        <f t="shared" si="72"/>
        <v>SOU</v>
      </c>
      <c r="H656" s="7" t="str">
        <f t="shared" si="73"/>
        <v>SMS</v>
      </c>
      <c r="I656" s="7" t="str">
        <f t="shared" si="74"/>
        <v>BUN</v>
      </c>
      <c r="J656" s="7" t="str">
        <f t="shared" si="75"/>
        <v>SGR</v>
      </c>
      <c r="K656" s="7" t="str">
        <f t="shared" si="76"/>
        <v>16CM</v>
      </c>
      <c r="L656" s="7">
        <v>0</v>
      </c>
      <c r="M656" s="7" t="s">
        <v>2609</v>
      </c>
      <c r="N656" s="7">
        <f>_xlfn.XLOOKUP(A656,[1]SKU!$A:$A,[1]SKU!$Z:$Z)</f>
        <v>6900000</v>
      </c>
    </row>
    <row r="657" spans="1:14" s="7" customFormat="1">
      <c r="A657" s="1" t="s">
        <v>5259</v>
      </c>
      <c r="B657" s="3" t="s">
        <v>4472</v>
      </c>
      <c r="C657" s="3" t="s">
        <v>873</v>
      </c>
      <c r="D657" s="1" t="s">
        <v>5260</v>
      </c>
      <c r="E657" s="7" t="str">
        <f t="shared" si="70"/>
        <v>TOH</v>
      </c>
      <c r="F657" s="7" t="str">
        <f t="shared" si="71"/>
        <v>UNI</v>
      </c>
      <c r="G657" s="7" t="str">
        <f t="shared" si="72"/>
        <v>ACC</v>
      </c>
      <c r="H657" s="7" t="str">
        <f t="shared" si="73"/>
        <v>ICE</v>
      </c>
      <c r="I657" s="7" t="str">
        <f t="shared" si="74"/>
        <v>IPC</v>
      </c>
      <c r="J657" s="7" t="str">
        <f t="shared" si="75"/>
        <v>MIX</v>
      </c>
      <c r="K657" s="7" t="str">
        <f t="shared" si="76"/>
        <v>0</v>
      </c>
      <c r="L657" s="7">
        <v>0</v>
      </c>
      <c r="M657" s="7" t="s">
        <v>2609</v>
      </c>
      <c r="N657" s="7">
        <f>_xlfn.XLOOKUP(A657,[1]SKU!$A:$A,[1]SKU!$Z:$Z)</f>
        <v>200000</v>
      </c>
    </row>
    <row r="658" spans="1:14" s="7" customFormat="1">
      <c r="A658" s="1" t="s">
        <v>5261</v>
      </c>
      <c r="B658" s="3" t="s">
        <v>4472</v>
      </c>
      <c r="C658" s="3" t="s">
        <v>5262</v>
      </c>
      <c r="D658" s="1" t="s">
        <v>5263</v>
      </c>
      <c r="E658" s="7" t="str">
        <f t="shared" si="70"/>
        <v>HAM</v>
      </c>
      <c r="F658" s="7" t="str">
        <f t="shared" si="71"/>
        <v>UNI</v>
      </c>
      <c r="G658" s="7" t="str">
        <f t="shared" si="72"/>
        <v>JEW</v>
      </c>
      <c r="H658" s="7" t="str">
        <f t="shared" si="73"/>
        <v>NEC</v>
      </c>
      <c r="I658" s="7" t="str">
        <f t="shared" si="74"/>
        <v>D55</v>
      </c>
      <c r="J658" s="7" t="str">
        <f t="shared" si="75"/>
        <v>MIX</v>
      </c>
      <c r="K658" s="7" t="str">
        <f t="shared" si="76"/>
        <v>0</v>
      </c>
      <c r="L658" s="7">
        <v>0</v>
      </c>
      <c r="M658" s="7" t="s">
        <v>2609</v>
      </c>
      <c r="N658" s="7">
        <f>_xlfn.XLOOKUP(A658,[1]SKU!$A:$A,[1]SKU!$Z:$Z)</f>
        <v>2000000</v>
      </c>
    </row>
    <row r="659" spans="1:14" s="7" customFormat="1">
      <c r="A659" s="1" t="s">
        <v>875</v>
      </c>
      <c r="B659" s="3" t="s">
        <v>3</v>
      </c>
      <c r="C659" s="3" t="s">
        <v>23</v>
      </c>
      <c r="D659" s="1" t="s">
        <v>876</v>
      </c>
      <c r="E659" s="7" t="str">
        <f t="shared" si="70"/>
        <v>GOR</v>
      </c>
      <c r="F659" s="7" t="str">
        <f t="shared" si="71"/>
        <v>MEN</v>
      </c>
      <c r="G659" s="7" t="str">
        <f t="shared" si="72"/>
        <v>TSS</v>
      </c>
      <c r="H659" s="7" t="str">
        <f t="shared" si="73"/>
        <v>ONE</v>
      </c>
      <c r="I659" s="7" t="str">
        <f t="shared" si="74"/>
        <v>URB</v>
      </c>
      <c r="J659" s="7" t="str">
        <f t="shared" si="75"/>
        <v>JBG</v>
      </c>
      <c r="K659" s="7" t="str">
        <f t="shared" si="76"/>
        <v>XXL</v>
      </c>
      <c r="L659" s="7" t="s">
        <v>2018</v>
      </c>
      <c r="M659" s="7" t="s">
        <v>4462</v>
      </c>
      <c r="N659" s="7">
        <f>_xlfn.XLOOKUP(A659,[1]SKU!$A:$A,[1]SKU!$Z:$Z)</f>
        <v>790000</v>
      </c>
    </row>
    <row r="660" spans="1:14" s="7" customFormat="1">
      <c r="A660" s="1" t="s">
        <v>5264</v>
      </c>
      <c r="B660" s="3" t="s">
        <v>4472</v>
      </c>
      <c r="C660" s="3" t="s">
        <v>5265</v>
      </c>
      <c r="D660" s="1" t="s">
        <v>5266</v>
      </c>
      <c r="E660" s="7" t="str">
        <f t="shared" si="70"/>
        <v>LAN</v>
      </c>
      <c r="F660" s="7" t="str">
        <f t="shared" si="71"/>
        <v>UNI</v>
      </c>
      <c r="G660" s="7" t="str">
        <f t="shared" si="72"/>
        <v>HWR</v>
      </c>
      <c r="H660" s="7" t="str">
        <f t="shared" si="73"/>
        <v>SC2</v>
      </c>
      <c r="I660" s="7" t="str">
        <f t="shared" si="74"/>
        <v>HNI</v>
      </c>
      <c r="J660" s="7" t="str">
        <f t="shared" si="75"/>
        <v>GRN</v>
      </c>
      <c r="K660" s="7" t="str">
        <f t="shared" si="76"/>
        <v>70x70</v>
      </c>
      <c r="L660" s="7">
        <v>0</v>
      </c>
      <c r="M660" s="7" t="s">
        <v>2609</v>
      </c>
      <c r="N660" s="7">
        <f>_xlfn.XLOOKUP(A660,[1]SKU!$A:$A,[1]SKU!$Z:$Z)</f>
        <v>749000</v>
      </c>
    </row>
    <row r="661" spans="1:14" s="7" customFormat="1">
      <c r="A661" s="1" t="s">
        <v>877</v>
      </c>
      <c r="B661" s="3" t="s">
        <v>19</v>
      </c>
      <c r="C661" s="3" t="s">
        <v>107</v>
      </c>
      <c r="D661" s="1" t="s">
        <v>878</v>
      </c>
      <c r="E661" s="7" t="str">
        <f t="shared" si="70"/>
        <v>OTH</v>
      </c>
      <c r="F661" s="7" t="str">
        <f t="shared" si="71"/>
        <v>UNI</v>
      </c>
      <c r="G661" s="7" t="str">
        <f t="shared" si="72"/>
        <v>BAG</v>
      </c>
      <c r="H661" s="7" t="str">
        <f t="shared" si="73"/>
        <v>CRB</v>
      </c>
      <c r="I661" s="7" t="str">
        <f t="shared" si="74"/>
        <v>LOG</v>
      </c>
      <c r="J661" s="7" t="str">
        <f t="shared" si="75"/>
        <v>BWH</v>
      </c>
      <c r="K661" s="7" t="str">
        <f t="shared" si="76"/>
        <v>0</v>
      </c>
      <c r="L661" s="7">
        <v>0</v>
      </c>
      <c r="M661" s="7" t="s">
        <v>2609</v>
      </c>
      <c r="N661" s="7">
        <f>_xlfn.XLOOKUP(A661,[1]SKU!$A:$A,[1]SKU!$Z:$Z)</f>
        <v>3650000</v>
      </c>
    </row>
    <row r="662" spans="1:14" s="7" customFormat="1">
      <c r="A662" s="1" t="s">
        <v>879</v>
      </c>
      <c r="B662" s="3" t="s">
        <v>3</v>
      </c>
      <c r="C662" s="3" t="s">
        <v>110</v>
      </c>
      <c r="D662" s="1" t="s">
        <v>880</v>
      </c>
      <c r="E662" s="7" t="str">
        <f t="shared" si="70"/>
        <v>GSL</v>
      </c>
      <c r="F662" s="7" t="str">
        <f t="shared" si="71"/>
        <v>KID</v>
      </c>
      <c r="G662" s="7" t="str">
        <f t="shared" si="72"/>
        <v>TSS</v>
      </c>
      <c r="H662" s="7" t="str">
        <f t="shared" si="73"/>
        <v>ONE</v>
      </c>
      <c r="I662" s="7" t="str">
        <f t="shared" si="74"/>
        <v>TLT</v>
      </c>
      <c r="J662" s="7" t="str">
        <f t="shared" si="75"/>
        <v>BLK</v>
      </c>
      <c r="K662" s="7" t="str">
        <f t="shared" si="76"/>
        <v>6</v>
      </c>
      <c r="L662" s="7" t="s">
        <v>2018</v>
      </c>
      <c r="M662" s="7" t="s">
        <v>4462</v>
      </c>
      <c r="N662" s="7">
        <f>_xlfn.XLOOKUP(A662,[1]SKU!$A:$A,[1]SKU!$Z:$Z)</f>
        <v>550000</v>
      </c>
    </row>
    <row r="663" spans="1:14" s="7" customFormat="1">
      <c r="A663" s="1" t="s">
        <v>5267</v>
      </c>
      <c r="B663" s="3" t="s">
        <v>4481</v>
      </c>
      <c r="C663" s="3" t="s">
        <v>881</v>
      </c>
      <c r="D663" s="1" t="s">
        <v>5268</v>
      </c>
      <c r="E663" s="7" t="str">
        <f t="shared" si="70"/>
        <v>PAS</v>
      </c>
      <c r="F663" s="7" t="str">
        <f t="shared" si="71"/>
        <v>UNI</v>
      </c>
      <c r="G663" s="7" t="str">
        <f t="shared" si="72"/>
        <v>ART</v>
      </c>
      <c r="H663" s="7" t="str">
        <f t="shared" si="73"/>
        <v>ART</v>
      </c>
      <c r="I663" s="7" t="str">
        <f t="shared" si="74"/>
        <v>TDY</v>
      </c>
      <c r="J663" s="7" t="str">
        <f t="shared" si="75"/>
        <v>MIX</v>
      </c>
      <c r="K663" s="7" t="str">
        <f t="shared" si="76"/>
        <v>A3</v>
      </c>
      <c r="L663" s="7">
        <v>0</v>
      </c>
      <c r="M663" s="7" t="s">
        <v>2609</v>
      </c>
      <c r="N663" s="7">
        <f>_xlfn.XLOOKUP(A663,[1]SKU!$A:$A,[1]SKU!$Z:$Z)</f>
        <v>6000000</v>
      </c>
    </row>
    <row r="664" spans="1:14" s="7" customFormat="1">
      <c r="A664" s="1" t="s">
        <v>882</v>
      </c>
      <c r="B664" s="3" t="s">
        <v>3</v>
      </c>
      <c r="C664" s="3" t="s">
        <v>33</v>
      </c>
      <c r="D664" s="1" t="s">
        <v>883</v>
      </c>
      <c r="E664" s="7" t="str">
        <f t="shared" si="70"/>
        <v>GBA</v>
      </c>
      <c r="F664" s="7" t="str">
        <f t="shared" si="71"/>
        <v>MEN</v>
      </c>
      <c r="G664" s="7" t="str">
        <f t="shared" si="72"/>
        <v>TSS</v>
      </c>
      <c r="H664" s="7" t="str">
        <f t="shared" si="73"/>
        <v>ONE</v>
      </c>
      <c r="I664" s="7" t="str">
        <f t="shared" si="74"/>
        <v>VTM</v>
      </c>
      <c r="J664" s="7" t="str">
        <f t="shared" si="75"/>
        <v>GRE</v>
      </c>
      <c r="K664" s="7" t="str">
        <f t="shared" si="76"/>
        <v>S</v>
      </c>
      <c r="L664" s="7" t="s">
        <v>2018</v>
      </c>
      <c r="M664" s="7" t="s">
        <v>4462</v>
      </c>
      <c r="N664" s="7">
        <f>_xlfn.XLOOKUP(A664,[1]SKU!$A:$A,[1]SKU!$Z:$Z)</f>
        <v>710000</v>
      </c>
    </row>
    <row r="665" spans="1:14" s="7" customFormat="1">
      <c r="A665" s="1" t="s">
        <v>5269</v>
      </c>
      <c r="B665" s="3" t="s">
        <v>4472</v>
      </c>
      <c r="C665" s="3" t="s">
        <v>726</v>
      </c>
      <c r="D665" s="1" t="s">
        <v>5270</v>
      </c>
      <c r="E665" s="7" t="str">
        <f t="shared" si="70"/>
        <v>DSP</v>
      </c>
      <c r="F665" s="7" t="str">
        <f t="shared" si="71"/>
        <v>UNI</v>
      </c>
      <c r="G665" s="7" t="str">
        <f t="shared" si="72"/>
        <v>FWR</v>
      </c>
      <c r="H665" s="7" t="str">
        <f t="shared" si="73"/>
        <v>LES</v>
      </c>
      <c r="I665" s="7" t="str">
        <f t="shared" si="74"/>
        <v>PER</v>
      </c>
      <c r="J665" s="7" t="str">
        <f t="shared" si="75"/>
        <v>DRB</v>
      </c>
      <c r="K665" s="7" t="str">
        <f t="shared" si="76"/>
        <v>39</v>
      </c>
      <c r="L665" s="7">
        <v>0</v>
      </c>
      <c r="M665" s="7" t="s">
        <v>2609</v>
      </c>
      <c r="N665" s="7">
        <f>_xlfn.XLOOKUP(A665,[1]SKU!$A:$A,[1]SKU!$Z:$Z)</f>
        <v>7500000</v>
      </c>
    </row>
    <row r="666" spans="1:14" s="7" customFormat="1">
      <c r="A666" s="1" t="s">
        <v>5271</v>
      </c>
      <c r="B666" s="3" t="s">
        <v>4472</v>
      </c>
      <c r="C666" s="3" t="s">
        <v>375</v>
      </c>
      <c r="D666" s="1" t="s">
        <v>5272</v>
      </c>
      <c r="E666" s="7" t="str">
        <f t="shared" si="70"/>
        <v>DSP</v>
      </c>
      <c r="F666" s="7" t="str">
        <f t="shared" si="71"/>
        <v>UNI</v>
      </c>
      <c r="G666" s="7" t="str">
        <f t="shared" si="72"/>
        <v>FWR</v>
      </c>
      <c r="H666" s="7" t="str">
        <f t="shared" si="73"/>
        <v>LES</v>
      </c>
      <c r="I666" s="7" t="str">
        <f t="shared" si="74"/>
        <v>BLF</v>
      </c>
      <c r="J666" s="7" t="str">
        <f t="shared" si="75"/>
        <v>RED</v>
      </c>
      <c r="K666" s="7" t="str">
        <f t="shared" si="76"/>
        <v>41</v>
      </c>
      <c r="L666" s="7">
        <v>0</v>
      </c>
      <c r="M666" s="7" t="s">
        <v>2609</v>
      </c>
      <c r="N666" s="7">
        <f>_xlfn.XLOOKUP(A666,[1]SKU!$A:$A,[1]SKU!$Z:$Z)</f>
        <v>5800000</v>
      </c>
    </row>
    <row r="667" spans="1:14" s="7" customFormat="1">
      <c r="A667" s="1" t="s">
        <v>884</v>
      </c>
      <c r="B667" s="3" t="s">
        <v>3</v>
      </c>
      <c r="C667" s="3" t="s">
        <v>517</v>
      </c>
      <c r="D667" s="1" t="s">
        <v>885</v>
      </c>
      <c r="E667" s="7" t="str">
        <f t="shared" si="70"/>
        <v>GSP</v>
      </c>
      <c r="F667" s="7" t="str">
        <f t="shared" si="71"/>
        <v>MEN</v>
      </c>
      <c r="G667" s="7" t="str">
        <f t="shared" si="72"/>
        <v>POL</v>
      </c>
      <c r="H667" s="7" t="str">
        <f t="shared" si="73"/>
        <v>MAN</v>
      </c>
      <c r="I667" s="7" t="str">
        <f t="shared" si="74"/>
        <v>BBP</v>
      </c>
      <c r="J667" s="7" t="str">
        <f t="shared" si="75"/>
        <v>WHI</v>
      </c>
      <c r="K667" s="7" t="str">
        <f t="shared" si="76"/>
        <v>M</v>
      </c>
      <c r="L667" s="7" t="s">
        <v>1995</v>
      </c>
      <c r="M667" s="7" t="s">
        <v>4468</v>
      </c>
      <c r="N667" s="7">
        <f>_xlfn.XLOOKUP(A667,[1]SKU!$A:$A,[1]SKU!$Z:$Z)</f>
        <v>1090000</v>
      </c>
    </row>
    <row r="668" spans="1:14" s="7" customFormat="1">
      <c r="A668" s="1" t="s">
        <v>886</v>
      </c>
      <c r="B668" s="3" t="s">
        <v>3</v>
      </c>
      <c r="C668" s="3" t="s">
        <v>383</v>
      </c>
      <c r="D668" s="1" t="s">
        <v>887</v>
      </c>
      <c r="E668" s="7" t="str">
        <f t="shared" si="70"/>
        <v>GFI</v>
      </c>
      <c r="F668" s="7" t="str">
        <f t="shared" si="71"/>
        <v>MEN</v>
      </c>
      <c r="G668" s="7" t="str">
        <f t="shared" si="72"/>
        <v>SWL</v>
      </c>
      <c r="H668" s="7" t="str">
        <f t="shared" si="73"/>
        <v>ONE</v>
      </c>
      <c r="I668" s="7" t="str">
        <f t="shared" si="74"/>
        <v>HCT</v>
      </c>
      <c r="J668" s="7" t="str">
        <f t="shared" si="75"/>
        <v>RED</v>
      </c>
      <c r="K668" s="7" t="str">
        <f t="shared" si="76"/>
        <v>S</v>
      </c>
      <c r="L668" s="7" t="s">
        <v>2581</v>
      </c>
      <c r="M668" s="7" t="s">
        <v>4464</v>
      </c>
      <c r="N668" s="7">
        <f>_xlfn.XLOOKUP(A668,[1]SKU!$A:$A,[1]SKU!$Z:$Z)</f>
        <v>1290000</v>
      </c>
    </row>
    <row r="669" spans="1:14" s="7" customFormat="1">
      <c r="A669" s="1" t="s">
        <v>5273</v>
      </c>
      <c r="B669" s="3" t="s">
        <v>4472</v>
      </c>
      <c r="C669" s="3" t="s">
        <v>5274</v>
      </c>
      <c r="D669" s="1" t="s">
        <v>5275</v>
      </c>
      <c r="E669" s="7" t="str">
        <f t="shared" si="70"/>
        <v>LAN</v>
      </c>
      <c r="F669" s="7" t="str">
        <f t="shared" si="71"/>
        <v>UNI</v>
      </c>
      <c r="G669" s="7" t="str">
        <f t="shared" si="72"/>
        <v>HWR</v>
      </c>
      <c r="H669" s="7" t="str">
        <f t="shared" si="73"/>
        <v>SC2</v>
      </c>
      <c r="I669" s="7" t="str">
        <f t="shared" si="74"/>
        <v>HBT</v>
      </c>
      <c r="J669" s="7" t="str">
        <f t="shared" si="75"/>
        <v>ORA</v>
      </c>
      <c r="K669" s="7" t="str">
        <f t="shared" si="76"/>
        <v>60x60</v>
      </c>
      <c r="L669" s="7">
        <v>0</v>
      </c>
      <c r="M669" s="7" t="s">
        <v>2609</v>
      </c>
      <c r="N669" s="7">
        <f>_xlfn.XLOOKUP(A669,[1]SKU!$A:$A,[1]SKU!$Z:$Z)</f>
        <v>549000</v>
      </c>
    </row>
    <row r="670" spans="1:14" s="7" customFormat="1">
      <c r="A670" s="1" t="s">
        <v>888</v>
      </c>
      <c r="B670" s="3" t="s">
        <v>3</v>
      </c>
      <c r="C670" s="3" t="s">
        <v>455</v>
      </c>
      <c r="D670" s="1" t="s">
        <v>889</v>
      </c>
      <c r="E670" s="7" t="str">
        <f t="shared" si="70"/>
        <v>GOR</v>
      </c>
      <c r="F670" s="7" t="str">
        <f t="shared" si="71"/>
        <v>MEN</v>
      </c>
      <c r="G670" s="7" t="str">
        <f t="shared" si="72"/>
        <v>TSS</v>
      </c>
      <c r="H670" s="7" t="str">
        <f t="shared" si="73"/>
        <v>ONE</v>
      </c>
      <c r="I670" s="7" t="str">
        <f t="shared" si="74"/>
        <v>RTE</v>
      </c>
      <c r="J670" s="7" t="str">
        <f t="shared" si="75"/>
        <v>BLK</v>
      </c>
      <c r="K670" s="7" t="str">
        <f t="shared" si="76"/>
        <v>L</v>
      </c>
      <c r="L670" s="7" t="s">
        <v>2018</v>
      </c>
      <c r="M670" s="7" t="s">
        <v>4462</v>
      </c>
      <c r="N670" s="7">
        <f>_xlfn.XLOOKUP(A670,[1]SKU!$A:$A,[1]SKU!$Z:$Z)</f>
        <v>990000</v>
      </c>
    </row>
    <row r="671" spans="1:14" s="7" customFormat="1">
      <c r="A671" s="1" t="s">
        <v>5276</v>
      </c>
      <c r="B671" s="3" t="s">
        <v>69</v>
      </c>
      <c r="C671" s="3" t="s">
        <v>890</v>
      </c>
      <c r="D671" s="1" t="s">
        <v>5277</v>
      </c>
      <c r="E671" s="7" t="str">
        <f t="shared" si="70"/>
        <v>GCF</v>
      </c>
      <c r="F671" s="7" t="str">
        <f t="shared" si="71"/>
        <v>UNI</v>
      </c>
      <c r="G671" s="7" t="str">
        <f t="shared" si="72"/>
        <v>FNB</v>
      </c>
      <c r="H671" s="7" t="str">
        <f t="shared" si="73"/>
        <v>CFO</v>
      </c>
      <c r="I671" s="7" t="str">
        <f t="shared" si="74"/>
        <v>CAP</v>
      </c>
      <c r="J671" s="7" t="str">
        <f t="shared" si="75"/>
        <v>MIX</v>
      </c>
      <c r="K671" s="7" t="str">
        <f t="shared" si="76"/>
        <v>0</v>
      </c>
      <c r="L671" s="7">
        <v>0</v>
      </c>
      <c r="M671" s="7" t="s">
        <v>2609</v>
      </c>
      <c r="N671" s="7">
        <f>_xlfn.XLOOKUP(A671,[1]SKU!$A:$A,[1]SKU!$Z:$Z)</f>
        <v>70000</v>
      </c>
    </row>
    <row r="672" spans="1:14" s="7" customFormat="1">
      <c r="A672" s="1" t="s">
        <v>5278</v>
      </c>
      <c r="B672" s="3" t="s">
        <v>4472</v>
      </c>
      <c r="C672" s="3" t="s">
        <v>5279</v>
      </c>
      <c r="D672" s="1" t="s">
        <v>5280</v>
      </c>
      <c r="E672" s="7" t="str">
        <f t="shared" si="70"/>
        <v>RUN</v>
      </c>
      <c r="F672" s="7" t="str">
        <f t="shared" si="71"/>
        <v>UNI</v>
      </c>
      <c r="G672" s="7" t="str">
        <f t="shared" si="72"/>
        <v>FNB</v>
      </c>
      <c r="H672" s="7" t="str">
        <f t="shared" si="73"/>
        <v>CFP</v>
      </c>
      <c r="I672" s="7" t="str">
        <f t="shared" si="74"/>
        <v>SO3</v>
      </c>
      <c r="J672" s="7" t="str">
        <f t="shared" si="75"/>
        <v>NON</v>
      </c>
      <c r="K672" s="7" t="str">
        <f t="shared" si="76"/>
        <v>250g</v>
      </c>
      <c r="L672" s="7">
        <v>0</v>
      </c>
      <c r="M672" s="7" t="s">
        <v>2609</v>
      </c>
      <c r="N672" s="7">
        <f>_xlfn.XLOOKUP(A672,[1]SKU!$A:$A,[1]SKU!$Z:$Z)</f>
        <v>208000</v>
      </c>
    </row>
    <row r="673" spans="1:14" s="7" customFormat="1">
      <c r="A673" s="1" t="s">
        <v>5281</v>
      </c>
      <c r="B673" s="3" t="s">
        <v>4472</v>
      </c>
      <c r="C673" s="3" t="s">
        <v>5282</v>
      </c>
      <c r="D673" s="1" t="s">
        <v>5283</v>
      </c>
      <c r="E673" s="7" t="str">
        <f t="shared" si="70"/>
        <v>EDE</v>
      </c>
      <c r="F673" s="7" t="str">
        <f t="shared" si="71"/>
        <v>UNI</v>
      </c>
      <c r="G673" s="7" t="str">
        <f t="shared" si="72"/>
        <v>BAG</v>
      </c>
      <c r="H673" s="7" t="str">
        <f t="shared" si="73"/>
        <v>CLU</v>
      </c>
      <c r="I673" s="7" t="str">
        <f t="shared" si="74"/>
        <v>RCA</v>
      </c>
      <c r="J673" s="7" t="str">
        <f t="shared" si="75"/>
        <v>MIX</v>
      </c>
      <c r="K673" s="7" t="str">
        <f t="shared" si="76"/>
        <v>0</v>
      </c>
      <c r="L673" s="7">
        <v>0</v>
      </c>
      <c r="M673" s="7" t="s">
        <v>2609</v>
      </c>
      <c r="N673" s="7">
        <f>_xlfn.XLOOKUP(A673,[1]SKU!$A:$A,[1]SKU!$Z:$Z)</f>
        <v>310000</v>
      </c>
    </row>
    <row r="674" spans="1:14" s="7" customFormat="1">
      <c r="A674" s="1" t="s">
        <v>5284</v>
      </c>
      <c r="B674" s="3" t="s">
        <v>4472</v>
      </c>
      <c r="C674" s="3" t="s">
        <v>51</v>
      </c>
      <c r="D674" s="1" t="s">
        <v>5285</v>
      </c>
      <c r="E674" s="7" t="str">
        <f t="shared" si="70"/>
        <v>DSP</v>
      </c>
      <c r="F674" s="7" t="str">
        <f t="shared" si="71"/>
        <v>UNI</v>
      </c>
      <c r="G674" s="7" t="str">
        <f t="shared" si="72"/>
        <v>BAG</v>
      </c>
      <c r="H674" s="7" t="str">
        <f t="shared" si="73"/>
        <v>CHR</v>
      </c>
      <c r="I674" s="7" t="str">
        <f t="shared" si="74"/>
        <v>SCH</v>
      </c>
      <c r="J674" s="7" t="str">
        <f t="shared" si="75"/>
        <v>YEL</v>
      </c>
      <c r="K674" s="7" t="str">
        <f t="shared" si="76"/>
        <v>0</v>
      </c>
      <c r="L674" s="7">
        <v>0</v>
      </c>
      <c r="M674" s="7" t="s">
        <v>2609</v>
      </c>
      <c r="N674" s="7">
        <f>_xlfn.XLOOKUP(A674,[1]SKU!$A:$A,[1]SKU!$Z:$Z)</f>
        <v>1150000</v>
      </c>
    </row>
    <row r="675" spans="1:14" s="7" customFormat="1">
      <c r="A675" s="1" t="s">
        <v>891</v>
      </c>
      <c r="B675" s="3" t="s">
        <v>19</v>
      </c>
      <c r="C675" s="3" t="s">
        <v>306</v>
      </c>
      <c r="D675" s="1" t="s">
        <v>892</v>
      </c>
      <c r="E675" s="7" t="str">
        <f t="shared" si="70"/>
        <v>OTH</v>
      </c>
      <c r="F675" s="7" t="str">
        <f t="shared" si="71"/>
        <v>UNI</v>
      </c>
      <c r="G675" s="7" t="str">
        <f t="shared" si="72"/>
        <v>BAG</v>
      </c>
      <c r="H675" s="7" t="str">
        <f t="shared" si="73"/>
        <v>PCE</v>
      </c>
      <c r="I675" s="7" t="str">
        <f t="shared" si="74"/>
        <v>PCE</v>
      </c>
      <c r="J675" s="7" t="str">
        <f t="shared" si="75"/>
        <v>YEL</v>
      </c>
      <c r="K675" s="7" t="str">
        <f t="shared" si="76"/>
        <v>0</v>
      </c>
      <c r="L675" s="7">
        <v>0</v>
      </c>
      <c r="M675" s="7" t="s">
        <v>2609</v>
      </c>
      <c r="N675" s="7">
        <f>_xlfn.XLOOKUP(A675,[1]SKU!$A:$A,[1]SKU!$Z:$Z)</f>
        <v>395000</v>
      </c>
    </row>
    <row r="676" spans="1:14" s="7" customFormat="1">
      <c r="A676" s="1" t="s">
        <v>5286</v>
      </c>
      <c r="B676" s="3" t="s">
        <v>4472</v>
      </c>
      <c r="C676" s="3" t="s">
        <v>436</v>
      </c>
      <c r="D676" s="1" t="s">
        <v>5287</v>
      </c>
      <c r="E676" s="7" t="str">
        <f t="shared" si="70"/>
        <v>DSP</v>
      </c>
      <c r="F676" s="7" t="str">
        <f t="shared" si="71"/>
        <v>UNI</v>
      </c>
      <c r="G676" s="7" t="str">
        <f t="shared" si="72"/>
        <v>FWR</v>
      </c>
      <c r="H676" s="7" t="str">
        <f t="shared" si="73"/>
        <v>HDB</v>
      </c>
      <c r="I676" s="7" t="str">
        <f t="shared" si="74"/>
        <v>TAL</v>
      </c>
      <c r="J676" s="7" t="str">
        <f t="shared" si="75"/>
        <v>BUR</v>
      </c>
      <c r="K676" s="7" t="str">
        <f t="shared" si="76"/>
        <v>45</v>
      </c>
      <c r="L676" s="7">
        <v>0</v>
      </c>
      <c r="M676" s="7" t="s">
        <v>2609</v>
      </c>
      <c r="N676" s="7">
        <f>_xlfn.XLOOKUP(A676,[1]SKU!$A:$A,[1]SKU!$Z:$Z)</f>
        <v>7800000</v>
      </c>
    </row>
    <row r="677" spans="1:14" s="7" customFormat="1">
      <c r="A677" s="1" t="s">
        <v>5288</v>
      </c>
      <c r="B677" s="3" t="s">
        <v>4472</v>
      </c>
      <c r="C677" s="8" t="s">
        <v>328</v>
      </c>
      <c r="D677" s="1" t="s">
        <v>5289</v>
      </c>
      <c r="E677" s="7" t="str">
        <f t="shared" si="70"/>
        <v>DSP</v>
      </c>
      <c r="F677" s="7" t="str">
        <f t="shared" si="71"/>
        <v>UNI</v>
      </c>
      <c r="G677" s="7" t="str">
        <f t="shared" si="72"/>
        <v>SOU</v>
      </c>
      <c r="H677" s="7" t="str">
        <f t="shared" si="73"/>
        <v>SAS</v>
      </c>
      <c r="I677" s="7" t="str">
        <f t="shared" si="74"/>
        <v>WBX</v>
      </c>
      <c r="J677" s="7" t="str">
        <f t="shared" si="75"/>
        <v>GME</v>
      </c>
      <c r="K677" s="7" t="str">
        <f t="shared" si="76"/>
        <v>0</v>
      </c>
      <c r="L677" s="7">
        <v>0</v>
      </c>
      <c r="M677" s="7" t="s">
        <v>2609</v>
      </c>
      <c r="N677" s="7">
        <f>_xlfn.XLOOKUP(A677,[1]SKU!$A:$A,[1]SKU!$Z:$Z)</f>
        <v>1950000</v>
      </c>
    </row>
    <row r="678" spans="1:14" s="7" customFormat="1">
      <c r="A678" s="1" t="s">
        <v>893</v>
      </c>
      <c r="B678" s="3" t="s">
        <v>3</v>
      </c>
      <c r="C678" s="8" t="s">
        <v>311</v>
      </c>
      <c r="D678" s="1" t="s">
        <v>894</v>
      </c>
      <c r="E678" s="7" t="str">
        <f t="shared" si="70"/>
        <v>GSL</v>
      </c>
      <c r="F678" s="7" t="str">
        <f t="shared" si="71"/>
        <v>KID</v>
      </c>
      <c r="G678" s="7" t="str">
        <f t="shared" si="72"/>
        <v>TTS</v>
      </c>
      <c r="H678" s="7" t="str">
        <f t="shared" si="73"/>
        <v>ONE</v>
      </c>
      <c r="I678" s="7" t="str">
        <f t="shared" si="74"/>
        <v>GL2</v>
      </c>
      <c r="J678" s="7" t="str">
        <f t="shared" si="75"/>
        <v>RED</v>
      </c>
      <c r="K678" s="7" t="str">
        <f t="shared" si="76"/>
        <v>10</v>
      </c>
      <c r="L678" s="7" t="s">
        <v>2310</v>
      </c>
      <c r="M678" s="7" t="s">
        <v>4469</v>
      </c>
      <c r="N678" s="7">
        <f>_xlfn.XLOOKUP(A678,[1]SKU!$A:$A,[1]SKU!$Z:$Z)</f>
        <v>550000</v>
      </c>
    </row>
    <row r="679" spans="1:14" s="7" customFormat="1">
      <c r="A679" s="1" t="s">
        <v>5290</v>
      </c>
      <c r="B679" s="3" t="s">
        <v>4472</v>
      </c>
      <c r="C679" s="3" t="s">
        <v>896</v>
      </c>
      <c r="D679" s="1" t="s">
        <v>5291</v>
      </c>
      <c r="E679" s="7" t="str">
        <f t="shared" si="70"/>
        <v>SHI</v>
      </c>
      <c r="F679" s="7" t="str">
        <f t="shared" si="71"/>
        <v>UNI</v>
      </c>
      <c r="G679" s="7" t="str">
        <f t="shared" si="72"/>
        <v>FNB</v>
      </c>
      <c r="H679" s="7" t="str">
        <f t="shared" si="73"/>
        <v>CFP</v>
      </c>
      <c r="I679" s="7" t="str">
        <f t="shared" si="74"/>
        <v>P12</v>
      </c>
      <c r="J679" s="7" t="str">
        <f t="shared" si="75"/>
        <v>RED</v>
      </c>
      <c r="K679" s="7" t="str">
        <f t="shared" si="76"/>
        <v>12oz</v>
      </c>
      <c r="L679" s="7">
        <v>0</v>
      </c>
      <c r="M679" s="7" t="s">
        <v>2609</v>
      </c>
      <c r="N679" s="7">
        <f>_xlfn.XLOOKUP(A679,[1]SKU!$A:$A,[1]SKU!$Z:$Z)</f>
        <v>200000</v>
      </c>
    </row>
    <row r="680" spans="1:14" s="7" customFormat="1">
      <c r="A680" s="1" t="s">
        <v>5292</v>
      </c>
      <c r="B680" s="3" t="s">
        <v>4472</v>
      </c>
      <c r="C680" s="3" t="s">
        <v>5293</v>
      </c>
      <c r="D680" s="1" t="s">
        <v>5294</v>
      </c>
      <c r="E680" s="7" t="str">
        <f t="shared" si="70"/>
        <v>TOH</v>
      </c>
      <c r="F680" s="7" t="str">
        <f t="shared" si="71"/>
        <v>UNI</v>
      </c>
      <c r="G680" s="7" t="str">
        <f t="shared" si="72"/>
        <v>BAG</v>
      </c>
      <c r="H680" s="7" t="str">
        <f t="shared" si="73"/>
        <v>TTB</v>
      </c>
      <c r="I680" s="7" t="str">
        <f t="shared" si="74"/>
        <v>AT1</v>
      </c>
      <c r="J680" s="7" t="str">
        <f t="shared" si="75"/>
        <v>MIX</v>
      </c>
      <c r="K680" s="7" t="str">
        <f t="shared" si="76"/>
        <v>S</v>
      </c>
      <c r="L680" s="7">
        <v>0</v>
      </c>
      <c r="M680" s="7" t="s">
        <v>2609</v>
      </c>
      <c r="N680" s="7">
        <f>_xlfn.XLOOKUP(A680,[1]SKU!$A:$A,[1]SKU!$Z:$Z)</f>
        <v>210000</v>
      </c>
    </row>
    <row r="681" spans="1:14" s="7" customFormat="1">
      <c r="A681" s="1" t="s">
        <v>5295</v>
      </c>
      <c r="B681" s="3" t="s">
        <v>4472</v>
      </c>
      <c r="C681" s="3" t="s">
        <v>172</v>
      </c>
      <c r="D681" s="1" t="s">
        <v>5296</v>
      </c>
      <c r="E681" s="7" t="str">
        <f t="shared" si="70"/>
        <v>DSP</v>
      </c>
      <c r="F681" s="7" t="str">
        <f t="shared" si="71"/>
        <v>UNI</v>
      </c>
      <c r="G681" s="7" t="str">
        <f t="shared" si="72"/>
        <v>FWR</v>
      </c>
      <c r="H681" s="7" t="str">
        <f t="shared" si="73"/>
        <v>LES</v>
      </c>
      <c r="I681" s="7" t="str">
        <f t="shared" si="74"/>
        <v>ALF</v>
      </c>
      <c r="J681" s="7" t="str">
        <f t="shared" si="75"/>
        <v>CHO</v>
      </c>
      <c r="K681" s="7" t="str">
        <f t="shared" si="76"/>
        <v>38</v>
      </c>
      <c r="L681" s="7">
        <v>0</v>
      </c>
      <c r="M681" s="7" t="s">
        <v>2609</v>
      </c>
      <c r="N681" s="7">
        <f>_xlfn.XLOOKUP(A681,[1]SKU!$A:$A,[1]SKU!$Z:$Z)</f>
        <v>7800000</v>
      </c>
    </row>
    <row r="682" spans="1:14" s="7" customFormat="1">
      <c r="A682" s="1" t="s">
        <v>897</v>
      </c>
      <c r="B682" s="3" t="s">
        <v>3</v>
      </c>
      <c r="C682" s="3" t="s">
        <v>149</v>
      </c>
      <c r="D682" s="1" t="s">
        <v>898</v>
      </c>
      <c r="E682" s="7" t="str">
        <f t="shared" si="70"/>
        <v>GOR</v>
      </c>
      <c r="F682" s="7" t="str">
        <f t="shared" si="71"/>
        <v>MEN</v>
      </c>
      <c r="G682" s="7" t="str">
        <f t="shared" si="72"/>
        <v>TSS</v>
      </c>
      <c r="H682" s="7" t="str">
        <f t="shared" si="73"/>
        <v>ONE</v>
      </c>
      <c r="I682" s="7" t="str">
        <f t="shared" si="74"/>
        <v>OQR</v>
      </c>
      <c r="J682" s="7" t="str">
        <f t="shared" si="75"/>
        <v>GRE</v>
      </c>
      <c r="K682" s="7" t="str">
        <f t="shared" si="76"/>
        <v>L</v>
      </c>
      <c r="L682" s="7" t="s">
        <v>2018</v>
      </c>
      <c r="M682" s="7" t="s">
        <v>4462</v>
      </c>
      <c r="N682" s="7">
        <f>_xlfn.XLOOKUP(A682,[1]SKU!$A:$A,[1]SKU!$Z:$Z)</f>
        <v>790000</v>
      </c>
    </row>
    <row r="683" spans="1:14" s="7" customFormat="1">
      <c r="A683" s="1" t="s">
        <v>5297</v>
      </c>
      <c r="B683" s="3" t="s">
        <v>4472</v>
      </c>
      <c r="C683" s="3" t="s">
        <v>171</v>
      </c>
      <c r="D683" s="1" t="s">
        <v>5298</v>
      </c>
      <c r="E683" s="7" t="str">
        <f t="shared" si="70"/>
        <v>DSP</v>
      </c>
      <c r="F683" s="7" t="str">
        <f t="shared" si="71"/>
        <v>UNI</v>
      </c>
      <c r="G683" s="7" t="str">
        <f t="shared" si="72"/>
        <v>FWR</v>
      </c>
      <c r="H683" s="7" t="str">
        <f t="shared" si="73"/>
        <v>SLI</v>
      </c>
      <c r="I683" s="7" t="str">
        <f t="shared" si="74"/>
        <v>MAS</v>
      </c>
      <c r="J683" s="7" t="str">
        <f t="shared" si="75"/>
        <v>RED</v>
      </c>
      <c r="K683" s="7" t="str">
        <f t="shared" si="76"/>
        <v>39</v>
      </c>
      <c r="L683" s="7">
        <v>0</v>
      </c>
      <c r="M683" s="7" t="s">
        <v>2609</v>
      </c>
      <c r="N683" s="7">
        <f>_xlfn.XLOOKUP(A683,[1]SKU!$A:$A,[1]SKU!$Z:$Z)</f>
        <v>6200000</v>
      </c>
    </row>
    <row r="684" spans="1:14" s="7" customFormat="1">
      <c r="A684" s="1" t="s">
        <v>5299</v>
      </c>
      <c r="B684" s="3" t="s">
        <v>4472</v>
      </c>
      <c r="C684" s="3" t="s">
        <v>36</v>
      </c>
      <c r="D684" s="1" t="s">
        <v>5300</v>
      </c>
      <c r="E684" s="7" t="str">
        <f t="shared" si="70"/>
        <v>PSD</v>
      </c>
      <c r="F684" s="7" t="str">
        <f t="shared" si="71"/>
        <v>UNI</v>
      </c>
      <c r="G684" s="7" t="str">
        <f t="shared" si="72"/>
        <v>SOU</v>
      </c>
      <c r="H684" s="7" t="str">
        <f t="shared" si="73"/>
        <v>DEC</v>
      </c>
      <c r="I684" s="7" t="str">
        <f t="shared" si="74"/>
        <v>SIB</v>
      </c>
      <c r="J684" s="7" t="str">
        <f t="shared" si="75"/>
        <v>BRO</v>
      </c>
      <c r="K684" s="7" t="str">
        <f t="shared" si="76"/>
        <v>14</v>
      </c>
      <c r="L684" s="7">
        <v>0</v>
      </c>
      <c r="M684" s="7" t="s">
        <v>2609</v>
      </c>
      <c r="N684" s="7">
        <f>_xlfn.XLOOKUP(A684,[1]SKU!$A:$A,[1]SKU!$Z:$Z)</f>
        <v>550000</v>
      </c>
    </row>
    <row r="685" spans="1:14" s="7" customFormat="1">
      <c r="A685" s="1" t="s">
        <v>899</v>
      </c>
      <c r="B685" s="3" t="s">
        <v>3</v>
      </c>
      <c r="C685" s="3" t="s">
        <v>900</v>
      </c>
      <c r="D685" s="1" t="s">
        <v>901</v>
      </c>
      <c r="E685" s="7" t="str">
        <f t="shared" si="70"/>
        <v>GSL</v>
      </c>
      <c r="F685" s="7" t="str">
        <f t="shared" si="71"/>
        <v>WOM</v>
      </c>
      <c r="G685" s="7" t="str">
        <f t="shared" si="72"/>
        <v>TSS</v>
      </c>
      <c r="H685" s="7" t="str">
        <f t="shared" si="73"/>
        <v>VNE</v>
      </c>
      <c r="I685" s="7" t="str">
        <f t="shared" si="74"/>
        <v>GMP</v>
      </c>
      <c r="J685" s="7" t="str">
        <f t="shared" si="75"/>
        <v>WHI</v>
      </c>
      <c r="K685" s="7" t="str">
        <f t="shared" si="76"/>
        <v>M</v>
      </c>
      <c r="L685" s="7" t="s">
        <v>2018</v>
      </c>
      <c r="M685" s="7" t="s">
        <v>4462</v>
      </c>
      <c r="N685" s="7">
        <f>_xlfn.XLOOKUP(A685,[1]SKU!$A:$A,[1]SKU!$Z:$Z)</f>
        <v>750000</v>
      </c>
    </row>
    <row r="686" spans="1:14" s="7" customFormat="1">
      <c r="A686" s="1" t="s">
        <v>5301</v>
      </c>
      <c r="B686" s="3" t="s">
        <v>4472</v>
      </c>
      <c r="C686" s="3" t="s">
        <v>902</v>
      </c>
      <c r="D686" s="1" t="s">
        <v>5302</v>
      </c>
      <c r="E686" s="7" t="str">
        <f t="shared" si="70"/>
        <v>TOH</v>
      </c>
      <c r="F686" s="7" t="str">
        <f t="shared" si="71"/>
        <v>UNI</v>
      </c>
      <c r="G686" s="7" t="str">
        <f t="shared" si="72"/>
        <v>BAG</v>
      </c>
      <c r="H686" s="7" t="str">
        <f t="shared" si="73"/>
        <v>OTH</v>
      </c>
      <c r="I686" s="7" t="str">
        <f t="shared" si="74"/>
        <v>ABF</v>
      </c>
      <c r="J686" s="7" t="str">
        <f t="shared" si="75"/>
        <v>MIX</v>
      </c>
      <c r="K686" s="7" t="str">
        <f t="shared" si="76"/>
        <v>S</v>
      </c>
      <c r="L686" s="7">
        <v>0</v>
      </c>
      <c r="M686" s="7" t="s">
        <v>2609</v>
      </c>
      <c r="N686" s="7">
        <f>_xlfn.XLOOKUP(A686,[1]SKU!$A:$A,[1]SKU!$Z:$Z)</f>
        <v>240000</v>
      </c>
    </row>
    <row r="687" spans="1:14" s="7" customFormat="1">
      <c r="A687" s="1" t="s">
        <v>5303</v>
      </c>
      <c r="B687" s="3" t="s">
        <v>4472</v>
      </c>
      <c r="C687" s="3" t="s">
        <v>697</v>
      </c>
      <c r="D687" s="1" t="s">
        <v>5304</v>
      </c>
      <c r="E687" s="7" t="str">
        <f t="shared" si="70"/>
        <v>DSP</v>
      </c>
      <c r="F687" s="7" t="str">
        <f t="shared" si="71"/>
        <v>UNI</v>
      </c>
      <c r="G687" s="7" t="str">
        <f t="shared" si="72"/>
        <v>FWR</v>
      </c>
      <c r="H687" s="7" t="str">
        <f t="shared" si="73"/>
        <v>LES</v>
      </c>
      <c r="I687" s="7" t="str">
        <f t="shared" si="74"/>
        <v>LUO</v>
      </c>
      <c r="J687" s="7" t="str">
        <f t="shared" si="75"/>
        <v>SLR</v>
      </c>
      <c r="K687" s="7" t="str">
        <f t="shared" si="76"/>
        <v>43</v>
      </c>
      <c r="L687" s="7">
        <v>0</v>
      </c>
      <c r="M687" s="7" t="s">
        <v>2609</v>
      </c>
      <c r="N687" s="7">
        <f>_xlfn.XLOOKUP(A687,[1]SKU!$A:$A,[1]SKU!$Z:$Z)</f>
        <v>8250000</v>
      </c>
    </row>
    <row r="688" spans="1:14" s="7" customFormat="1">
      <c r="A688" s="1" t="s">
        <v>903</v>
      </c>
      <c r="B688" s="3" t="s">
        <v>3</v>
      </c>
      <c r="C688" s="3" t="s">
        <v>572</v>
      </c>
      <c r="D688" s="1" t="s">
        <v>904</v>
      </c>
      <c r="E688" s="7" t="str">
        <f t="shared" si="70"/>
        <v>GSU</v>
      </c>
      <c r="F688" s="7" t="str">
        <f t="shared" si="71"/>
        <v>KID</v>
      </c>
      <c r="G688" s="7" t="str">
        <f t="shared" si="72"/>
        <v>TSS</v>
      </c>
      <c r="H688" s="7" t="str">
        <f t="shared" si="73"/>
        <v>ONE</v>
      </c>
      <c r="I688" s="7" t="str">
        <f t="shared" si="74"/>
        <v>SDS</v>
      </c>
      <c r="J688" s="7" t="str">
        <f t="shared" si="75"/>
        <v>YEL</v>
      </c>
      <c r="K688" s="7" t="str">
        <f t="shared" si="76"/>
        <v>6</v>
      </c>
      <c r="L688" s="7" t="s">
        <v>2018</v>
      </c>
      <c r="M688" s="7" t="s">
        <v>4462</v>
      </c>
      <c r="N688" s="7">
        <f>_xlfn.XLOOKUP(A688,[1]SKU!$A:$A,[1]SKU!$Z:$Z)</f>
        <v>650000</v>
      </c>
    </row>
    <row r="689" spans="1:14" s="7" customFormat="1">
      <c r="A689" s="1" t="s">
        <v>905</v>
      </c>
      <c r="B689" s="3" t="s">
        <v>3</v>
      </c>
      <c r="C689" s="3" t="s">
        <v>326</v>
      </c>
      <c r="D689" s="1" t="s">
        <v>906</v>
      </c>
      <c r="E689" s="7" t="str">
        <f t="shared" si="70"/>
        <v>GCL</v>
      </c>
      <c r="F689" s="7" t="str">
        <f t="shared" si="71"/>
        <v>WOM</v>
      </c>
      <c r="G689" s="7" t="str">
        <f t="shared" si="72"/>
        <v>CRO</v>
      </c>
      <c r="H689" s="7" t="str">
        <f t="shared" si="73"/>
        <v>ONE</v>
      </c>
      <c r="I689" s="7" t="str">
        <f t="shared" si="74"/>
        <v>TMG</v>
      </c>
      <c r="J689" s="7" t="str">
        <f t="shared" si="75"/>
        <v>RED</v>
      </c>
      <c r="K689" s="7" t="str">
        <f t="shared" si="76"/>
        <v>M</v>
      </c>
      <c r="L689" s="7" t="s">
        <v>2453</v>
      </c>
      <c r="M689" s="7" t="s">
        <v>4463</v>
      </c>
      <c r="N689" s="7">
        <f>_xlfn.XLOOKUP(A689,[1]SKU!$A:$A,[1]SKU!$Z:$Z)</f>
        <v>1190000</v>
      </c>
    </row>
    <row r="690" spans="1:14" s="7" customFormat="1">
      <c r="A690" s="1" t="s">
        <v>5305</v>
      </c>
      <c r="B690" s="3" t="s">
        <v>4472</v>
      </c>
      <c r="C690" s="3" t="s">
        <v>907</v>
      </c>
      <c r="D690" s="1" t="s">
        <v>5306</v>
      </c>
      <c r="E690" s="7" t="str">
        <f t="shared" si="70"/>
        <v>MAZ</v>
      </c>
      <c r="F690" s="7" t="str">
        <f t="shared" si="71"/>
        <v>UNI</v>
      </c>
      <c r="G690" s="7" t="str">
        <f t="shared" si="72"/>
        <v>SOU</v>
      </c>
      <c r="H690" s="7" t="str">
        <f t="shared" si="73"/>
        <v>GAM</v>
      </c>
      <c r="I690" s="7" t="str">
        <f t="shared" si="74"/>
        <v>DSE</v>
      </c>
      <c r="J690" s="7" t="str">
        <f t="shared" si="75"/>
        <v>WOE</v>
      </c>
      <c r="K690" s="7" t="str">
        <f t="shared" si="76"/>
        <v>0</v>
      </c>
      <c r="L690" s="7">
        <v>0</v>
      </c>
      <c r="M690" s="7" t="s">
        <v>2609</v>
      </c>
      <c r="N690" s="7">
        <f>_xlfn.XLOOKUP(A690,[1]SKU!$A:$A,[1]SKU!$Z:$Z)</f>
        <v>650000</v>
      </c>
    </row>
    <row r="691" spans="1:14" s="7" customFormat="1">
      <c r="A691" s="1" t="s">
        <v>908</v>
      </c>
      <c r="B691" s="3" t="s">
        <v>19</v>
      </c>
      <c r="C691" s="3" t="s">
        <v>192</v>
      </c>
      <c r="D691" s="1" t="s">
        <v>909</v>
      </c>
      <c r="E691" s="7" t="str">
        <f t="shared" si="70"/>
        <v>OTH</v>
      </c>
      <c r="F691" s="7" t="str">
        <f t="shared" si="71"/>
        <v>UNI</v>
      </c>
      <c r="G691" s="7" t="str">
        <f t="shared" si="72"/>
        <v>SOU</v>
      </c>
      <c r="H691" s="7" t="str">
        <f t="shared" si="73"/>
        <v>HFS</v>
      </c>
      <c r="I691" s="7" t="str">
        <f t="shared" si="74"/>
        <v>VNM</v>
      </c>
      <c r="J691" s="7" t="str">
        <f t="shared" si="75"/>
        <v>RED</v>
      </c>
      <c r="K691" s="7" t="str">
        <f t="shared" si="76"/>
        <v>0</v>
      </c>
      <c r="L691" s="7">
        <v>0</v>
      </c>
      <c r="M691" s="7" t="s">
        <v>2609</v>
      </c>
      <c r="N691" s="7">
        <f>_xlfn.XLOOKUP(A691,[1]SKU!$A:$A,[1]SKU!$Z:$Z)</f>
        <v>355000</v>
      </c>
    </row>
    <row r="692" spans="1:14" s="7" customFormat="1">
      <c r="A692" s="1" t="s">
        <v>5307</v>
      </c>
      <c r="B692" s="3" t="s">
        <v>4472</v>
      </c>
      <c r="C692" s="3" t="s">
        <v>5308</v>
      </c>
      <c r="D692" s="1" t="s">
        <v>5309</v>
      </c>
      <c r="E692" s="7" t="str">
        <f t="shared" si="70"/>
        <v>HAM</v>
      </c>
      <c r="F692" s="7" t="str">
        <f t="shared" si="71"/>
        <v>UNI</v>
      </c>
      <c r="G692" s="7" t="str">
        <f t="shared" si="72"/>
        <v>JEW</v>
      </c>
      <c r="H692" s="7" t="str">
        <f t="shared" si="73"/>
        <v>NEC</v>
      </c>
      <c r="I692" s="7" t="str">
        <f t="shared" si="74"/>
        <v>114</v>
      </c>
      <c r="J692" s="7" t="str">
        <f t="shared" si="75"/>
        <v>MIX</v>
      </c>
      <c r="K692" s="7" t="str">
        <f t="shared" si="76"/>
        <v>0</v>
      </c>
      <c r="L692" s="7">
        <v>0</v>
      </c>
      <c r="M692" s="7" t="s">
        <v>2609</v>
      </c>
      <c r="N692" s="7">
        <f>_xlfn.XLOOKUP(A692,[1]SKU!$A:$A,[1]SKU!$Z:$Z)</f>
        <v>2500000</v>
      </c>
    </row>
    <row r="693" spans="1:14" s="7" customFormat="1">
      <c r="A693" s="1" t="s">
        <v>911</v>
      </c>
      <c r="B693" s="3" t="s">
        <v>19</v>
      </c>
      <c r="C693" s="3" t="s">
        <v>23</v>
      </c>
      <c r="D693" s="1" t="s">
        <v>912</v>
      </c>
      <c r="E693" s="7" t="str">
        <f t="shared" si="70"/>
        <v>OTH</v>
      </c>
      <c r="F693" s="7" t="str">
        <f t="shared" si="71"/>
        <v>UNI</v>
      </c>
      <c r="G693" s="7" t="str">
        <f t="shared" si="72"/>
        <v>FWR</v>
      </c>
      <c r="H693" s="7" t="str">
        <f t="shared" si="73"/>
        <v>SLI</v>
      </c>
      <c r="I693" s="7" t="str">
        <f t="shared" si="74"/>
        <v>URB</v>
      </c>
      <c r="J693" s="7" t="str">
        <f t="shared" si="75"/>
        <v>ORA</v>
      </c>
      <c r="K693" s="7" t="str">
        <f t="shared" si="76"/>
        <v>42</v>
      </c>
      <c r="L693" s="7">
        <v>0</v>
      </c>
      <c r="M693" s="7" t="s">
        <v>2609</v>
      </c>
      <c r="N693" s="7">
        <f>_xlfn.XLOOKUP(A693,[1]SKU!$A:$A,[1]SKU!$Z:$Z)</f>
        <v>395000</v>
      </c>
    </row>
    <row r="694" spans="1:14" s="7" customFormat="1">
      <c r="A694" s="1" t="s">
        <v>5310</v>
      </c>
      <c r="B694" s="3" t="s">
        <v>4472</v>
      </c>
      <c r="C694" s="3" t="s">
        <v>172</v>
      </c>
      <c r="D694" s="1" t="s">
        <v>5311</v>
      </c>
      <c r="E694" s="7" t="str">
        <f t="shared" si="70"/>
        <v>DSP</v>
      </c>
      <c r="F694" s="7" t="str">
        <f t="shared" si="71"/>
        <v>UNI</v>
      </c>
      <c r="G694" s="7" t="str">
        <f t="shared" si="72"/>
        <v>FWR</v>
      </c>
      <c r="H694" s="7" t="str">
        <f t="shared" si="73"/>
        <v>LES</v>
      </c>
      <c r="I694" s="7" t="str">
        <f t="shared" si="74"/>
        <v>ALF</v>
      </c>
      <c r="J694" s="7" t="str">
        <f t="shared" si="75"/>
        <v>RBP</v>
      </c>
      <c r="K694" s="7" t="str">
        <f t="shared" si="76"/>
        <v>47</v>
      </c>
      <c r="L694" s="7">
        <v>0</v>
      </c>
      <c r="M694" s="7" t="s">
        <v>2609</v>
      </c>
      <c r="N694" s="7">
        <f>_xlfn.XLOOKUP(A694,[1]SKU!$A:$A,[1]SKU!$Z:$Z)</f>
        <v>7800000</v>
      </c>
    </row>
    <row r="695" spans="1:14" s="7" customFormat="1">
      <c r="A695" s="1" t="s">
        <v>5312</v>
      </c>
      <c r="B695" s="3" t="s">
        <v>69</v>
      </c>
      <c r="C695" s="3" t="s">
        <v>913</v>
      </c>
      <c r="D695" s="1" t="s">
        <v>5313</v>
      </c>
      <c r="E695" s="7" t="str">
        <f t="shared" si="70"/>
        <v>GCF</v>
      </c>
      <c r="F695" s="7" t="str">
        <f t="shared" si="71"/>
        <v>UNI</v>
      </c>
      <c r="G695" s="7" t="str">
        <f t="shared" si="72"/>
        <v>FNB</v>
      </c>
      <c r="H695" s="7" t="str">
        <f t="shared" si="73"/>
        <v>CFO</v>
      </c>
      <c r="I695" s="7" t="str">
        <f t="shared" si="74"/>
        <v>MIC</v>
      </c>
      <c r="J695" s="7" t="str">
        <f t="shared" si="75"/>
        <v>MIX</v>
      </c>
      <c r="K695" s="7" t="str">
        <f t="shared" si="76"/>
        <v>0</v>
      </c>
      <c r="L695" s="7">
        <v>0</v>
      </c>
      <c r="M695" s="7" t="s">
        <v>2609</v>
      </c>
      <c r="N695" s="7">
        <f>_xlfn.XLOOKUP(A695,[1]SKU!$A:$A,[1]SKU!$Z:$Z)</f>
        <v>75000</v>
      </c>
    </row>
    <row r="696" spans="1:14" s="7" customFormat="1">
      <c r="A696" s="1" t="s">
        <v>5314</v>
      </c>
      <c r="B696" s="3" t="s">
        <v>4472</v>
      </c>
      <c r="C696" s="3" t="s">
        <v>5315</v>
      </c>
      <c r="D696" s="1" t="s">
        <v>5316</v>
      </c>
      <c r="E696" s="7" t="str">
        <f t="shared" si="70"/>
        <v>LAN</v>
      </c>
      <c r="F696" s="7" t="str">
        <f t="shared" si="71"/>
        <v>UNI</v>
      </c>
      <c r="G696" s="7" t="str">
        <f t="shared" si="72"/>
        <v>HWR</v>
      </c>
      <c r="H696" s="7" t="str">
        <f t="shared" si="73"/>
        <v>SC2</v>
      </c>
      <c r="I696" s="7" t="str">
        <f t="shared" si="74"/>
        <v>TAN</v>
      </c>
      <c r="J696" s="7" t="str">
        <f t="shared" si="75"/>
        <v>PIN</v>
      </c>
      <c r="K696" s="7" t="str">
        <f t="shared" si="76"/>
        <v>60x60</v>
      </c>
      <c r="L696" s="7">
        <v>0</v>
      </c>
      <c r="M696" s="7" t="s">
        <v>2609</v>
      </c>
      <c r="N696" s="7">
        <f>_xlfn.XLOOKUP(A696,[1]SKU!$A:$A,[1]SKU!$Z:$Z)</f>
        <v>549000</v>
      </c>
    </row>
    <row r="697" spans="1:14" s="7" customFormat="1">
      <c r="A697" s="1" t="s">
        <v>5317</v>
      </c>
      <c r="B697" s="3" t="s">
        <v>4472</v>
      </c>
      <c r="C697" s="3" t="s">
        <v>5318</v>
      </c>
      <c r="D697" s="1" t="s">
        <v>5319</v>
      </c>
      <c r="E697" s="7" t="str">
        <f t="shared" si="70"/>
        <v>LAN</v>
      </c>
      <c r="F697" s="7" t="str">
        <f t="shared" si="71"/>
        <v>UNI</v>
      </c>
      <c r="G697" s="7" t="str">
        <f t="shared" si="72"/>
        <v>HWR</v>
      </c>
      <c r="H697" s="7" t="str">
        <f t="shared" si="73"/>
        <v>SC2</v>
      </c>
      <c r="I697" s="7" t="str">
        <f t="shared" si="74"/>
        <v>SDT</v>
      </c>
      <c r="J697" s="7" t="str">
        <f t="shared" si="75"/>
        <v>PIN</v>
      </c>
      <c r="K697" s="7" t="str">
        <f t="shared" si="76"/>
        <v>60x60</v>
      </c>
      <c r="L697" s="7">
        <v>0</v>
      </c>
      <c r="M697" s="7" t="s">
        <v>2609</v>
      </c>
      <c r="N697" s="7">
        <f>_xlfn.XLOOKUP(A697,[1]SKU!$A:$A,[1]SKU!$Z:$Z)</f>
        <v>549000</v>
      </c>
    </row>
    <row r="698" spans="1:14" s="7" customFormat="1">
      <c r="A698" s="1" t="s">
        <v>5320</v>
      </c>
      <c r="B698" s="3" t="s">
        <v>4472</v>
      </c>
      <c r="C698" s="3" t="s">
        <v>5321</v>
      </c>
      <c r="D698" s="1" t="s">
        <v>5322</v>
      </c>
      <c r="E698" s="7" t="str">
        <f t="shared" si="70"/>
        <v>HAM</v>
      </c>
      <c r="F698" s="7" t="str">
        <f t="shared" si="71"/>
        <v>UNI</v>
      </c>
      <c r="G698" s="7" t="str">
        <f t="shared" si="72"/>
        <v>JEW</v>
      </c>
      <c r="H698" s="7" t="str">
        <f t="shared" si="73"/>
        <v>NEC</v>
      </c>
      <c r="I698" s="7" t="str">
        <f t="shared" si="74"/>
        <v>D60</v>
      </c>
      <c r="J698" s="7" t="str">
        <f t="shared" si="75"/>
        <v>MIX</v>
      </c>
      <c r="K698" s="7" t="str">
        <f t="shared" si="76"/>
        <v>0</v>
      </c>
      <c r="L698" s="7">
        <v>0</v>
      </c>
      <c r="M698" s="7" t="s">
        <v>2609</v>
      </c>
      <c r="N698" s="7">
        <f>_xlfn.XLOOKUP(A698,[1]SKU!$A:$A,[1]SKU!$Z:$Z)</f>
        <v>2200000</v>
      </c>
    </row>
    <row r="699" spans="1:14" s="7" customFormat="1">
      <c r="A699" s="1" t="s">
        <v>5323</v>
      </c>
      <c r="B699" s="3" t="s">
        <v>4472</v>
      </c>
      <c r="C699" s="3" t="s">
        <v>5324</v>
      </c>
      <c r="D699" s="1" t="s">
        <v>5325</v>
      </c>
      <c r="E699" s="7" t="str">
        <f t="shared" si="70"/>
        <v>EDE</v>
      </c>
      <c r="F699" s="7" t="str">
        <f t="shared" si="71"/>
        <v>UNI</v>
      </c>
      <c r="G699" s="7" t="str">
        <f t="shared" si="72"/>
        <v>HDR</v>
      </c>
      <c r="H699" s="7" t="str">
        <f t="shared" si="73"/>
        <v>CUS</v>
      </c>
      <c r="I699" s="7" t="str">
        <f t="shared" si="74"/>
        <v>MIX</v>
      </c>
      <c r="J699" s="7" t="str">
        <f t="shared" si="75"/>
        <v>MIX</v>
      </c>
      <c r="K699" s="7" t="str">
        <f t="shared" si="76"/>
        <v>0</v>
      </c>
      <c r="L699" s="7">
        <v>0</v>
      </c>
      <c r="M699" s="7" t="s">
        <v>2609</v>
      </c>
      <c r="N699" s="7">
        <f>_xlfn.XLOOKUP(A699,[1]SKU!$A:$A,[1]SKU!$Z:$Z)</f>
        <v>480000</v>
      </c>
    </row>
    <row r="700" spans="1:14" s="7" customFormat="1">
      <c r="A700" s="1" t="s">
        <v>5326</v>
      </c>
      <c r="B700" s="3" t="s">
        <v>4481</v>
      </c>
      <c r="C700" s="3">
        <v>19</v>
      </c>
      <c r="D700" s="1" t="s">
        <v>5327</v>
      </c>
      <c r="E700" s="7" t="str">
        <f t="shared" si="70"/>
        <v>PAS</v>
      </c>
      <c r="F700" s="7" t="str">
        <f t="shared" si="71"/>
        <v>UNI</v>
      </c>
      <c r="G700" s="7" t="str">
        <f t="shared" si="72"/>
        <v>ART</v>
      </c>
      <c r="H700" s="7" t="str">
        <f t="shared" si="73"/>
        <v>ART</v>
      </c>
      <c r="I700" s="7" t="str">
        <f t="shared" si="74"/>
        <v>019</v>
      </c>
      <c r="J700" s="7" t="str">
        <f t="shared" si="75"/>
        <v>MIX</v>
      </c>
      <c r="K700" s="7" t="str">
        <f t="shared" si="76"/>
        <v>A2</v>
      </c>
      <c r="L700" s="7">
        <v>0</v>
      </c>
      <c r="M700" s="7" t="s">
        <v>2609</v>
      </c>
      <c r="N700" s="7">
        <f>_xlfn.XLOOKUP(A700,[1]SKU!$A:$A,[1]SKU!$Z:$Z)</f>
        <v>6000000</v>
      </c>
    </row>
    <row r="701" spans="1:14" s="7" customFormat="1">
      <c r="A701" s="1" t="s">
        <v>5328</v>
      </c>
      <c r="B701" s="3" t="s">
        <v>4472</v>
      </c>
      <c r="C701" s="3" t="s">
        <v>100</v>
      </c>
      <c r="D701" s="1" t="s">
        <v>5329</v>
      </c>
      <c r="E701" s="7" t="str">
        <f t="shared" si="70"/>
        <v>PSD</v>
      </c>
      <c r="F701" s="7" t="str">
        <f t="shared" si="71"/>
        <v>UNI</v>
      </c>
      <c r="G701" s="7" t="str">
        <f t="shared" si="72"/>
        <v>SOU</v>
      </c>
      <c r="H701" s="7" t="str">
        <f t="shared" si="73"/>
        <v>DEC</v>
      </c>
      <c r="I701" s="7" t="str">
        <f t="shared" si="74"/>
        <v>LBA</v>
      </c>
      <c r="J701" s="7" t="str">
        <f t="shared" si="75"/>
        <v>CRE</v>
      </c>
      <c r="K701" s="7" t="str">
        <f t="shared" si="76"/>
        <v>56</v>
      </c>
      <c r="L701" s="7">
        <v>0</v>
      </c>
      <c r="M701" s="7" t="s">
        <v>2609</v>
      </c>
      <c r="N701" s="7">
        <f>_xlfn.XLOOKUP(A701,[1]SKU!$A:$A,[1]SKU!$Z:$Z)</f>
        <v>3650000</v>
      </c>
    </row>
    <row r="702" spans="1:14" s="7" customFormat="1">
      <c r="A702" s="1" t="s">
        <v>5330</v>
      </c>
      <c r="B702" s="3" t="s">
        <v>4472</v>
      </c>
      <c r="C702" s="3" t="s">
        <v>196</v>
      </c>
      <c r="D702" s="1" t="s">
        <v>5331</v>
      </c>
      <c r="E702" s="7" t="str">
        <f t="shared" si="70"/>
        <v>DSP</v>
      </c>
      <c r="F702" s="7" t="str">
        <f t="shared" si="71"/>
        <v>UNI</v>
      </c>
      <c r="G702" s="7" t="str">
        <f t="shared" si="72"/>
        <v>BAG</v>
      </c>
      <c r="H702" s="7" t="str">
        <f t="shared" si="73"/>
        <v>CCR</v>
      </c>
      <c r="I702" s="7" t="str">
        <f t="shared" si="74"/>
        <v>AZP</v>
      </c>
      <c r="J702" s="7" t="str">
        <f t="shared" si="75"/>
        <v>BSY</v>
      </c>
      <c r="K702" s="7" t="str">
        <f t="shared" si="76"/>
        <v>0</v>
      </c>
      <c r="L702" s="7">
        <v>0</v>
      </c>
      <c r="M702" s="7" t="s">
        <v>2609</v>
      </c>
      <c r="N702" s="7">
        <f>_xlfn.XLOOKUP(A702,[1]SKU!$A:$A,[1]SKU!$Z:$Z)</f>
        <v>2300000</v>
      </c>
    </row>
    <row r="703" spans="1:14" s="7" customFormat="1">
      <c r="A703" s="1" t="s">
        <v>5332</v>
      </c>
      <c r="B703" s="3" t="s">
        <v>4472</v>
      </c>
      <c r="C703" s="3" t="s">
        <v>40</v>
      </c>
      <c r="D703" s="1" t="s">
        <v>5333</v>
      </c>
      <c r="E703" s="7" t="str">
        <f t="shared" si="70"/>
        <v>DSP</v>
      </c>
      <c r="F703" s="7" t="str">
        <f t="shared" si="71"/>
        <v>UNI</v>
      </c>
      <c r="G703" s="7" t="str">
        <f t="shared" si="72"/>
        <v>FWR</v>
      </c>
      <c r="H703" s="7" t="str">
        <f t="shared" si="73"/>
        <v>FLA</v>
      </c>
      <c r="I703" s="7" t="str">
        <f t="shared" si="74"/>
        <v>CO1</v>
      </c>
      <c r="J703" s="7" t="str">
        <f t="shared" si="75"/>
        <v>CRE</v>
      </c>
      <c r="K703" s="7" t="str">
        <f t="shared" si="76"/>
        <v>37</v>
      </c>
      <c r="L703" s="7">
        <v>0</v>
      </c>
      <c r="M703" s="7" t="s">
        <v>2609</v>
      </c>
      <c r="N703" s="7">
        <f>_xlfn.XLOOKUP(A703,[1]SKU!$A:$A,[1]SKU!$Z:$Z)</f>
        <v>5950000</v>
      </c>
    </row>
    <row r="704" spans="1:14" s="7" customFormat="1">
      <c r="A704" s="1" t="s">
        <v>5334</v>
      </c>
      <c r="B704" s="3" t="s">
        <v>4472</v>
      </c>
      <c r="C704" s="3" t="s">
        <v>5335</v>
      </c>
      <c r="D704" s="1" t="s">
        <v>5336</v>
      </c>
      <c r="E704" s="7" t="str">
        <f t="shared" si="70"/>
        <v>EDE</v>
      </c>
      <c r="F704" s="7" t="str">
        <f t="shared" si="71"/>
        <v>UNI</v>
      </c>
      <c r="G704" s="7" t="str">
        <f t="shared" si="72"/>
        <v>BAG</v>
      </c>
      <c r="H704" s="7" t="str">
        <f t="shared" si="73"/>
        <v>CLU</v>
      </c>
      <c r="I704" s="7" t="str">
        <f t="shared" si="74"/>
        <v>MIX</v>
      </c>
      <c r="J704" s="7" t="str">
        <f t="shared" si="75"/>
        <v>MIX</v>
      </c>
      <c r="K704" s="7" t="str">
        <f t="shared" si="76"/>
        <v>L</v>
      </c>
      <c r="L704" s="7">
        <v>0</v>
      </c>
      <c r="M704" s="7" t="s">
        <v>2609</v>
      </c>
      <c r="N704" s="7">
        <f>_xlfn.XLOOKUP(A704,[1]SKU!$A:$A,[1]SKU!$Z:$Z)</f>
        <v>395000</v>
      </c>
    </row>
    <row r="705" spans="1:14" s="7" customFormat="1">
      <c r="A705" s="1" t="s">
        <v>915</v>
      </c>
      <c r="B705" s="3" t="s">
        <v>3</v>
      </c>
      <c r="C705" s="3" t="s">
        <v>92</v>
      </c>
      <c r="D705" s="1" t="s">
        <v>916</v>
      </c>
      <c r="E705" s="7" t="str">
        <f t="shared" si="70"/>
        <v>GFI</v>
      </c>
      <c r="F705" s="7" t="str">
        <f t="shared" si="71"/>
        <v>MEN</v>
      </c>
      <c r="G705" s="7" t="str">
        <f t="shared" si="72"/>
        <v>HLS</v>
      </c>
      <c r="H705" s="7" t="str">
        <f t="shared" si="73"/>
        <v>ONE</v>
      </c>
      <c r="I705" s="7" t="str">
        <f t="shared" si="74"/>
        <v>SVR</v>
      </c>
      <c r="J705" s="7" t="str">
        <f t="shared" si="75"/>
        <v>WHI</v>
      </c>
      <c r="K705" s="7" t="str">
        <f t="shared" si="76"/>
        <v>S</v>
      </c>
      <c r="L705" s="7" t="s">
        <v>2494</v>
      </c>
      <c r="M705" s="7" t="s">
        <v>4466</v>
      </c>
      <c r="N705" s="7">
        <f>_xlfn.XLOOKUP(A705,[1]SKU!$A:$A,[1]SKU!$Z:$Z)</f>
        <v>1590000</v>
      </c>
    </row>
    <row r="706" spans="1:14" s="7" customFormat="1">
      <c r="A706" s="1" t="s">
        <v>917</v>
      </c>
      <c r="B706" s="3" t="s">
        <v>3</v>
      </c>
      <c r="C706" s="3" t="s">
        <v>326</v>
      </c>
      <c r="D706" s="1" t="s">
        <v>918</v>
      </c>
      <c r="E706" s="7" t="str">
        <f t="shared" si="70"/>
        <v>GCL</v>
      </c>
      <c r="F706" s="7" t="str">
        <f t="shared" si="71"/>
        <v>WOM</v>
      </c>
      <c r="G706" s="7" t="str">
        <f t="shared" si="72"/>
        <v>CRO</v>
      </c>
      <c r="H706" s="7" t="str">
        <f t="shared" si="73"/>
        <v>ONE</v>
      </c>
      <c r="I706" s="7" t="str">
        <f t="shared" si="74"/>
        <v>TMG</v>
      </c>
      <c r="J706" s="7" t="str">
        <f t="shared" si="75"/>
        <v>RED</v>
      </c>
      <c r="K706" s="7" t="str">
        <f t="shared" si="76"/>
        <v>S</v>
      </c>
      <c r="L706" s="7" t="s">
        <v>2453</v>
      </c>
      <c r="M706" s="7" t="s">
        <v>4463</v>
      </c>
      <c r="N706" s="7">
        <f>_xlfn.XLOOKUP(A706,[1]SKU!$A:$A,[1]SKU!$Z:$Z)</f>
        <v>1190000</v>
      </c>
    </row>
    <row r="707" spans="1:14" s="7" customFormat="1">
      <c r="A707" s="1" t="s">
        <v>5337</v>
      </c>
      <c r="B707" s="3" t="s">
        <v>4472</v>
      </c>
      <c r="C707" s="3" t="s">
        <v>637</v>
      </c>
      <c r="D707" s="1" t="s">
        <v>5338</v>
      </c>
      <c r="E707" s="7" t="str">
        <f t="shared" ref="E707:E961" si="77">_xlfn.TEXTBEFORE(_xlfn.TEXTAFTER(D707,"-"),"-")</f>
        <v>DSP</v>
      </c>
      <c r="F707" s="7" t="str">
        <f t="shared" ref="F707:F731" si="78">_xlfn.TEXTBEFORE(_xlfn.TEXTAFTER(D707,"-",2),"-")</f>
        <v>UNI</v>
      </c>
      <c r="G707" s="7" t="str">
        <f t="shared" ref="G707:G731" si="79">_xlfn.TEXTBEFORE(_xlfn.TEXTAFTER(D707,"-",3),"-")</f>
        <v>BAG</v>
      </c>
      <c r="H707" s="7" t="str">
        <f t="shared" ref="H707:H731" si="80">_xlfn.TEXTBEFORE(_xlfn.TEXTAFTER(D707,"-",4),"-")</f>
        <v>HDB</v>
      </c>
      <c r="I707" s="7" t="str">
        <f t="shared" ref="I707:I731" si="81">_xlfn.TEXTBEFORE(_xlfn.TEXTAFTER(D707,"-",5),"-")</f>
        <v>GA1</v>
      </c>
      <c r="J707" s="7" t="str">
        <f t="shared" ref="J707:J731" si="82">_xlfn.TEXTBEFORE(_xlfn.TEXTAFTER(D707,"-",6),"-")</f>
        <v>BLK</v>
      </c>
      <c r="K707" s="7" t="str">
        <f t="shared" ref="K707:K731" si="83">_xlfn.TEXTAFTER(D707,"-",7)</f>
        <v>0</v>
      </c>
      <c r="L707" s="7">
        <v>0</v>
      </c>
      <c r="M707" s="7" t="s">
        <v>2609</v>
      </c>
      <c r="N707" s="7">
        <f>_xlfn.XLOOKUP(A707,[1]SKU!$A:$A,[1]SKU!$Z:$Z)</f>
        <v>8690000</v>
      </c>
    </row>
    <row r="708" spans="1:14" s="7" customFormat="1">
      <c r="A708" s="1" t="s">
        <v>919</v>
      </c>
      <c r="B708" s="3" t="s">
        <v>3</v>
      </c>
      <c r="C708" s="3" t="s">
        <v>113</v>
      </c>
      <c r="D708" s="1" t="s">
        <v>920</v>
      </c>
      <c r="E708" s="7" t="str">
        <f t="shared" si="77"/>
        <v>GCL</v>
      </c>
      <c r="F708" s="7" t="str">
        <f t="shared" si="78"/>
        <v>WOM</v>
      </c>
      <c r="G708" s="7" t="str">
        <f t="shared" si="79"/>
        <v>CRO</v>
      </c>
      <c r="H708" s="7" t="str">
        <f t="shared" si="80"/>
        <v>ONE</v>
      </c>
      <c r="I708" s="7" t="str">
        <f t="shared" si="81"/>
        <v>TCS</v>
      </c>
      <c r="J708" s="7" t="str">
        <f t="shared" si="82"/>
        <v>WHI</v>
      </c>
      <c r="K708" s="7" t="str">
        <f t="shared" si="83"/>
        <v>S</v>
      </c>
      <c r="L708" s="7" t="s">
        <v>2453</v>
      </c>
      <c r="M708" s="7" t="s">
        <v>4463</v>
      </c>
      <c r="N708" s="7">
        <f>_xlfn.XLOOKUP(A708,[1]SKU!$A:$A,[1]SKU!$Z:$Z)</f>
        <v>1190000</v>
      </c>
    </row>
    <row r="709" spans="1:14" s="7" customFormat="1">
      <c r="A709" s="1" t="s">
        <v>5339</v>
      </c>
      <c r="B709" s="3" t="s">
        <v>4472</v>
      </c>
      <c r="C709" s="3" t="s">
        <v>141</v>
      </c>
      <c r="D709" s="1" t="s">
        <v>5340</v>
      </c>
      <c r="E709" s="7" t="str">
        <f t="shared" si="77"/>
        <v>DSP</v>
      </c>
      <c r="F709" s="7" t="str">
        <f t="shared" si="78"/>
        <v>UNI</v>
      </c>
      <c r="G709" s="7" t="str">
        <f t="shared" si="79"/>
        <v>BAG</v>
      </c>
      <c r="H709" s="7" t="str">
        <f t="shared" si="80"/>
        <v>CLU</v>
      </c>
      <c r="I709" s="7" t="str">
        <f t="shared" si="81"/>
        <v>CEZ</v>
      </c>
      <c r="J709" s="7" t="str">
        <f t="shared" si="82"/>
        <v>BLK</v>
      </c>
      <c r="K709" s="7" t="str">
        <f t="shared" si="83"/>
        <v>0</v>
      </c>
      <c r="L709" s="7">
        <v>0</v>
      </c>
      <c r="M709" s="7" t="s">
        <v>2609</v>
      </c>
      <c r="N709" s="7">
        <f>_xlfn.XLOOKUP(A709,[1]SKU!$A:$A,[1]SKU!$Z:$Z)</f>
        <v>2850000</v>
      </c>
    </row>
    <row r="710" spans="1:14" s="7" customFormat="1">
      <c r="A710" s="1" t="s">
        <v>921</v>
      </c>
      <c r="B710" s="3" t="s">
        <v>3</v>
      </c>
      <c r="C710" s="3" t="s">
        <v>38</v>
      </c>
      <c r="D710" s="1" t="s">
        <v>922</v>
      </c>
      <c r="E710" s="7" t="str">
        <f t="shared" si="77"/>
        <v>GBA</v>
      </c>
      <c r="F710" s="7" t="str">
        <f t="shared" si="78"/>
        <v>MEN</v>
      </c>
      <c r="G710" s="7" t="str">
        <f t="shared" si="79"/>
        <v>TSS</v>
      </c>
      <c r="H710" s="7" t="str">
        <f t="shared" si="80"/>
        <v>ONE</v>
      </c>
      <c r="I710" s="7" t="str">
        <f t="shared" si="81"/>
        <v>LOG</v>
      </c>
      <c r="J710" s="7" t="str">
        <f t="shared" si="82"/>
        <v>JBG</v>
      </c>
      <c r="K710" s="7" t="str">
        <f t="shared" si="83"/>
        <v>S</v>
      </c>
      <c r="L710" s="7" t="s">
        <v>2018</v>
      </c>
      <c r="M710" s="7" t="s">
        <v>4462</v>
      </c>
      <c r="N710" s="7">
        <f>_xlfn.XLOOKUP(A710,[1]SKU!$A:$A,[1]SKU!$Z:$Z)</f>
        <v>710000</v>
      </c>
    </row>
    <row r="711" spans="1:14" s="7" customFormat="1">
      <c r="A711" s="1" t="s">
        <v>5341</v>
      </c>
      <c r="B711" s="3" t="s">
        <v>4472</v>
      </c>
      <c r="C711" s="3" t="s">
        <v>5342</v>
      </c>
      <c r="D711" s="1" t="s">
        <v>5343</v>
      </c>
      <c r="E711" s="7" t="str">
        <f t="shared" si="77"/>
        <v>HAM</v>
      </c>
      <c r="F711" s="7" t="str">
        <f t="shared" si="78"/>
        <v>UNI</v>
      </c>
      <c r="G711" s="7" t="str">
        <f t="shared" si="79"/>
        <v>JEW</v>
      </c>
      <c r="H711" s="7" t="str">
        <f t="shared" si="80"/>
        <v>NEC</v>
      </c>
      <c r="I711" s="7" t="str">
        <f t="shared" si="81"/>
        <v>096</v>
      </c>
      <c r="J711" s="7" t="str">
        <f t="shared" si="82"/>
        <v>MIX</v>
      </c>
      <c r="K711" s="7" t="str">
        <f t="shared" si="83"/>
        <v>0</v>
      </c>
      <c r="L711" s="7">
        <v>0</v>
      </c>
      <c r="M711" s="7" t="s">
        <v>2609</v>
      </c>
      <c r="N711" s="7">
        <f>_xlfn.XLOOKUP(A711,[1]SKU!$A:$A,[1]SKU!$Z:$Z)</f>
        <v>4400000</v>
      </c>
    </row>
    <row r="712" spans="1:14" s="7" customFormat="1">
      <c r="A712" s="1" t="s">
        <v>5344</v>
      </c>
      <c r="B712" s="3" t="s">
        <v>4472</v>
      </c>
      <c r="C712" s="3" t="s">
        <v>924</v>
      </c>
      <c r="D712" s="1" t="s">
        <v>5345</v>
      </c>
      <c r="E712" s="7" t="str">
        <f t="shared" si="77"/>
        <v>DSP</v>
      </c>
      <c r="F712" s="7" t="str">
        <f t="shared" si="78"/>
        <v>UNI</v>
      </c>
      <c r="G712" s="7" t="str">
        <f t="shared" si="79"/>
        <v>BAG</v>
      </c>
      <c r="H712" s="7" t="str">
        <f t="shared" si="80"/>
        <v>HDB</v>
      </c>
      <c r="I712" s="7" t="str">
        <f t="shared" si="81"/>
        <v>SH1</v>
      </c>
      <c r="J712" s="7" t="str">
        <f t="shared" si="82"/>
        <v>BUR</v>
      </c>
      <c r="K712" s="7" t="str">
        <f t="shared" si="83"/>
        <v>0</v>
      </c>
      <c r="L712" s="7">
        <v>0</v>
      </c>
      <c r="M712" s="7" t="s">
        <v>2609</v>
      </c>
      <c r="N712" s="7">
        <f>_xlfn.XLOOKUP(A712,[1]SKU!$A:$A,[1]SKU!$Z:$Z)</f>
        <v>4650000</v>
      </c>
    </row>
    <row r="713" spans="1:14" s="7" customFormat="1">
      <c r="A713" s="1" t="s">
        <v>925</v>
      </c>
      <c r="B713" s="3" t="s">
        <v>3</v>
      </c>
      <c r="C713" s="3" t="s">
        <v>45</v>
      </c>
      <c r="D713" s="1" t="s">
        <v>926</v>
      </c>
      <c r="E713" s="7" t="str">
        <f t="shared" si="77"/>
        <v>GBA</v>
      </c>
      <c r="F713" s="7" t="str">
        <f t="shared" si="78"/>
        <v>MEN</v>
      </c>
      <c r="G713" s="7" t="str">
        <f t="shared" si="79"/>
        <v>TSS</v>
      </c>
      <c r="H713" s="7" t="str">
        <f t="shared" si="80"/>
        <v>ONE</v>
      </c>
      <c r="I713" s="7" t="str">
        <f t="shared" si="81"/>
        <v>DDU</v>
      </c>
      <c r="J713" s="7" t="str">
        <f t="shared" si="82"/>
        <v>GPE</v>
      </c>
      <c r="K713" s="7" t="str">
        <f t="shared" si="83"/>
        <v>M</v>
      </c>
      <c r="L713" s="7" t="s">
        <v>2018</v>
      </c>
      <c r="M713" s="7" t="s">
        <v>4462</v>
      </c>
      <c r="N713" s="7">
        <f>_xlfn.XLOOKUP(A713,[1]SKU!$A:$A,[1]SKU!$Z:$Z)</f>
        <v>710000</v>
      </c>
    </row>
    <row r="714" spans="1:14" s="7" customFormat="1">
      <c r="A714" s="1" t="s">
        <v>5346</v>
      </c>
      <c r="B714" s="3" t="s">
        <v>4472</v>
      </c>
      <c r="C714" s="3" t="s">
        <v>5347</v>
      </c>
      <c r="D714" s="1" t="s">
        <v>5348</v>
      </c>
      <c r="E714" s="7" t="str">
        <f t="shared" si="77"/>
        <v>EDE</v>
      </c>
      <c r="F714" s="7" t="str">
        <f t="shared" si="78"/>
        <v>UNI</v>
      </c>
      <c r="G714" s="7" t="str">
        <f t="shared" si="79"/>
        <v>HDR</v>
      </c>
      <c r="H714" s="7" t="str">
        <f t="shared" si="80"/>
        <v>CUS</v>
      </c>
      <c r="I714" s="7" t="str">
        <f t="shared" si="81"/>
        <v>DAO</v>
      </c>
      <c r="J714" s="7" t="str">
        <f t="shared" si="82"/>
        <v>BLU</v>
      </c>
      <c r="K714" s="7" t="str">
        <f t="shared" si="83"/>
        <v>0</v>
      </c>
      <c r="L714" s="7">
        <v>0</v>
      </c>
      <c r="M714" s="7" t="s">
        <v>2609</v>
      </c>
      <c r="N714" s="7">
        <f>_xlfn.XLOOKUP(A714,[1]SKU!$A:$A,[1]SKU!$Z:$Z)</f>
        <v>480000</v>
      </c>
    </row>
    <row r="715" spans="1:14" s="7" customFormat="1">
      <c r="A715" s="1" t="s">
        <v>927</v>
      </c>
      <c r="B715" s="3" t="s">
        <v>19</v>
      </c>
      <c r="C715" s="3" t="s">
        <v>928</v>
      </c>
      <c r="D715" s="1" t="s">
        <v>929</v>
      </c>
      <c r="E715" s="7" t="str">
        <f t="shared" si="77"/>
        <v>OTH</v>
      </c>
      <c r="F715" s="7" t="str">
        <f t="shared" si="78"/>
        <v>UNI</v>
      </c>
      <c r="G715" s="7" t="str">
        <f t="shared" si="79"/>
        <v>SOU</v>
      </c>
      <c r="H715" s="7" t="str">
        <f t="shared" si="80"/>
        <v>NBP</v>
      </c>
      <c r="I715" s="7" t="str">
        <f t="shared" si="81"/>
        <v>FLA</v>
      </c>
      <c r="J715" s="7" t="str">
        <f t="shared" si="82"/>
        <v>WHI</v>
      </c>
      <c r="K715" s="7" t="str">
        <f t="shared" si="83"/>
        <v>A5</v>
      </c>
      <c r="L715" s="7">
        <v>0</v>
      </c>
      <c r="M715" s="7" t="s">
        <v>2609</v>
      </c>
      <c r="N715" s="7">
        <f>_xlfn.XLOOKUP(A715,[1]SKU!$A:$A,[1]SKU!$Z:$Z)</f>
        <v>255000</v>
      </c>
    </row>
    <row r="716" spans="1:14" s="7" customFormat="1">
      <c r="A716" s="1" t="s">
        <v>5349</v>
      </c>
      <c r="B716" s="3" t="s">
        <v>4472</v>
      </c>
      <c r="C716" s="3" t="s">
        <v>4516</v>
      </c>
      <c r="D716" s="1" t="s">
        <v>5350</v>
      </c>
      <c r="E716" s="7" t="str">
        <f t="shared" si="77"/>
        <v>DSP</v>
      </c>
      <c r="F716" s="7" t="str">
        <f t="shared" si="78"/>
        <v>UNI</v>
      </c>
      <c r="G716" s="7" t="str">
        <f t="shared" si="79"/>
        <v>BAG</v>
      </c>
      <c r="H716" s="7" t="str">
        <f t="shared" si="80"/>
        <v>HDB</v>
      </c>
      <c r="I716" s="7" t="str">
        <f t="shared" si="81"/>
        <v>ABG</v>
      </c>
      <c r="J716" s="7" t="str">
        <f t="shared" si="82"/>
        <v>LPA</v>
      </c>
      <c r="K716" s="7" t="str">
        <f t="shared" si="83"/>
        <v>L</v>
      </c>
      <c r="L716" s="7">
        <v>0</v>
      </c>
      <c r="M716" s="7" t="s">
        <v>2609</v>
      </c>
      <c r="N716" s="7">
        <f>_xlfn.XLOOKUP(A716,[1]SKU!$A:$A,[1]SKU!$Z:$Z)</f>
        <v>4800000</v>
      </c>
    </row>
    <row r="717" spans="1:14" s="7" customFormat="1">
      <c r="A717" s="1" t="s">
        <v>930</v>
      </c>
      <c r="B717" s="3" t="s">
        <v>3</v>
      </c>
      <c r="C717" s="3" t="s">
        <v>447</v>
      </c>
      <c r="D717" s="1" t="s">
        <v>931</v>
      </c>
      <c r="E717" s="7" t="str">
        <f t="shared" si="77"/>
        <v>GBA</v>
      </c>
      <c r="F717" s="7" t="str">
        <f t="shared" si="78"/>
        <v>MEN</v>
      </c>
      <c r="G717" s="7" t="str">
        <f t="shared" si="79"/>
        <v>TSS</v>
      </c>
      <c r="H717" s="7" t="str">
        <f t="shared" si="80"/>
        <v>ONE</v>
      </c>
      <c r="I717" s="7" t="str">
        <f t="shared" si="81"/>
        <v>GVT</v>
      </c>
      <c r="J717" s="7" t="str">
        <f t="shared" si="82"/>
        <v>WHI</v>
      </c>
      <c r="K717" s="7" t="str">
        <f t="shared" si="83"/>
        <v>XL</v>
      </c>
      <c r="L717" s="7" t="s">
        <v>2018</v>
      </c>
      <c r="M717" s="7" t="s">
        <v>4462</v>
      </c>
      <c r="N717" s="7">
        <f>_xlfn.XLOOKUP(A717,[1]SKU!$A:$A,[1]SKU!$Z:$Z)</f>
        <v>710000</v>
      </c>
    </row>
    <row r="718" spans="1:14" s="7" customFormat="1">
      <c r="A718" s="1" t="s">
        <v>5351</v>
      </c>
      <c r="B718" s="3" t="s">
        <v>4472</v>
      </c>
      <c r="C718" s="3" t="s">
        <v>5352</v>
      </c>
      <c r="D718" s="1" t="s">
        <v>5353</v>
      </c>
      <c r="E718" s="7" t="str">
        <f t="shared" si="77"/>
        <v>EDE</v>
      </c>
      <c r="F718" s="7" t="str">
        <f t="shared" si="78"/>
        <v>UNI</v>
      </c>
      <c r="G718" s="7" t="str">
        <f t="shared" si="79"/>
        <v>BAG</v>
      </c>
      <c r="H718" s="7" t="str">
        <f t="shared" si="80"/>
        <v>ETB</v>
      </c>
      <c r="I718" s="7" t="str">
        <f t="shared" si="81"/>
        <v>MUO</v>
      </c>
      <c r="J718" s="7" t="str">
        <f t="shared" si="82"/>
        <v>MIX</v>
      </c>
      <c r="K718" s="7" t="str">
        <f t="shared" si="83"/>
        <v>0</v>
      </c>
      <c r="L718" s="7">
        <v>0</v>
      </c>
      <c r="M718" s="7" t="s">
        <v>2609</v>
      </c>
      <c r="N718" s="7">
        <f>_xlfn.XLOOKUP(A718,[1]SKU!$A:$A,[1]SKU!$Z:$Z)</f>
        <v>495000</v>
      </c>
    </row>
    <row r="719" spans="1:14" s="7" customFormat="1">
      <c r="A719" s="1" t="s">
        <v>932</v>
      </c>
      <c r="B719" s="3" t="s">
        <v>3</v>
      </c>
      <c r="C719" s="3" t="s">
        <v>268</v>
      </c>
      <c r="D719" s="1" t="s">
        <v>933</v>
      </c>
      <c r="E719" s="7" t="str">
        <f t="shared" si="77"/>
        <v>GSL</v>
      </c>
      <c r="F719" s="7" t="str">
        <f t="shared" si="78"/>
        <v>WOM</v>
      </c>
      <c r="G719" s="7" t="str">
        <f t="shared" si="79"/>
        <v>FZE</v>
      </c>
      <c r="H719" s="7" t="str">
        <f t="shared" si="80"/>
        <v>BNE</v>
      </c>
      <c r="I719" s="7" t="str">
        <f t="shared" si="81"/>
        <v>SSY</v>
      </c>
      <c r="J719" s="7" t="str">
        <f t="shared" si="82"/>
        <v>WHI</v>
      </c>
      <c r="K719" s="7" t="str">
        <f t="shared" si="83"/>
        <v>M</v>
      </c>
      <c r="L719" s="7" t="s">
        <v>2131</v>
      </c>
      <c r="M719" s="7" t="s">
        <v>2131</v>
      </c>
      <c r="N719" s="7">
        <f>_xlfn.XLOOKUP(A719,[1]SKU!$A:$A,[1]SKU!$Z:$Z)</f>
        <v>750000</v>
      </c>
    </row>
    <row r="720" spans="1:14" s="7" customFormat="1">
      <c r="A720" s="1" t="s">
        <v>934</v>
      </c>
      <c r="B720" s="3" t="s">
        <v>19</v>
      </c>
      <c r="C720" s="3" t="s">
        <v>167</v>
      </c>
      <c r="D720" s="1" t="s">
        <v>935</v>
      </c>
      <c r="E720" s="7" t="str">
        <f t="shared" si="77"/>
        <v>OTH</v>
      </c>
      <c r="F720" s="7" t="str">
        <f t="shared" si="78"/>
        <v>UNI</v>
      </c>
      <c r="G720" s="7" t="str">
        <f t="shared" si="79"/>
        <v>SOU</v>
      </c>
      <c r="H720" s="7" t="str">
        <f t="shared" si="80"/>
        <v>NBS</v>
      </c>
      <c r="I720" s="7" t="str">
        <f t="shared" si="81"/>
        <v>TJM</v>
      </c>
      <c r="J720" s="7" t="str">
        <f t="shared" si="82"/>
        <v>WHI</v>
      </c>
      <c r="K720" s="7" t="str">
        <f t="shared" si="83"/>
        <v>A6</v>
      </c>
      <c r="L720" s="7">
        <v>0</v>
      </c>
      <c r="M720" s="7" t="s">
        <v>2609</v>
      </c>
      <c r="N720" s="7">
        <f>_xlfn.XLOOKUP(A720,[1]SKU!$A:$A,[1]SKU!$Z:$Z)</f>
        <v>65000</v>
      </c>
    </row>
    <row r="721" spans="1:14" s="7" customFormat="1">
      <c r="A721" s="1" t="s">
        <v>5354</v>
      </c>
      <c r="B721" s="3" t="s">
        <v>4472</v>
      </c>
      <c r="C721" s="3" t="s">
        <v>100</v>
      </c>
      <c r="D721" s="1" t="s">
        <v>5355</v>
      </c>
      <c r="E721" s="7" t="str">
        <f t="shared" si="77"/>
        <v>PSD</v>
      </c>
      <c r="F721" s="7" t="str">
        <f t="shared" si="78"/>
        <v>UNI</v>
      </c>
      <c r="G721" s="7" t="str">
        <f t="shared" si="79"/>
        <v>SOU</v>
      </c>
      <c r="H721" s="7" t="str">
        <f t="shared" si="80"/>
        <v>DEC</v>
      </c>
      <c r="I721" s="7" t="str">
        <f t="shared" si="81"/>
        <v>LBA</v>
      </c>
      <c r="J721" s="7" t="str">
        <f t="shared" si="82"/>
        <v>BSR</v>
      </c>
      <c r="K721" s="7" t="str">
        <f t="shared" si="83"/>
        <v>55</v>
      </c>
      <c r="L721" s="7">
        <v>0</v>
      </c>
      <c r="M721" s="7" t="s">
        <v>2609</v>
      </c>
      <c r="N721" s="7">
        <f>_xlfn.XLOOKUP(A721,[1]SKU!$A:$A,[1]SKU!$Z:$Z)</f>
        <v>3650000</v>
      </c>
    </row>
    <row r="722" spans="1:14" s="7" customFormat="1">
      <c r="A722" s="1" t="s">
        <v>936</v>
      </c>
      <c r="B722" s="3" t="s">
        <v>3</v>
      </c>
      <c r="C722" s="3" t="s">
        <v>4</v>
      </c>
      <c r="D722" s="1" t="s">
        <v>937</v>
      </c>
      <c r="E722" s="7" t="str">
        <f t="shared" si="77"/>
        <v>GSL</v>
      </c>
      <c r="F722" s="7" t="str">
        <f t="shared" si="78"/>
        <v>WOM</v>
      </c>
      <c r="G722" s="7" t="str">
        <f t="shared" si="79"/>
        <v>TTS</v>
      </c>
      <c r="H722" s="7" t="str">
        <f t="shared" si="80"/>
        <v>ONE</v>
      </c>
      <c r="I722" s="7" t="str">
        <f t="shared" si="81"/>
        <v>FST</v>
      </c>
      <c r="J722" s="7" t="str">
        <f t="shared" si="82"/>
        <v>ORA</v>
      </c>
      <c r="K722" s="7" t="str">
        <f t="shared" si="83"/>
        <v>M</v>
      </c>
      <c r="L722" s="7" t="s">
        <v>2310</v>
      </c>
      <c r="M722" s="7" t="s">
        <v>4469</v>
      </c>
      <c r="N722" s="7">
        <f>_xlfn.XLOOKUP(A722,[1]SKU!$A:$A,[1]SKU!$Z:$Z)</f>
        <v>750000</v>
      </c>
    </row>
    <row r="723" spans="1:14" s="7" customFormat="1">
      <c r="A723" s="1" t="s">
        <v>5356</v>
      </c>
      <c r="B723" s="3" t="s">
        <v>4472</v>
      </c>
      <c r="C723" s="3" t="s">
        <v>938</v>
      </c>
      <c r="D723" s="1" t="s">
        <v>5357</v>
      </c>
      <c r="E723" s="7" t="str">
        <f t="shared" si="77"/>
        <v>DSP</v>
      </c>
      <c r="F723" s="7" t="str">
        <f t="shared" si="78"/>
        <v>UNI</v>
      </c>
      <c r="G723" s="7" t="str">
        <f t="shared" si="79"/>
        <v>FWR</v>
      </c>
      <c r="H723" s="7" t="str">
        <f t="shared" si="80"/>
        <v>LES</v>
      </c>
      <c r="I723" s="7" t="str">
        <f t="shared" si="81"/>
        <v>NGO</v>
      </c>
      <c r="J723" s="7" t="str">
        <f t="shared" si="82"/>
        <v>BLK</v>
      </c>
      <c r="K723" s="7" t="str">
        <f t="shared" si="83"/>
        <v>42</v>
      </c>
      <c r="L723" s="7">
        <v>0</v>
      </c>
      <c r="M723" s="7" t="s">
        <v>2609</v>
      </c>
      <c r="N723" s="7">
        <f>_xlfn.XLOOKUP(A723,[1]SKU!$A:$A,[1]SKU!$Z:$Z)</f>
        <v>10800000</v>
      </c>
    </row>
    <row r="724" spans="1:14" s="7" customFormat="1">
      <c r="A724" s="1" t="s">
        <v>939</v>
      </c>
      <c r="B724" s="3" t="s">
        <v>3</v>
      </c>
      <c r="C724" s="3" t="s">
        <v>326</v>
      </c>
      <c r="D724" s="1" t="s">
        <v>940</v>
      </c>
      <c r="E724" s="7" t="str">
        <f t="shared" si="77"/>
        <v>GCL</v>
      </c>
      <c r="F724" s="7" t="str">
        <f t="shared" si="78"/>
        <v>MEN</v>
      </c>
      <c r="G724" s="7" t="str">
        <f t="shared" si="79"/>
        <v>TSO</v>
      </c>
      <c r="H724" s="7" t="str">
        <f t="shared" si="80"/>
        <v>ONE</v>
      </c>
      <c r="I724" s="7" t="str">
        <f t="shared" si="81"/>
        <v>TMG</v>
      </c>
      <c r="J724" s="7" t="str">
        <f t="shared" si="82"/>
        <v>RED</v>
      </c>
      <c r="K724" s="7" t="str">
        <f t="shared" si="83"/>
        <v>XS</v>
      </c>
      <c r="L724" s="7" t="s">
        <v>2071</v>
      </c>
      <c r="M724" s="7" t="s">
        <v>4462</v>
      </c>
      <c r="N724" s="7">
        <f>_xlfn.XLOOKUP(A724,[1]SKU!$A:$A,[1]SKU!$Z:$Z)</f>
        <v>1390000</v>
      </c>
    </row>
    <row r="725" spans="1:14" s="7" customFormat="1">
      <c r="A725" s="1" t="s">
        <v>5358</v>
      </c>
      <c r="B725" s="3" t="s">
        <v>4481</v>
      </c>
      <c r="C725" s="3" t="s">
        <v>941</v>
      </c>
      <c r="D725" s="1" t="s">
        <v>5359</v>
      </c>
      <c r="E725" s="7" t="str">
        <f t="shared" si="77"/>
        <v>PAS</v>
      </c>
      <c r="F725" s="7" t="str">
        <f t="shared" si="78"/>
        <v>UNI</v>
      </c>
      <c r="G725" s="7" t="str">
        <f t="shared" si="79"/>
        <v>ART</v>
      </c>
      <c r="H725" s="7" t="str">
        <f t="shared" si="80"/>
        <v>ART</v>
      </c>
      <c r="I725" s="7" t="str">
        <f t="shared" si="81"/>
        <v>NER</v>
      </c>
      <c r="J725" s="7" t="str">
        <f t="shared" si="82"/>
        <v>MIX</v>
      </c>
      <c r="K725" s="7" t="str">
        <f t="shared" si="83"/>
        <v>A2</v>
      </c>
      <c r="L725" s="7">
        <v>0</v>
      </c>
      <c r="M725" s="7" t="s">
        <v>2609</v>
      </c>
      <c r="N725" s="7">
        <f>_xlfn.XLOOKUP(A725,[1]SKU!$A:$A,[1]SKU!$Z:$Z)</f>
        <v>6000000</v>
      </c>
    </row>
    <row r="726" spans="1:14" s="7" customFormat="1">
      <c r="A726" s="1" t="s">
        <v>942</v>
      </c>
      <c r="B726" s="3" t="s">
        <v>19</v>
      </c>
      <c r="C726" s="3" t="s">
        <v>943</v>
      </c>
      <c r="D726" s="1" t="s">
        <v>944</v>
      </c>
      <c r="E726" s="7" t="str">
        <f t="shared" si="77"/>
        <v>OTH</v>
      </c>
      <c r="F726" s="7" t="str">
        <f t="shared" si="78"/>
        <v>UNI</v>
      </c>
      <c r="G726" s="7" t="str">
        <f t="shared" si="79"/>
        <v>SOU</v>
      </c>
      <c r="H726" s="7" t="str">
        <f t="shared" si="80"/>
        <v>PLC</v>
      </c>
      <c r="I726" s="7" t="str">
        <f t="shared" si="81"/>
        <v>VNP</v>
      </c>
      <c r="J726" s="7" t="str">
        <f t="shared" si="82"/>
        <v>RED</v>
      </c>
      <c r="K726" s="7" t="str">
        <f t="shared" si="83"/>
        <v>0</v>
      </c>
      <c r="L726" s="7">
        <v>0</v>
      </c>
      <c r="M726" s="7" t="s">
        <v>2609</v>
      </c>
      <c r="N726" s="7">
        <f>_xlfn.XLOOKUP(A726,[1]SKU!$A:$A,[1]SKU!$Z:$Z)</f>
        <v>350000</v>
      </c>
    </row>
    <row r="727" spans="1:14" s="7" customFormat="1">
      <c r="A727" s="1" t="s">
        <v>5360</v>
      </c>
      <c r="B727" s="3" t="s">
        <v>4472</v>
      </c>
      <c r="C727" s="3" t="s">
        <v>436</v>
      </c>
      <c r="D727" s="1" t="s">
        <v>5361</v>
      </c>
      <c r="E727" s="7" t="str">
        <f t="shared" si="77"/>
        <v>DSP</v>
      </c>
      <c r="F727" s="7" t="str">
        <f t="shared" si="78"/>
        <v>UNI</v>
      </c>
      <c r="G727" s="7" t="str">
        <f t="shared" si="79"/>
        <v>FWR</v>
      </c>
      <c r="H727" s="7" t="str">
        <f t="shared" si="80"/>
        <v>HDB</v>
      </c>
      <c r="I727" s="7" t="str">
        <f t="shared" si="81"/>
        <v>TAL</v>
      </c>
      <c r="J727" s="7" t="str">
        <f t="shared" si="82"/>
        <v>BLU</v>
      </c>
      <c r="K727" s="7" t="str">
        <f t="shared" si="83"/>
        <v>37</v>
      </c>
      <c r="L727" s="7">
        <v>0</v>
      </c>
      <c r="M727" s="7" t="s">
        <v>2609</v>
      </c>
      <c r="N727" s="7">
        <f>_xlfn.XLOOKUP(A727,[1]SKU!$A:$A,[1]SKU!$Z:$Z)</f>
        <v>7800000</v>
      </c>
    </row>
    <row r="728" spans="1:14" s="7" customFormat="1">
      <c r="A728" s="1" t="s">
        <v>945</v>
      </c>
      <c r="B728" s="3" t="s">
        <v>3</v>
      </c>
      <c r="C728" s="3" t="s">
        <v>311</v>
      </c>
      <c r="D728" s="1" t="s">
        <v>946</v>
      </c>
      <c r="E728" s="7" t="str">
        <f t="shared" si="77"/>
        <v>GSL</v>
      </c>
      <c r="F728" s="7" t="str">
        <f t="shared" si="78"/>
        <v>KID</v>
      </c>
      <c r="G728" s="7" t="str">
        <f t="shared" si="79"/>
        <v>TTS</v>
      </c>
      <c r="H728" s="7" t="str">
        <f t="shared" si="80"/>
        <v>ONE</v>
      </c>
      <c r="I728" s="7" t="str">
        <f t="shared" si="81"/>
        <v>GL2</v>
      </c>
      <c r="J728" s="7" t="str">
        <f t="shared" si="82"/>
        <v>RED</v>
      </c>
      <c r="K728" s="7" t="str">
        <f t="shared" si="83"/>
        <v>8</v>
      </c>
      <c r="L728" s="7" t="s">
        <v>2310</v>
      </c>
      <c r="M728" s="7" t="s">
        <v>4469</v>
      </c>
      <c r="N728" s="7">
        <f>_xlfn.XLOOKUP(A728,[1]SKU!$A:$A,[1]SKU!$Z:$Z)</f>
        <v>550000</v>
      </c>
    </row>
    <row r="729" spans="1:14" s="7" customFormat="1">
      <c r="A729" s="1" t="s">
        <v>5362</v>
      </c>
      <c r="B729" s="3" t="s">
        <v>4472</v>
      </c>
      <c r="C729" s="3" t="s">
        <v>439</v>
      </c>
      <c r="D729" s="1" t="s">
        <v>5363</v>
      </c>
      <c r="E729" s="7" t="str">
        <f t="shared" si="77"/>
        <v>SHI</v>
      </c>
      <c r="F729" s="7" t="str">
        <f t="shared" si="78"/>
        <v>UNI</v>
      </c>
      <c r="G729" s="7" t="str">
        <f t="shared" si="79"/>
        <v>FNB</v>
      </c>
      <c r="H729" s="7" t="str">
        <f t="shared" si="80"/>
        <v>CFB</v>
      </c>
      <c r="I729" s="7" t="str">
        <f t="shared" si="81"/>
        <v>ALB</v>
      </c>
      <c r="J729" s="7" t="str">
        <f t="shared" si="82"/>
        <v>WHI</v>
      </c>
      <c r="K729" s="7" t="str">
        <f t="shared" si="83"/>
        <v>CAN</v>
      </c>
      <c r="L729" s="7">
        <v>0</v>
      </c>
      <c r="M729" s="7" t="s">
        <v>2609</v>
      </c>
      <c r="N729" s="7">
        <f>_xlfn.XLOOKUP(A729,[1]SKU!$A:$A,[1]SKU!$Z:$Z)</f>
        <v>250000</v>
      </c>
    </row>
    <row r="730" spans="1:14" s="7" customFormat="1">
      <c r="A730" s="1" t="s">
        <v>5364</v>
      </c>
      <c r="B730" s="3" t="s">
        <v>4472</v>
      </c>
      <c r="C730" s="3" t="s">
        <v>105</v>
      </c>
      <c r="D730" s="1" t="s">
        <v>5365</v>
      </c>
      <c r="E730" s="7" t="str">
        <f t="shared" si="77"/>
        <v>PSD</v>
      </c>
      <c r="F730" s="7" t="str">
        <f t="shared" si="78"/>
        <v>UNI</v>
      </c>
      <c r="G730" s="7" t="str">
        <f t="shared" si="79"/>
        <v>SOU</v>
      </c>
      <c r="H730" s="7" t="str">
        <f t="shared" si="80"/>
        <v>DEC</v>
      </c>
      <c r="I730" s="7" t="str">
        <f t="shared" si="81"/>
        <v>SBA</v>
      </c>
      <c r="J730" s="7" t="str">
        <f t="shared" si="82"/>
        <v>BRO</v>
      </c>
      <c r="K730" s="7" t="str">
        <f t="shared" si="83"/>
        <v>12</v>
      </c>
      <c r="L730" s="7">
        <v>0</v>
      </c>
      <c r="M730" s="7" t="s">
        <v>2609</v>
      </c>
      <c r="N730" s="7">
        <f>_xlfn.XLOOKUP(A730,[1]SKU!$A:$A,[1]SKU!$Z:$Z)</f>
        <v>395000</v>
      </c>
    </row>
    <row r="731" spans="1:14" s="7" customFormat="1">
      <c r="A731" s="1" t="s">
        <v>5366</v>
      </c>
      <c r="B731" s="3" t="s">
        <v>4472</v>
      </c>
      <c r="C731" s="3" t="s">
        <v>5367</v>
      </c>
      <c r="D731" s="1" t="s">
        <v>5368</v>
      </c>
      <c r="E731" s="7" t="str">
        <f t="shared" si="77"/>
        <v>EDE</v>
      </c>
      <c r="F731" s="7" t="str">
        <f t="shared" si="78"/>
        <v>UNI</v>
      </c>
      <c r="G731" s="7" t="str">
        <f t="shared" si="79"/>
        <v>BAG</v>
      </c>
      <c r="H731" s="7" t="str">
        <f t="shared" si="80"/>
        <v>CLU</v>
      </c>
      <c r="I731" s="7" t="str">
        <f t="shared" si="81"/>
        <v>CMO</v>
      </c>
      <c r="J731" s="7" t="str">
        <f t="shared" si="82"/>
        <v>MIX</v>
      </c>
      <c r="K731" s="7" t="str">
        <f t="shared" si="83"/>
        <v>L</v>
      </c>
      <c r="L731" s="7">
        <v>0</v>
      </c>
      <c r="M731" s="7" t="s">
        <v>2609</v>
      </c>
      <c r="N731" s="7">
        <f>_xlfn.XLOOKUP(A731,[1]SKU!$A:$A,[1]SKU!$Z:$Z)</f>
        <v>395000</v>
      </c>
    </row>
    <row r="732" spans="1:14">
      <c r="A732" s="1" t="s">
        <v>5369</v>
      </c>
      <c r="B732" s="2" t="s">
        <v>4472</v>
      </c>
      <c r="C732" s="2" t="s">
        <v>5370</v>
      </c>
      <c r="D732" s="2" t="s">
        <v>5371</v>
      </c>
      <c r="E732" s="7" t="str">
        <f t="shared" si="77"/>
        <v>LAN</v>
      </c>
      <c r="F732" s="7" t="str">
        <f t="shared" ref="F732:F795" si="84">_xlfn.TEXTBEFORE(_xlfn.TEXTAFTER(D732,"-",2),"-")</f>
        <v>UNI</v>
      </c>
      <c r="G732" s="7" t="str">
        <f t="shared" ref="G732:G795" si="85">_xlfn.TEXTBEFORE(_xlfn.TEXTAFTER(D732,"-",3),"-")</f>
        <v>HWR</v>
      </c>
      <c r="H732" s="7" t="str">
        <f t="shared" ref="H732:H795" si="86">_xlfn.TEXTBEFORE(_xlfn.TEXTAFTER(D732,"-",4),"-")</f>
        <v>SC2</v>
      </c>
      <c r="I732" s="7" t="str">
        <f t="shared" ref="I732:I795" si="87">_xlfn.TEXTBEFORE(_xlfn.TEXTAFTER(D732,"-",5),"-")</f>
        <v>MAC</v>
      </c>
      <c r="J732" s="7" t="str">
        <f t="shared" ref="J732:J795" si="88">_xlfn.TEXTBEFORE(_xlfn.TEXTAFTER(D732,"-",6),"-")</f>
        <v>RED</v>
      </c>
      <c r="K732" s="7" t="str">
        <f t="shared" ref="K732:K795" si="89">_xlfn.TEXTAFTER(D732,"-",7)</f>
        <v>70x70</v>
      </c>
      <c r="L732" s="7">
        <v>0</v>
      </c>
      <c r="M732" s="7" t="s">
        <v>2609</v>
      </c>
      <c r="N732" s="7">
        <f>_xlfn.XLOOKUP(A732,[1]SKU!$A:$A,[1]SKU!$Z:$Z)</f>
        <v>749000</v>
      </c>
    </row>
    <row r="733" spans="1:14">
      <c r="A733" s="1" t="s">
        <v>947</v>
      </c>
      <c r="B733" s="2" t="s">
        <v>3</v>
      </c>
      <c r="C733" s="2" t="s">
        <v>29</v>
      </c>
      <c r="D733" s="2" t="s">
        <v>948</v>
      </c>
      <c r="E733" s="7" t="str">
        <f t="shared" si="77"/>
        <v>GSP</v>
      </c>
      <c r="F733" s="7" t="str">
        <f t="shared" si="84"/>
        <v>MEN</v>
      </c>
      <c r="G733" s="7" t="str">
        <f t="shared" si="85"/>
        <v>POL</v>
      </c>
      <c r="H733" s="7" t="str">
        <f t="shared" si="86"/>
        <v>MAN</v>
      </c>
      <c r="I733" s="7" t="str">
        <f t="shared" si="87"/>
        <v>SHU</v>
      </c>
      <c r="J733" s="7" t="str">
        <f t="shared" si="88"/>
        <v>NAV</v>
      </c>
      <c r="K733" s="7" t="str">
        <f t="shared" si="89"/>
        <v>XL</v>
      </c>
      <c r="L733" s="7" t="s">
        <v>1995</v>
      </c>
      <c r="M733" s="7" t="s">
        <v>4468</v>
      </c>
      <c r="N733" s="7">
        <f>_xlfn.XLOOKUP(A733,[1]SKU!$A:$A,[1]SKU!$Z:$Z)</f>
        <v>1090000</v>
      </c>
    </row>
    <row r="734" spans="1:14">
      <c r="A734" s="1" t="s">
        <v>949</v>
      </c>
      <c r="B734" s="2" t="s">
        <v>3</v>
      </c>
      <c r="C734" s="2" t="s">
        <v>45</v>
      </c>
      <c r="D734" s="2" t="s">
        <v>950</v>
      </c>
      <c r="E734" s="7" t="str">
        <f t="shared" si="77"/>
        <v>GOR</v>
      </c>
      <c r="F734" s="7" t="str">
        <f t="shared" si="84"/>
        <v>KID</v>
      </c>
      <c r="G734" s="7" t="str">
        <f t="shared" si="85"/>
        <v>TSS</v>
      </c>
      <c r="H734" s="7" t="str">
        <f t="shared" si="86"/>
        <v>ONE</v>
      </c>
      <c r="I734" s="7" t="str">
        <f t="shared" si="87"/>
        <v>DDU</v>
      </c>
      <c r="J734" s="7" t="str">
        <f t="shared" si="88"/>
        <v>BOR</v>
      </c>
      <c r="K734" s="7" t="str">
        <f t="shared" si="89"/>
        <v>12</v>
      </c>
      <c r="L734" s="7" t="s">
        <v>2018</v>
      </c>
      <c r="M734" s="7" t="s">
        <v>4462</v>
      </c>
      <c r="N734" s="7">
        <f>_xlfn.XLOOKUP(A734,[1]SKU!$A:$A,[1]SKU!$Z:$Z)</f>
        <v>590000</v>
      </c>
    </row>
    <row r="735" spans="1:14">
      <c r="A735" s="1" t="s">
        <v>5372</v>
      </c>
      <c r="B735" s="2" t="s">
        <v>4472</v>
      </c>
      <c r="C735" s="2" t="s">
        <v>5373</v>
      </c>
      <c r="D735" s="2" t="s">
        <v>5374</v>
      </c>
      <c r="E735" s="7" t="str">
        <f t="shared" si="77"/>
        <v>HAM</v>
      </c>
      <c r="F735" s="7" t="str">
        <f t="shared" si="84"/>
        <v>UNI</v>
      </c>
      <c r="G735" s="7" t="str">
        <f t="shared" si="85"/>
        <v>JEW</v>
      </c>
      <c r="H735" s="7" t="str">
        <f t="shared" si="86"/>
        <v>NEC</v>
      </c>
      <c r="I735" s="7" t="str">
        <f t="shared" si="87"/>
        <v>A40</v>
      </c>
      <c r="J735" s="7" t="str">
        <f t="shared" si="88"/>
        <v>MIX</v>
      </c>
      <c r="K735" s="7" t="str">
        <f t="shared" si="89"/>
        <v>0</v>
      </c>
      <c r="L735" s="7">
        <v>0</v>
      </c>
      <c r="M735" s="7" t="s">
        <v>2609</v>
      </c>
      <c r="N735" s="7">
        <f>_xlfn.XLOOKUP(A735,[1]SKU!$A:$A,[1]SKU!$Z:$Z)</f>
        <v>1800000</v>
      </c>
    </row>
    <row r="736" spans="1:14">
      <c r="A736" s="1" t="s">
        <v>5375</v>
      </c>
      <c r="B736" s="2" t="s">
        <v>4472</v>
      </c>
      <c r="C736" s="2" t="s">
        <v>5376</v>
      </c>
      <c r="D736" s="2" t="s">
        <v>5377</v>
      </c>
      <c r="E736" s="7" t="str">
        <f t="shared" si="77"/>
        <v>HAM</v>
      </c>
      <c r="F736" s="7" t="str">
        <f t="shared" si="84"/>
        <v>UNI</v>
      </c>
      <c r="G736" s="7" t="str">
        <f t="shared" si="85"/>
        <v>JEW</v>
      </c>
      <c r="H736" s="7" t="str">
        <f t="shared" si="86"/>
        <v>NEC</v>
      </c>
      <c r="I736" s="7" t="str">
        <f t="shared" si="87"/>
        <v>D26</v>
      </c>
      <c r="J736" s="7" t="str">
        <f t="shared" si="88"/>
        <v>MIX</v>
      </c>
      <c r="K736" s="7" t="str">
        <f t="shared" si="89"/>
        <v>0</v>
      </c>
      <c r="L736" s="7">
        <v>0</v>
      </c>
      <c r="M736" s="7" t="s">
        <v>2609</v>
      </c>
      <c r="N736" s="7">
        <f>_xlfn.XLOOKUP(A736,[1]SKU!$A:$A,[1]SKU!$Z:$Z)</f>
        <v>1800000</v>
      </c>
    </row>
    <row r="737" spans="1:14">
      <c r="A737" s="1" t="s">
        <v>953</v>
      </c>
      <c r="B737" s="2" t="s">
        <v>3</v>
      </c>
      <c r="C737" s="2" t="s">
        <v>38</v>
      </c>
      <c r="D737" s="2" t="s">
        <v>954</v>
      </c>
      <c r="E737" s="7" t="str">
        <f t="shared" si="77"/>
        <v>GPI</v>
      </c>
      <c r="F737" s="7" t="str">
        <f t="shared" si="84"/>
        <v>MEN</v>
      </c>
      <c r="G737" s="7" t="str">
        <f t="shared" si="85"/>
        <v>POL</v>
      </c>
      <c r="H737" s="7" t="str">
        <f t="shared" si="86"/>
        <v>MAN</v>
      </c>
      <c r="I737" s="7" t="str">
        <f t="shared" si="87"/>
        <v>LOG</v>
      </c>
      <c r="J737" s="7" t="str">
        <f t="shared" si="88"/>
        <v>AGD</v>
      </c>
      <c r="K737" s="7" t="str">
        <f t="shared" si="89"/>
        <v>XXL</v>
      </c>
      <c r="L737" s="7" t="s">
        <v>1995</v>
      </c>
      <c r="M737" s="7" t="s">
        <v>4468</v>
      </c>
      <c r="N737" s="7">
        <f>_xlfn.XLOOKUP(A737,[1]SKU!$A:$A,[1]SKU!$Z:$Z)</f>
        <v>1190000</v>
      </c>
    </row>
    <row r="738" spans="1:14">
      <c r="A738" s="1" t="s">
        <v>5378</v>
      </c>
      <c r="B738" s="2" t="s">
        <v>4472</v>
      </c>
      <c r="C738" s="2" t="s">
        <v>5379</v>
      </c>
      <c r="D738" s="2" t="s">
        <v>5380</v>
      </c>
      <c r="E738" s="7" t="str">
        <f t="shared" si="77"/>
        <v>LAN</v>
      </c>
      <c r="F738" s="7" t="str">
        <f t="shared" si="84"/>
        <v>UNI</v>
      </c>
      <c r="G738" s="7" t="str">
        <f t="shared" si="85"/>
        <v>HWR</v>
      </c>
      <c r="H738" s="7" t="str">
        <f t="shared" si="86"/>
        <v>SC2</v>
      </c>
      <c r="I738" s="7" t="str">
        <f t="shared" si="87"/>
        <v>MAC</v>
      </c>
      <c r="J738" s="7" t="str">
        <f t="shared" si="88"/>
        <v>RED</v>
      </c>
      <c r="K738" s="7" t="str">
        <f t="shared" si="89"/>
        <v>6x130</v>
      </c>
      <c r="L738" s="7">
        <v>0</v>
      </c>
      <c r="M738" s="7" t="s">
        <v>2609</v>
      </c>
      <c r="N738" s="7">
        <f>_xlfn.XLOOKUP(A738,[1]SKU!$A:$A,[1]SKU!$Z:$Z)</f>
        <v>365000</v>
      </c>
    </row>
    <row r="739" spans="1:14">
      <c r="A739" s="1" t="s">
        <v>5381</v>
      </c>
      <c r="B739" s="2" t="s">
        <v>4472</v>
      </c>
      <c r="C739" s="2" t="s">
        <v>5382</v>
      </c>
      <c r="D739" s="2" t="s">
        <v>5383</v>
      </c>
      <c r="E739" s="7" t="str">
        <f t="shared" si="77"/>
        <v>TOH</v>
      </c>
      <c r="F739" s="7" t="str">
        <f t="shared" si="84"/>
        <v>UNI</v>
      </c>
      <c r="G739" s="7" t="str">
        <f t="shared" si="85"/>
        <v>SOU</v>
      </c>
      <c r="H739" s="7" t="str">
        <f t="shared" si="86"/>
        <v>ECV</v>
      </c>
      <c r="I739" s="7" t="str">
        <f t="shared" si="87"/>
        <v>EM0</v>
      </c>
      <c r="J739" s="7" t="str">
        <f t="shared" si="88"/>
        <v>MIX</v>
      </c>
      <c r="K739" s="7" t="str">
        <f t="shared" si="89"/>
        <v>0</v>
      </c>
      <c r="L739" s="7">
        <v>0</v>
      </c>
      <c r="M739" s="7" t="s">
        <v>2609</v>
      </c>
      <c r="N739" s="7">
        <f>_xlfn.XLOOKUP(A739,[1]SKU!$A:$A,[1]SKU!$Z:$Z)</f>
        <v>150000</v>
      </c>
    </row>
    <row r="740" spans="1:14">
      <c r="A740" s="1" t="s">
        <v>5384</v>
      </c>
      <c r="B740" s="2" t="s">
        <v>4472</v>
      </c>
      <c r="C740" s="2" t="s">
        <v>924</v>
      </c>
      <c r="D740" s="2" t="s">
        <v>5385</v>
      </c>
      <c r="E740" s="7" t="str">
        <f t="shared" si="77"/>
        <v>DSP</v>
      </c>
      <c r="F740" s="7" t="str">
        <f t="shared" si="84"/>
        <v>UNI</v>
      </c>
      <c r="G740" s="7" t="str">
        <f t="shared" si="85"/>
        <v>BAG</v>
      </c>
      <c r="H740" s="7" t="str">
        <f t="shared" si="86"/>
        <v>HDB</v>
      </c>
      <c r="I740" s="7" t="str">
        <f t="shared" si="87"/>
        <v>SH1</v>
      </c>
      <c r="J740" s="7" t="str">
        <f t="shared" si="88"/>
        <v>CAP</v>
      </c>
      <c r="K740" s="7" t="str">
        <f t="shared" si="89"/>
        <v>0</v>
      </c>
      <c r="L740" s="7">
        <v>0</v>
      </c>
      <c r="M740" s="7" t="s">
        <v>2609</v>
      </c>
      <c r="N740" s="7">
        <f>_xlfn.XLOOKUP(A740,[1]SKU!$A:$A,[1]SKU!$Z:$Z)</f>
        <v>4650000</v>
      </c>
    </row>
    <row r="741" spans="1:14">
      <c r="A741" s="1" t="s">
        <v>5386</v>
      </c>
      <c r="B741" s="2" t="s">
        <v>4472</v>
      </c>
      <c r="C741" s="2" t="s">
        <v>5387</v>
      </c>
      <c r="D741" s="2" t="s">
        <v>5388</v>
      </c>
      <c r="E741" s="7" t="str">
        <f t="shared" si="77"/>
        <v>BLS</v>
      </c>
      <c r="F741" s="7" t="str">
        <f t="shared" si="84"/>
        <v>UNI</v>
      </c>
      <c r="G741" s="7" t="str">
        <f t="shared" si="85"/>
        <v>FNB</v>
      </c>
      <c r="H741" s="7" t="str">
        <f t="shared" si="86"/>
        <v>SAL</v>
      </c>
      <c r="I741" s="7" t="str">
        <f t="shared" si="87"/>
        <v>013</v>
      </c>
      <c r="J741" s="7" t="str">
        <f t="shared" si="88"/>
        <v>MIX</v>
      </c>
      <c r="K741" s="7" t="str">
        <f t="shared" si="89"/>
        <v>55g</v>
      </c>
      <c r="L741" s="7">
        <v>0</v>
      </c>
      <c r="M741" s="7" t="s">
        <v>2609</v>
      </c>
      <c r="N741" s="7">
        <f>_xlfn.XLOOKUP(A741,[1]SKU!$A:$A,[1]SKU!$Z:$Z)</f>
        <v>155000</v>
      </c>
    </row>
    <row r="742" spans="1:14">
      <c r="A742" s="1" t="s">
        <v>955</v>
      </c>
      <c r="B742" s="2" t="s">
        <v>3</v>
      </c>
      <c r="C742" s="2" t="s">
        <v>167</v>
      </c>
      <c r="D742" s="2" t="s">
        <v>956</v>
      </c>
      <c r="E742" s="7" t="str">
        <f t="shared" si="77"/>
        <v>GOR</v>
      </c>
      <c r="F742" s="7" t="str">
        <f t="shared" si="84"/>
        <v>MEN</v>
      </c>
      <c r="G742" s="7" t="str">
        <f t="shared" si="85"/>
        <v>TSS</v>
      </c>
      <c r="H742" s="7" t="str">
        <f t="shared" si="86"/>
        <v>ONE</v>
      </c>
      <c r="I742" s="7" t="str">
        <f t="shared" si="87"/>
        <v>TJM</v>
      </c>
      <c r="J742" s="7" t="str">
        <f t="shared" si="88"/>
        <v>OLI</v>
      </c>
      <c r="K742" s="7" t="str">
        <f t="shared" si="89"/>
        <v>S</v>
      </c>
      <c r="L742" s="7" t="s">
        <v>2018</v>
      </c>
      <c r="M742" s="7" t="s">
        <v>4462</v>
      </c>
      <c r="N742" s="7">
        <f>_xlfn.XLOOKUP(A742,[1]SKU!$A:$A,[1]SKU!$Z:$Z)</f>
        <v>790000</v>
      </c>
    </row>
    <row r="743" spans="1:14">
      <c r="A743" s="1" t="s">
        <v>957</v>
      </c>
      <c r="B743" s="2" t="s">
        <v>19</v>
      </c>
      <c r="C743" s="2" t="s">
        <v>958</v>
      </c>
      <c r="D743" s="2" t="s">
        <v>959</v>
      </c>
      <c r="E743" s="7" t="str">
        <f t="shared" si="77"/>
        <v>OTH</v>
      </c>
      <c r="F743" s="7" t="str">
        <f t="shared" si="84"/>
        <v>UNI</v>
      </c>
      <c r="G743" s="7" t="str">
        <f t="shared" si="85"/>
        <v>SCA</v>
      </c>
      <c r="H743" s="7" t="str">
        <f t="shared" si="86"/>
        <v>SCS</v>
      </c>
      <c r="I743" s="7" t="str">
        <f t="shared" si="87"/>
        <v>HAM</v>
      </c>
      <c r="J743" s="7" t="str">
        <f t="shared" si="88"/>
        <v>RED</v>
      </c>
      <c r="K743" s="7" t="str">
        <f t="shared" si="89"/>
        <v>90</v>
      </c>
      <c r="L743" s="7">
        <v>0</v>
      </c>
      <c r="M743" s="7" t="s">
        <v>2609</v>
      </c>
      <c r="N743" s="7">
        <f>_xlfn.XLOOKUP(A743,[1]SKU!$A:$A,[1]SKU!$Z:$Z)</f>
        <v>2850000</v>
      </c>
    </row>
    <row r="744" spans="1:14">
      <c r="A744" s="1" t="s">
        <v>5389</v>
      </c>
      <c r="B744" s="2" t="s">
        <v>4481</v>
      </c>
      <c r="C744" s="2" t="s">
        <v>960</v>
      </c>
      <c r="D744" s="2" t="s">
        <v>5390</v>
      </c>
      <c r="E744" s="7" t="str">
        <f t="shared" si="77"/>
        <v>PAS</v>
      </c>
      <c r="F744" s="7" t="str">
        <f t="shared" si="84"/>
        <v>UNI</v>
      </c>
      <c r="G744" s="7" t="str">
        <f t="shared" si="85"/>
        <v>ART</v>
      </c>
      <c r="H744" s="7" t="str">
        <f t="shared" si="86"/>
        <v>ART</v>
      </c>
      <c r="I744" s="7" t="str">
        <f t="shared" si="87"/>
        <v>LAB</v>
      </c>
      <c r="J744" s="7" t="str">
        <f t="shared" si="88"/>
        <v>MIX</v>
      </c>
      <c r="K744" s="7" t="str">
        <f t="shared" si="89"/>
        <v>A1</v>
      </c>
      <c r="L744" s="7">
        <v>0</v>
      </c>
      <c r="M744" s="7" t="s">
        <v>2609</v>
      </c>
      <c r="N744" s="7">
        <f>_xlfn.XLOOKUP(A744,[1]SKU!$A:$A,[1]SKU!$Z:$Z)</f>
        <v>7500000</v>
      </c>
    </row>
    <row r="745" spans="1:14">
      <c r="A745" s="1" t="s">
        <v>961</v>
      </c>
      <c r="B745" s="2" t="s">
        <v>3</v>
      </c>
      <c r="C745" s="2" t="s">
        <v>509</v>
      </c>
      <c r="D745" s="2" t="s">
        <v>962</v>
      </c>
      <c r="E745" s="7" t="str">
        <f t="shared" si="77"/>
        <v>GOR</v>
      </c>
      <c r="F745" s="7" t="str">
        <f t="shared" si="84"/>
        <v>MEN</v>
      </c>
      <c r="G745" s="7" t="str">
        <f t="shared" si="85"/>
        <v>TSS</v>
      </c>
      <c r="H745" s="7" t="str">
        <f t="shared" si="86"/>
        <v>HNE</v>
      </c>
      <c r="I745" s="7" t="str">
        <f t="shared" si="87"/>
        <v>FPC</v>
      </c>
      <c r="J745" s="7" t="str">
        <f t="shared" si="88"/>
        <v>OLI</v>
      </c>
      <c r="K745" s="7" t="str">
        <f t="shared" si="89"/>
        <v>S</v>
      </c>
      <c r="L745" s="7" t="s">
        <v>2018</v>
      </c>
      <c r="M745" s="7" t="s">
        <v>4462</v>
      </c>
      <c r="N745" s="7">
        <f>_xlfn.XLOOKUP(A745,[1]SKU!$A:$A,[1]SKU!$Z:$Z)</f>
        <v>1190000</v>
      </c>
    </row>
    <row r="746" spans="1:14">
      <c r="A746" s="1" t="s">
        <v>963</v>
      </c>
      <c r="B746" s="2" t="s">
        <v>19</v>
      </c>
      <c r="C746" s="2" t="s">
        <v>33</v>
      </c>
      <c r="D746" s="2" t="s">
        <v>964</v>
      </c>
      <c r="E746" s="7" t="str">
        <f t="shared" si="77"/>
        <v>OTH</v>
      </c>
      <c r="F746" s="7" t="str">
        <f t="shared" si="84"/>
        <v>UNI</v>
      </c>
      <c r="G746" s="7" t="str">
        <f t="shared" si="85"/>
        <v>FWR</v>
      </c>
      <c r="H746" s="7" t="str">
        <f t="shared" si="86"/>
        <v>SLI</v>
      </c>
      <c r="I746" s="7" t="str">
        <f t="shared" si="87"/>
        <v>VTM</v>
      </c>
      <c r="J746" s="7" t="str">
        <f t="shared" si="88"/>
        <v>BLK</v>
      </c>
      <c r="K746" s="7" t="str">
        <f t="shared" si="89"/>
        <v>42</v>
      </c>
      <c r="L746" s="7">
        <v>0</v>
      </c>
      <c r="M746" s="7" t="s">
        <v>2609</v>
      </c>
      <c r="N746" s="7">
        <f>_xlfn.XLOOKUP(A746,[1]SKU!$A:$A,[1]SKU!$Z:$Z)</f>
        <v>395000</v>
      </c>
    </row>
    <row r="747" spans="1:14">
      <c r="A747" s="1" t="s">
        <v>5391</v>
      </c>
      <c r="B747" s="2" t="s">
        <v>4472</v>
      </c>
      <c r="C747" s="2" t="s">
        <v>5392</v>
      </c>
      <c r="D747" s="2" t="s">
        <v>5393</v>
      </c>
      <c r="E747" s="7" t="str">
        <f t="shared" si="77"/>
        <v>LAN</v>
      </c>
      <c r="F747" s="7" t="str">
        <f t="shared" si="84"/>
        <v>UNI</v>
      </c>
      <c r="G747" s="7" t="str">
        <f t="shared" si="85"/>
        <v>HWR</v>
      </c>
      <c r="H747" s="7" t="str">
        <f t="shared" si="86"/>
        <v>SC2</v>
      </c>
      <c r="I747" s="7" t="str">
        <f t="shared" si="87"/>
        <v>DBN</v>
      </c>
      <c r="J747" s="7" t="str">
        <f t="shared" si="88"/>
        <v>BLU</v>
      </c>
      <c r="K747" s="7" t="str">
        <f t="shared" si="89"/>
        <v>6x130</v>
      </c>
      <c r="L747" s="7">
        <v>0</v>
      </c>
      <c r="M747" s="7" t="s">
        <v>2609</v>
      </c>
      <c r="N747" s="7">
        <f>_xlfn.XLOOKUP(A747,[1]SKU!$A:$A,[1]SKU!$Z:$Z)</f>
        <v>365000</v>
      </c>
    </row>
    <row r="748" spans="1:14">
      <c r="A748" s="1" t="s">
        <v>965</v>
      </c>
      <c r="B748" s="2" t="s">
        <v>3</v>
      </c>
      <c r="C748" s="2" t="s">
        <v>58</v>
      </c>
      <c r="D748" s="2" t="s">
        <v>966</v>
      </c>
      <c r="E748" s="7" t="str">
        <f t="shared" si="77"/>
        <v>GLI</v>
      </c>
      <c r="F748" s="7" t="str">
        <f t="shared" si="84"/>
        <v>MEN</v>
      </c>
      <c r="G748" s="7" t="str">
        <f t="shared" si="85"/>
        <v>PAF</v>
      </c>
      <c r="H748" s="7" t="str">
        <f t="shared" si="86"/>
        <v>BBT</v>
      </c>
      <c r="I748" s="7" t="str">
        <f t="shared" si="87"/>
        <v>LIN</v>
      </c>
      <c r="J748" s="7" t="str">
        <f t="shared" si="88"/>
        <v>WHI</v>
      </c>
      <c r="K748" s="7" t="str">
        <f t="shared" si="89"/>
        <v>S</v>
      </c>
      <c r="L748" s="7" t="s">
        <v>2700</v>
      </c>
      <c r="M748" s="7" t="s">
        <v>4467</v>
      </c>
      <c r="N748" s="7">
        <f>_xlfn.XLOOKUP(A748,[1]SKU!$A:$A,[1]SKU!$Z:$Z)</f>
        <v>2690000</v>
      </c>
    </row>
    <row r="749" spans="1:14">
      <c r="A749" s="1" t="s">
        <v>5394</v>
      </c>
      <c r="B749" s="2" t="s">
        <v>4472</v>
      </c>
      <c r="C749" s="2" t="s">
        <v>51</v>
      </c>
      <c r="D749" s="2" t="s">
        <v>5395</v>
      </c>
      <c r="E749" s="7" t="str">
        <f t="shared" si="77"/>
        <v>DSP</v>
      </c>
      <c r="F749" s="7" t="str">
        <f t="shared" si="84"/>
        <v>UNI</v>
      </c>
      <c r="G749" s="7" t="str">
        <f t="shared" si="85"/>
        <v>BAG</v>
      </c>
      <c r="H749" s="7" t="str">
        <f t="shared" si="86"/>
        <v>CHR</v>
      </c>
      <c r="I749" s="7" t="str">
        <f t="shared" si="87"/>
        <v>SCH</v>
      </c>
      <c r="J749" s="7" t="str">
        <f t="shared" si="88"/>
        <v>BDB</v>
      </c>
      <c r="K749" s="7" t="str">
        <f t="shared" si="89"/>
        <v>0</v>
      </c>
      <c r="L749" s="7">
        <v>0</v>
      </c>
      <c r="M749" s="7" t="s">
        <v>2609</v>
      </c>
      <c r="N749" s="7">
        <f>_xlfn.XLOOKUP(A749,[1]SKU!$A:$A,[1]SKU!$Z:$Z)</f>
        <v>1150000</v>
      </c>
    </row>
    <row r="750" spans="1:14">
      <c r="A750" s="1" t="s">
        <v>5396</v>
      </c>
      <c r="B750" s="2" t="s">
        <v>4472</v>
      </c>
      <c r="C750" s="2" t="s">
        <v>115</v>
      </c>
      <c r="D750" s="2" t="s">
        <v>5397</v>
      </c>
      <c r="E750" s="7" t="str">
        <f t="shared" si="77"/>
        <v>DSP</v>
      </c>
      <c r="F750" s="7" t="str">
        <f t="shared" si="84"/>
        <v>UNI</v>
      </c>
      <c r="G750" s="7" t="str">
        <f t="shared" si="85"/>
        <v>BAG</v>
      </c>
      <c r="H750" s="7" t="str">
        <f t="shared" si="86"/>
        <v>HDB</v>
      </c>
      <c r="I750" s="7" t="str">
        <f t="shared" si="87"/>
        <v>GA1</v>
      </c>
      <c r="J750" s="7" t="str">
        <f t="shared" si="88"/>
        <v>BBL</v>
      </c>
      <c r="K750" s="7" t="str">
        <f t="shared" si="89"/>
        <v>0</v>
      </c>
      <c r="L750" s="7">
        <v>0</v>
      </c>
      <c r="M750" s="7" t="s">
        <v>2609</v>
      </c>
      <c r="N750" s="7">
        <f>_xlfn.XLOOKUP(A750,[1]SKU!$A:$A,[1]SKU!$Z:$Z)</f>
        <v>8690000</v>
      </c>
    </row>
    <row r="751" spans="1:14">
      <c r="A751" s="1" t="s">
        <v>5398</v>
      </c>
      <c r="B751" s="2" t="s">
        <v>4472</v>
      </c>
      <c r="C751" s="2" t="s">
        <v>5399</v>
      </c>
      <c r="D751" s="2" t="s">
        <v>5400</v>
      </c>
      <c r="E751" s="7" t="str">
        <f t="shared" si="77"/>
        <v>LAN</v>
      </c>
      <c r="F751" s="7" t="str">
        <f t="shared" si="84"/>
        <v>UNI</v>
      </c>
      <c r="G751" s="7" t="str">
        <f t="shared" si="85"/>
        <v>HWR</v>
      </c>
      <c r="H751" s="7" t="str">
        <f t="shared" si="86"/>
        <v>SC1</v>
      </c>
      <c r="I751" s="7" t="str">
        <f t="shared" si="87"/>
        <v>QHH</v>
      </c>
      <c r="J751" s="7" t="str">
        <f t="shared" si="88"/>
        <v>RED</v>
      </c>
      <c r="K751" s="7" t="str">
        <f t="shared" si="89"/>
        <v>90x90</v>
      </c>
      <c r="L751" s="7">
        <v>0</v>
      </c>
      <c r="M751" s="7" t="s">
        <v>2609</v>
      </c>
      <c r="N751" s="7">
        <f>_xlfn.XLOOKUP(A751,[1]SKU!$A:$A,[1]SKU!$Z:$Z)</f>
        <v>849000</v>
      </c>
    </row>
    <row r="752" spans="1:14">
      <c r="A752" s="1" t="s">
        <v>967</v>
      </c>
      <c r="B752" s="2" t="s">
        <v>3</v>
      </c>
      <c r="C752" s="2" t="s">
        <v>45</v>
      </c>
      <c r="D752" s="2" t="s">
        <v>968</v>
      </c>
      <c r="E752" s="7" t="str">
        <f t="shared" si="77"/>
        <v>GOR</v>
      </c>
      <c r="F752" s="7" t="str">
        <f t="shared" si="84"/>
        <v>MEN</v>
      </c>
      <c r="G752" s="7" t="str">
        <f t="shared" si="85"/>
        <v>TSS</v>
      </c>
      <c r="H752" s="7" t="str">
        <f t="shared" si="86"/>
        <v>ONE</v>
      </c>
      <c r="I752" s="7" t="str">
        <f t="shared" si="87"/>
        <v>DDU</v>
      </c>
      <c r="J752" s="7" t="str">
        <f t="shared" si="88"/>
        <v>GRE</v>
      </c>
      <c r="K752" s="7" t="str">
        <f t="shared" si="89"/>
        <v>XXL</v>
      </c>
      <c r="L752" s="7" t="s">
        <v>2018</v>
      </c>
      <c r="M752" s="7" t="s">
        <v>4462</v>
      </c>
      <c r="N752" s="7">
        <f>_xlfn.XLOOKUP(A752,[1]SKU!$A:$A,[1]SKU!$Z:$Z)</f>
        <v>790000</v>
      </c>
    </row>
    <row r="753" spans="1:14">
      <c r="A753" s="1" t="s">
        <v>969</v>
      </c>
      <c r="B753" s="2" t="s">
        <v>3</v>
      </c>
      <c r="C753" s="2" t="s">
        <v>12</v>
      </c>
      <c r="D753" s="2" t="s">
        <v>970</v>
      </c>
      <c r="E753" s="7" t="str">
        <f t="shared" si="77"/>
        <v>GOR</v>
      </c>
      <c r="F753" s="7" t="str">
        <f t="shared" si="84"/>
        <v>MEN</v>
      </c>
      <c r="G753" s="7" t="str">
        <f t="shared" si="85"/>
        <v>TSS</v>
      </c>
      <c r="H753" s="7" t="str">
        <f t="shared" si="86"/>
        <v>ONE</v>
      </c>
      <c r="I753" s="7" t="str">
        <f t="shared" si="87"/>
        <v>STC</v>
      </c>
      <c r="J753" s="7" t="str">
        <f t="shared" si="88"/>
        <v>WHI</v>
      </c>
      <c r="K753" s="7" t="str">
        <f t="shared" si="89"/>
        <v>XXL</v>
      </c>
      <c r="L753" s="7" t="s">
        <v>2018</v>
      </c>
      <c r="M753" s="7" t="s">
        <v>4462</v>
      </c>
      <c r="N753" s="7">
        <f>_xlfn.XLOOKUP(A753,[1]SKU!$A:$A,[1]SKU!$Z:$Z)</f>
        <v>790000</v>
      </c>
    </row>
    <row r="754" spans="1:14">
      <c r="A754" s="1" t="s">
        <v>971</v>
      </c>
      <c r="B754" s="2" t="s">
        <v>19</v>
      </c>
      <c r="C754" s="2" t="s">
        <v>12</v>
      </c>
      <c r="D754" s="2" t="s">
        <v>972</v>
      </c>
      <c r="E754" s="7" t="str">
        <f t="shared" si="77"/>
        <v>OTH</v>
      </c>
      <c r="F754" s="7" t="str">
        <f t="shared" si="84"/>
        <v>UNI</v>
      </c>
      <c r="G754" s="7" t="str">
        <f t="shared" si="85"/>
        <v>SOU</v>
      </c>
      <c r="H754" s="7" t="str">
        <f t="shared" si="86"/>
        <v>NBS</v>
      </c>
      <c r="I754" s="7" t="str">
        <f t="shared" si="87"/>
        <v>STC</v>
      </c>
      <c r="J754" s="7" t="str">
        <f t="shared" si="88"/>
        <v>RED</v>
      </c>
      <c r="K754" s="7" t="str">
        <f t="shared" si="89"/>
        <v>A6</v>
      </c>
      <c r="L754" s="7">
        <v>0</v>
      </c>
      <c r="M754" s="7" t="s">
        <v>2609</v>
      </c>
      <c r="N754" s="7">
        <f>_xlfn.XLOOKUP(A754,[1]SKU!$A:$A,[1]SKU!$Z:$Z)</f>
        <v>65000</v>
      </c>
    </row>
    <row r="755" spans="1:14">
      <c r="A755" s="1" t="s">
        <v>973</v>
      </c>
      <c r="B755" s="2" t="s">
        <v>3</v>
      </c>
      <c r="C755" s="2" t="s">
        <v>167</v>
      </c>
      <c r="D755" s="2" t="s">
        <v>974</v>
      </c>
      <c r="E755" s="7" t="str">
        <f t="shared" si="77"/>
        <v>GKK</v>
      </c>
      <c r="F755" s="7" t="str">
        <f t="shared" si="84"/>
        <v>WOM</v>
      </c>
      <c r="G755" s="7" t="str">
        <f t="shared" si="85"/>
        <v>SHH</v>
      </c>
      <c r="H755" s="7" t="str">
        <f t="shared" si="86"/>
        <v>FBT</v>
      </c>
      <c r="I755" s="7" t="str">
        <f t="shared" si="87"/>
        <v>TJM</v>
      </c>
      <c r="J755" s="7" t="str">
        <f t="shared" si="88"/>
        <v>BLK</v>
      </c>
      <c r="K755" s="7" t="str">
        <f t="shared" si="89"/>
        <v>XS</v>
      </c>
      <c r="L755" s="7" t="s">
        <v>2784</v>
      </c>
      <c r="M755" s="7" t="s">
        <v>4463</v>
      </c>
      <c r="N755" s="7">
        <f>_xlfn.XLOOKUP(A755,[1]SKU!$A:$A,[1]SKU!$Z:$Z)</f>
        <v>1550000</v>
      </c>
    </row>
    <row r="756" spans="1:14">
      <c r="A756" s="1" t="s">
        <v>975</v>
      </c>
      <c r="B756" s="2" t="s">
        <v>3</v>
      </c>
      <c r="C756" s="2" t="s">
        <v>38</v>
      </c>
      <c r="D756" s="2" t="s">
        <v>976</v>
      </c>
      <c r="E756" s="7" t="str">
        <f t="shared" si="77"/>
        <v>GOR</v>
      </c>
      <c r="F756" s="7" t="str">
        <f t="shared" si="84"/>
        <v>MEN</v>
      </c>
      <c r="G756" s="7" t="str">
        <f t="shared" si="85"/>
        <v>POL</v>
      </c>
      <c r="H756" s="7" t="str">
        <f t="shared" si="86"/>
        <v>MAN</v>
      </c>
      <c r="I756" s="7" t="str">
        <f t="shared" si="87"/>
        <v>LOG</v>
      </c>
      <c r="J756" s="7" t="str">
        <f t="shared" si="88"/>
        <v>JBG</v>
      </c>
      <c r="K756" s="7" t="str">
        <f t="shared" si="89"/>
        <v>L</v>
      </c>
      <c r="L756" s="7" t="s">
        <v>1995</v>
      </c>
      <c r="M756" s="7" t="s">
        <v>4468</v>
      </c>
      <c r="N756" s="7">
        <f>_xlfn.XLOOKUP(A756,[1]SKU!$A:$A,[1]SKU!$Z:$Z)</f>
        <v>1090000</v>
      </c>
    </row>
    <row r="757" spans="1:14">
      <c r="A757" s="1" t="s">
        <v>5401</v>
      </c>
      <c r="B757" s="2" t="s">
        <v>4472</v>
      </c>
      <c r="C757" s="2" t="s">
        <v>977</v>
      </c>
      <c r="D757" s="2" t="s">
        <v>5402</v>
      </c>
      <c r="E757" s="7" t="str">
        <f t="shared" si="77"/>
        <v>DSP</v>
      </c>
      <c r="F757" s="7" t="str">
        <f t="shared" si="84"/>
        <v>UNI</v>
      </c>
      <c r="G757" s="7" t="str">
        <f t="shared" si="85"/>
        <v>FWR</v>
      </c>
      <c r="H757" s="7" t="str">
        <f t="shared" si="86"/>
        <v>LES</v>
      </c>
      <c r="I757" s="7" t="str">
        <f t="shared" si="87"/>
        <v>LAC</v>
      </c>
      <c r="J757" s="7" t="str">
        <f t="shared" si="88"/>
        <v>PUR</v>
      </c>
      <c r="K757" s="7" t="str">
        <f t="shared" si="89"/>
        <v>40</v>
      </c>
      <c r="L757" s="7">
        <v>0</v>
      </c>
      <c r="M757" s="7" t="s">
        <v>2609</v>
      </c>
      <c r="N757" s="7">
        <f>_xlfn.XLOOKUP(A757,[1]SKU!$A:$A,[1]SKU!$Z:$Z)</f>
        <v>5200000</v>
      </c>
    </row>
    <row r="758" spans="1:14">
      <c r="A758" s="1" t="s">
        <v>978</v>
      </c>
      <c r="B758" s="2" t="s">
        <v>3</v>
      </c>
      <c r="C758" s="2" t="s">
        <v>311</v>
      </c>
      <c r="D758" s="2" t="s">
        <v>979</v>
      </c>
      <c r="E758" s="7" t="str">
        <f t="shared" si="77"/>
        <v>GSL</v>
      </c>
      <c r="F758" s="7" t="str">
        <f t="shared" si="84"/>
        <v>KID</v>
      </c>
      <c r="G758" s="7" t="str">
        <f t="shared" si="85"/>
        <v>TTS</v>
      </c>
      <c r="H758" s="7" t="str">
        <f t="shared" si="86"/>
        <v>ONE</v>
      </c>
      <c r="I758" s="7" t="str">
        <f t="shared" si="87"/>
        <v>GL2</v>
      </c>
      <c r="J758" s="7" t="str">
        <f t="shared" si="88"/>
        <v>RED</v>
      </c>
      <c r="K758" s="7" t="str">
        <f t="shared" si="89"/>
        <v>4</v>
      </c>
      <c r="L758" s="7" t="s">
        <v>2310</v>
      </c>
      <c r="M758" s="7" t="s">
        <v>4469</v>
      </c>
      <c r="N758" s="7">
        <f>_xlfn.XLOOKUP(A758,[1]SKU!$A:$A,[1]SKU!$Z:$Z)</f>
        <v>550000</v>
      </c>
    </row>
    <row r="759" spans="1:14">
      <c r="A759" s="1" t="s">
        <v>5403</v>
      </c>
      <c r="B759" s="2" t="s">
        <v>4472</v>
      </c>
      <c r="C759" s="2" t="s">
        <v>981</v>
      </c>
      <c r="D759" s="2" t="s">
        <v>5404</v>
      </c>
      <c r="E759" s="7" t="str">
        <f t="shared" si="77"/>
        <v>SHI</v>
      </c>
      <c r="F759" s="7" t="str">
        <f t="shared" si="84"/>
        <v>UNI</v>
      </c>
      <c r="G759" s="7" t="str">
        <f t="shared" si="85"/>
        <v>COS</v>
      </c>
      <c r="H759" s="7" t="str">
        <f t="shared" si="86"/>
        <v>BSB</v>
      </c>
      <c r="I759" s="7" t="str">
        <f t="shared" si="87"/>
        <v>CBS</v>
      </c>
      <c r="J759" s="7" t="str">
        <f t="shared" si="88"/>
        <v>BRO</v>
      </c>
      <c r="K759" s="7" t="str">
        <f t="shared" si="89"/>
        <v>PLJ</v>
      </c>
      <c r="L759" s="7">
        <v>0</v>
      </c>
      <c r="M759" s="7" t="s">
        <v>2609</v>
      </c>
      <c r="N759" s="7">
        <f>_xlfn.XLOOKUP(A759,[1]SKU!$A:$A,[1]SKU!$Z:$Z)</f>
        <v>120000</v>
      </c>
    </row>
    <row r="760" spans="1:14">
      <c r="A760" s="1" t="s">
        <v>5405</v>
      </c>
      <c r="B760" s="2" t="s">
        <v>4472</v>
      </c>
      <c r="C760" s="2" t="s">
        <v>105</v>
      </c>
      <c r="D760" s="2" t="s">
        <v>5406</v>
      </c>
      <c r="E760" s="7" t="str">
        <f t="shared" si="77"/>
        <v>PSD</v>
      </c>
      <c r="F760" s="7" t="str">
        <f t="shared" si="84"/>
        <v>UNI</v>
      </c>
      <c r="G760" s="7" t="str">
        <f t="shared" si="85"/>
        <v>SOU</v>
      </c>
      <c r="H760" s="7" t="str">
        <f t="shared" si="86"/>
        <v>DEC</v>
      </c>
      <c r="I760" s="7" t="str">
        <f t="shared" si="87"/>
        <v>SBA</v>
      </c>
      <c r="J760" s="7" t="str">
        <f t="shared" si="88"/>
        <v>RED</v>
      </c>
      <c r="K760" s="7" t="str">
        <f t="shared" si="89"/>
        <v>18</v>
      </c>
      <c r="L760" s="7">
        <v>0</v>
      </c>
      <c r="M760" s="7" t="s">
        <v>2609</v>
      </c>
      <c r="N760" s="7">
        <f>_xlfn.XLOOKUP(A760,[1]SKU!$A:$A,[1]SKU!$Z:$Z)</f>
        <v>550000</v>
      </c>
    </row>
    <row r="761" spans="1:14">
      <c r="A761" s="1" t="s">
        <v>982</v>
      </c>
      <c r="B761" s="2" t="s">
        <v>3</v>
      </c>
      <c r="C761" s="2" t="s">
        <v>167</v>
      </c>
      <c r="D761" s="2" t="s">
        <v>983</v>
      </c>
      <c r="E761" s="7" t="str">
        <f t="shared" si="77"/>
        <v>GFI</v>
      </c>
      <c r="F761" s="7" t="str">
        <f t="shared" si="84"/>
        <v>MEN</v>
      </c>
      <c r="G761" s="7" t="str">
        <f t="shared" si="85"/>
        <v>SHS</v>
      </c>
      <c r="H761" s="7" t="str">
        <f t="shared" si="86"/>
        <v>EBT</v>
      </c>
      <c r="I761" s="7" t="str">
        <f t="shared" si="87"/>
        <v>TJM</v>
      </c>
      <c r="J761" s="7" t="str">
        <f t="shared" si="88"/>
        <v>BLK</v>
      </c>
      <c r="K761" s="7" t="str">
        <f t="shared" si="89"/>
        <v>M</v>
      </c>
      <c r="L761" s="7" t="s">
        <v>2752</v>
      </c>
      <c r="M761" s="7" t="s">
        <v>4463</v>
      </c>
      <c r="N761" s="7">
        <f>_xlfn.XLOOKUP(A761,[1]SKU!$A:$A,[1]SKU!$Z:$Z)</f>
        <v>1050000</v>
      </c>
    </row>
    <row r="762" spans="1:14">
      <c r="A762" s="1" t="s">
        <v>5407</v>
      </c>
      <c r="B762" s="2" t="s">
        <v>4472</v>
      </c>
      <c r="C762" s="2" t="s">
        <v>105</v>
      </c>
      <c r="D762" s="2" t="s">
        <v>5408</v>
      </c>
      <c r="E762" s="7" t="str">
        <f t="shared" si="77"/>
        <v>PSD</v>
      </c>
      <c r="F762" s="7" t="str">
        <f t="shared" si="84"/>
        <v>UNI</v>
      </c>
      <c r="G762" s="7" t="str">
        <f t="shared" si="85"/>
        <v>SOU</v>
      </c>
      <c r="H762" s="7" t="str">
        <f t="shared" si="86"/>
        <v>DEC</v>
      </c>
      <c r="I762" s="7" t="str">
        <f t="shared" si="87"/>
        <v>SBA</v>
      </c>
      <c r="J762" s="7" t="str">
        <f t="shared" si="88"/>
        <v>YEL</v>
      </c>
      <c r="K762" s="7" t="str">
        <f t="shared" si="89"/>
        <v>12</v>
      </c>
      <c r="L762" s="7">
        <v>0</v>
      </c>
      <c r="M762" s="7" t="s">
        <v>2609</v>
      </c>
      <c r="N762" s="7">
        <f>_xlfn.XLOOKUP(A762,[1]SKU!$A:$A,[1]SKU!$Z:$Z)</f>
        <v>395000</v>
      </c>
    </row>
    <row r="763" spans="1:14">
      <c r="A763" s="1" t="s">
        <v>984</v>
      </c>
      <c r="B763" s="2" t="s">
        <v>3</v>
      </c>
      <c r="C763" s="2" t="s">
        <v>311</v>
      </c>
      <c r="D763" s="2" t="s">
        <v>985</v>
      </c>
      <c r="E763" s="7" t="str">
        <f t="shared" si="77"/>
        <v>GSP</v>
      </c>
      <c r="F763" s="7" t="str">
        <f t="shared" si="84"/>
        <v>WOM</v>
      </c>
      <c r="G763" s="7" t="str">
        <f t="shared" si="85"/>
        <v>PZE</v>
      </c>
      <c r="H763" s="7" t="str">
        <f t="shared" si="86"/>
        <v>ONE</v>
      </c>
      <c r="I763" s="7" t="str">
        <f t="shared" si="87"/>
        <v>GL2</v>
      </c>
      <c r="J763" s="7" t="str">
        <f t="shared" si="88"/>
        <v>NAV</v>
      </c>
      <c r="K763" s="7" t="str">
        <f t="shared" si="89"/>
        <v>XL</v>
      </c>
      <c r="L763" s="7" t="s">
        <v>2167</v>
      </c>
      <c r="M763" s="7" t="s">
        <v>2167</v>
      </c>
      <c r="N763" s="7">
        <f>_xlfn.XLOOKUP(A763,[1]SKU!$A:$A,[1]SKU!$Z:$Z)</f>
        <v>790000</v>
      </c>
    </row>
    <row r="764" spans="1:14">
      <c r="A764" s="1" t="s">
        <v>5409</v>
      </c>
      <c r="B764" s="2" t="s">
        <v>4472</v>
      </c>
      <c r="C764" s="2" t="s">
        <v>986</v>
      </c>
      <c r="D764" s="2" t="s">
        <v>5410</v>
      </c>
      <c r="E764" s="7" t="str">
        <f t="shared" si="77"/>
        <v>LTN</v>
      </c>
      <c r="F764" s="7" t="str">
        <f t="shared" si="84"/>
        <v>UNI</v>
      </c>
      <c r="G764" s="7" t="str">
        <f t="shared" si="85"/>
        <v>FNB</v>
      </c>
      <c r="H764" s="7" t="str">
        <f t="shared" si="86"/>
        <v>GIN</v>
      </c>
      <c r="I764" s="7" t="str">
        <f t="shared" si="87"/>
        <v>DLG</v>
      </c>
      <c r="J764" s="7" t="str">
        <f t="shared" si="88"/>
        <v>MIX</v>
      </c>
      <c r="K764" s="7" t="str">
        <f t="shared" si="89"/>
        <v>0</v>
      </c>
      <c r="L764" s="7">
        <v>0</v>
      </c>
      <c r="M764" s="7" t="s">
        <v>2609</v>
      </c>
      <c r="N764" s="7">
        <f>_xlfn.XLOOKUP(A764,[1]SKU!$A:$A,[1]SKU!$Z:$Z)</f>
        <v>459000</v>
      </c>
    </row>
    <row r="765" spans="1:14">
      <c r="A765" s="1" t="s">
        <v>5411</v>
      </c>
      <c r="B765" s="2" t="s">
        <v>4472</v>
      </c>
      <c r="C765" s="2" t="s">
        <v>5412</v>
      </c>
      <c r="D765" s="2" t="s">
        <v>5413</v>
      </c>
      <c r="E765" s="7" t="str">
        <f t="shared" si="77"/>
        <v>LAN</v>
      </c>
      <c r="F765" s="7" t="str">
        <f t="shared" si="84"/>
        <v>UNI</v>
      </c>
      <c r="G765" s="7" t="str">
        <f t="shared" si="85"/>
        <v>HWR</v>
      </c>
      <c r="H765" s="7" t="str">
        <f t="shared" si="86"/>
        <v>SC2</v>
      </c>
      <c r="I765" s="7" t="str">
        <f t="shared" si="87"/>
        <v>TCL</v>
      </c>
      <c r="J765" s="7" t="str">
        <f t="shared" si="88"/>
        <v>YEL</v>
      </c>
      <c r="K765" s="7" t="str">
        <f t="shared" si="89"/>
        <v>6x130</v>
      </c>
      <c r="L765" s="7">
        <v>0</v>
      </c>
      <c r="M765" s="7" t="s">
        <v>2609</v>
      </c>
      <c r="N765" s="7">
        <f>_xlfn.XLOOKUP(A765,[1]SKU!$A:$A,[1]SKU!$Z:$Z)</f>
        <v>365000</v>
      </c>
    </row>
    <row r="766" spans="1:14">
      <c r="A766" s="1" t="s">
        <v>987</v>
      </c>
      <c r="B766" s="2" t="s">
        <v>3</v>
      </c>
      <c r="C766" s="2" t="s">
        <v>23</v>
      </c>
      <c r="D766" s="2" t="s">
        <v>988</v>
      </c>
      <c r="E766" s="7" t="str">
        <f t="shared" si="77"/>
        <v>GBA</v>
      </c>
      <c r="F766" s="7" t="str">
        <f t="shared" si="84"/>
        <v>MEN</v>
      </c>
      <c r="G766" s="7" t="str">
        <f t="shared" si="85"/>
        <v>TSS</v>
      </c>
      <c r="H766" s="7" t="str">
        <f t="shared" si="86"/>
        <v>ONE</v>
      </c>
      <c r="I766" s="7" t="str">
        <f t="shared" si="87"/>
        <v>URB</v>
      </c>
      <c r="J766" s="7" t="str">
        <f t="shared" si="88"/>
        <v>GRE</v>
      </c>
      <c r="K766" s="7" t="str">
        <f t="shared" si="89"/>
        <v>XL</v>
      </c>
      <c r="L766" s="7" t="s">
        <v>2018</v>
      </c>
      <c r="M766" s="7" t="s">
        <v>4462</v>
      </c>
      <c r="N766" s="7">
        <f>_xlfn.XLOOKUP(A766,[1]SKU!$A:$A,[1]SKU!$Z:$Z)</f>
        <v>710000</v>
      </c>
    </row>
    <row r="767" spans="1:14">
      <c r="A767" s="1" t="s">
        <v>989</v>
      </c>
      <c r="B767" s="2" t="s">
        <v>3</v>
      </c>
      <c r="C767" s="2" t="s">
        <v>517</v>
      </c>
      <c r="D767" s="2" t="s">
        <v>990</v>
      </c>
      <c r="E767" s="7" t="str">
        <f t="shared" si="77"/>
        <v>GSU</v>
      </c>
      <c r="F767" s="7" t="str">
        <f t="shared" si="84"/>
        <v>MEN</v>
      </c>
      <c r="G767" s="7" t="str">
        <f t="shared" si="85"/>
        <v>TSS</v>
      </c>
      <c r="H767" s="7" t="str">
        <f t="shared" si="86"/>
        <v>ONE</v>
      </c>
      <c r="I767" s="7" t="str">
        <f t="shared" si="87"/>
        <v>BBP</v>
      </c>
      <c r="J767" s="7" t="str">
        <f t="shared" si="88"/>
        <v>VIO</v>
      </c>
      <c r="K767" s="7" t="str">
        <f t="shared" si="89"/>
        <v>XL</v>
      </c>
      <c r="L767" s="7" t="s">
        <v>2018</v>
      </c>
      <c r="M767" s="7" t="s">
        <v>4462</v>
      </c>
      <c r="N767" s="7">
        <f>_xlfn.XLOOKUP(A767,[1]SKU!$A:$A,[1]SKU!$Z:$Z)</f>
        <v>1090000</v>
      </c>
    </row>
    <row r="768" spans="1:14">
      <c r="A768" s="1" t="s">
        <v>991</v>
      </c>
      <c r="B768" s="2" t="s">
        <v>3</v>
      </c>
      <c r="C768" s="2" t="s">
        <v>262</v>
      </c>
      <c r="D768" s="2" t="s">
        <v>992</v>
      </c>
      <c r="E768" s="7" t="str">
        <f t="shared" si="77"/>
        <v>GOR</v>
      </c>
      <c r="F768" s="7" t="str">
        <f t="shared" si="84"/>
        <v>MEN</v>
      </c>
      <c r="G768" s="7" t="str">
        <f t="shared" si="85"/>
        <v>TSS</v>
      </c>
      <c r="H768" s="7" t="str">
        <f t="shared" si="86"/>
        <v>ONE</v>
      </c>
      <c r="I768" s="7" t="str">
        <f t="shared" si="87"/>
        <v>XLO</v>
      </c>
      <c r="J768" s="7" t="str">
        <f t="shared" si="88"/>
        <v>BLK</v>
      </c>
      <c r="K768" s="7" t="str">
        <f t="shared" si="89"/>
        <v>M</v>
      </c>
      <c r="L768" s="7" t="s">
        <v>2018</v>
      </c>
      <c r="M768" s="7" t="s">
        <v>4462</v>
      </c>
      <c r="N768" s="7">
        <f>_xlfn.XLOOKUP(A768,[1]SKU!$A:$A,[1]SKU!$Z:$Z)</f>
        <v>790000</v>
      </c>
    </row>
    <row r="769" spans="1:14">
      <c r="A769" s="1" t="s">
        <v>5414</v>
      </c>
      <c r="B769" s="2" t="s">
        <v>4472</v>
      </c>
      <c r="C769" s="2" t="s">
        <v>5415</v>
      </c>
      <c r="D769" s="2" t="s">
        <v>5416</v>
      </c>
      <c r="E769" s="7" t="str">
        <f t="shared" si="77"/>
        <v>DSP</v>
      </c>
      <c r="F769" s="7" t="str">
        <f t="shared" si="84"/>
        <v>UNI</v>
      </c>
      <c r="G769" s="7" t="str">
        <f t="shared" si="85"/>
        <v>FWR</v>
      </c>
      <c r="H769" s="7" t="str">
        <f t="shared" si="86"/>
        <v>LES</v>
      </c>
      <c r="I769" s="7" t="str">
        <f t="shared" si="87"/>
        <v>WIL</v>
      </c>
      <c r="J769" s="7" t="str">
        <f t="shared" si="88"/>
        <v>SLR</v>
      </c>
      <c r="K769" s="7" t="str">
        <f t="shared" si="89"/>
        <v>41</v>
      </c>
      <c r="L769" s="7">
        <v>0</v>
      </c>
      <c r="M769" s="7" t="s">
        <v>2609</v>
      </c>
      <c r="N769" s="7">
        <f>_xlfn.XLOOKUP(A769,[1]SKU!$A:$A,[1]SKU!$Z:$Z)</f>
        <v>8250000</v>
      </c>
    </row>
    <row r="770" spans="1:14">
      <c r="A770" s="1" t="s">
        <v>5417</v>
      </c>
      <c r="B770" s="2" t="s">
        <v>4472</v>
      </c>
      <c r="C770" s="2" t="s">
        <v>5418</v>
      </c>
      <c r="D770" s="2" t="s">
        <v>5419</v>
      </c>
      <c r="E770" s="7" t="str">
        <f t="shared" si="77"/>
        <v>LAN</v>
      </c>
      <c r="F770" s="7" t="str">
        <f t="shared" si="84"/>
        <v>UNI</v>
      </c>
      <c r="G770" s="7" t="str">
        <f t="shared" si="85"/>
        <v>HWR</v>
      </c>
      <c r="H770" s="7" t="str">
        <f t="shared" si="86"/>
        <v>SC2</v>
      </c>
      <c r="I770" s="7" t="str">
        <f t="shared" si="87"/>
        <v>TCL</v>
      </c>
      <c r="J770" s="7" t="str">
        <f t="shared" si="88"/>
        <v>YEL</v>
      </c>
      <c r="K770" s="7" t="str">
        <f t="shared" si="89"/>
        <v>90x90</v>
      </c>
      <c r="L770" s="7">
        <v>0</v>
      </c>
      <c r="M770" s="7" t="s">
        <v>2609</v>
      </c>
      <c r="N770" s="7">
        <f>_xlfn.XLOOKUP(A770,[1]SKU!$A:$A,[1]SKU!$Z:$Z)</f>
        <v>989000</v>
      </c>
    </row>
    <row r="771" spans="1:14">
      <c r="A771" s="1" t="s">
        <v>993</v>
      </c>
      <c r="B771" s="2" t="s">
        <v>3</v>
      </c>
      <c r="C771" s="2" t="s">
        <v>167</v>
      </c>
      <c r="D771" s="2" t="s">
        <v>994</v>
      </c>
      <c r="E771" s="7" t="str">
        <f t="shared" si="77"/>
        <v>GFI</v>
      </c>
      <c r="F771" s="7" t="str">
        <f t="shared" si="84"/>
        <v>MEN</v>
      </c>
      <c r="G771" s="7" t="str">
        <f t="shared" si="85"/>
        <v>SHS</v>
      </c>
      <c r="H771" s="7" t="str">
        <f t="shared" si="86"/>
        <v>EBT</v>
      </c>
      <c r="I771" s="7" t="str">
        <f t="shared" si="87"/>
        <v>TJM</v>
      </c>
      <c r="J771" s="7" t="str">
        <f t="shared" si="88"/>
        <v>BLK</v>
      </c>
      <c r="K771" s="7" t="str">
        <f t="shared" si="89"/>
        <v>S</v>
      </c>
      <c r="L771" s="7" t="s">
        <v>2752</v>
      </c>
      <c r="M771" s="7" t="s">
        <v>4463</v>
      </c>
      <c r="N771" s="7">
        <f>_xlfn.XLOOKUP(A771,[1]SKU!$A:$A,[1]SKU!$Z:$Z)</f>
        <v>1050000</v>
      </c>
    </row>
    <row r="772" spans="1:14">
      <c r="A772" s="1" t="s">
        <v>995</v>
      </c>
      <c r="B772" s="2" t="s">
        <v>3</v>
      </c>
      <c r="C772" s="2" t="s">
        <v>38</v>
      </c>
      <c r="D772" s="2" t="s">
        <v>996</v>
      </c>
      <c r="E772" s="7" t="str">
        <f t="shared" si="77"/>
        <v>GLI</v>
      </c>
      <c r="F772" s="7" t="str">
        <f t="shared" si="84"/>
        <v>MEN</v>
      </c>
      <c r="G772" s="7" t="str">
        <f t="shared" si="85"/>
        <v>SIS</v>
      </c>
      <c r="H772" s="7" t="str">
        <f t="shared" si="86"/>
        <v>MAN</v>
      </c>
      <c r="I772" s="7" t="str">
        <f t="shared" si="87"/>
        <v>LOG</v>
      </c>
      <c r="J772" s="7" t="str">
        <f t="shared" si="88"/>
        <v>CAM</v>
      </c>
      <c r="K772" s="7" t="str">
        <f t="shared" si="89"/>
        <v>XL</v>
      </c>
      <c r="L772" s="7" t="s">
        <v>2211</v>
      </c>
      <c r="M772" s="7" t="s">
        <v>4464</v>
      </c>
      <c r="N772" s="7">
        <f>_xlfn.XLOOKUP(A772,[1]SKU!$A:$A,[1]SKU!$Z:$Z)</f>
        <v>2790000</v>
      </c>
    </row>
    <row r="773" spans="1:14">
      <c r="A773" s="1" t="s">
        <v>5420</v>
      </c>
      <c r="B773" s="2" t="s">
        <v>4472</v>
      </c>
      <c r="C773" s="2" t="s">
        <v>997</v>
      </c>
      <c r="D773" s="2" t="s">
        <v>5421</v>
      </c>
      <c r="E773" s="7" t="str">
        <f t="shared" si="77"/>
        <v>DSP</v>
      </c>
      <c r="F773" s="7" t="str">
        <f t="shared" si="84"/>
        <v>UNI</v>
      </c>
      <c r="G773" s="7" t="str">
        <f t="shared" si="85"/>
        <v>FWR</v>
      </c>
      <c r="H773" s="7" t="str">
        <f t="shared" si="86"/>
        <v>HDB</v>
      </c>
      <c r="I773" s="7" t="str">
        <f t="shared" si="87"/>
        <v>WEL</v>
      </c>
      <c r="J773" s="7" t="str">
        <f t="shared" si="88"/>
        <v>BLK</v>
      </c>
      <c r="K773" s="7" t="str">
        <f t="shared" si="89"/>
        <v>41</v>
      </c>
      <c r="L773" s="7">
        <v>0</v>
      </c>
      <c r="M773" s="7" t="s">
        <v>2609</v>
      </c>
      <c r="N773" s="7">
        <f>_xlfn.XLOOKUP(A773,[1]SKU!$A:$A,[1]SKU!$Z:$Z)</f>
        <v>6200000</v>
      </c>
    </row>
    <row r="774" spans="1:14">
      <c r="A774" s="1" t="s">
        <v>998</v>
      </c>
      <c r="B774" s="2" t="s">
        <v>3</v>
      </c>
      <c r="C774" s="2" t="s">
        <v>167</v>
      </c>
      <c r="D774" s="2" t="s">
        <v>999</v>
      </c>
      <c r="E774" s="7" t="str">
        <f t="shared" si="77"/>
        <v>GFI</v>
      </c>
      <c r="F774" s="7" t="str">
        <f t="shared" si="84"/>
        <v>MEN</v>
      </c>
      <c r="G774" s="7" t="str">
        <f t="shared" si="85"/>
        <v>SHS</v>
      </c>
      <c r="H774" s="7" t="str">
        <f t="shared" si="86"/>
        <v>EBT</v>
      </c>
      <c r="I774" s="7" t="str">
        <f t="shared" si="87"/>
        <v>TJM</v>
      </c>
      <c r="J774" s="7" t="str">
        <f t="shared" si="88"/>
        <v>NAV</v>
      </c>
      <c r="K774" s="7" t="str">
        <f t="shared" si="89"/>
        <v>S</v>
      </c>
      <c r="L774" s="7" t="s">
        <v>2752</v>
      </c>
      <c r="M774" s="7" t="s">
        <v>4463</v>
      </c>
      <c r="N774" s="7">
        <f>_xlfn.XLOOKUP(A774,[1]SKU!$A:$A,[1]SKU!$Z:$Z)</f>
        <v>1050000</v>
      </c>
    </row>
    <row r="775" spans="1:14">
      <c r="A775" s="1" t="s">
        <v>5422</v>
      </c>
      <c r="B775" s="2" t="s">
        <v>4472</v>
      </c>
      <c r="C775" s="2" t="s">
        <v>5423</v>
      </c>
      <c r="D775" s="2" t="s">
        <v>5424</v>
      </c>
      <c r="E775" s="7" t="str">
        <f t="shared" si="77"/>
        <v>HAM</v>
      </c>
      <c r="F775" s="7" t="str">
        <f t="shared" si="84"/>
        <v>UNI</v>
      </c>
      <c r="G775" s="7" t="str">
        <f t="shared" si="85"/>
        <v>JEW</v>
      </c>
      <c r="H775" s="7" t="str">
        <f t="shared" si="86"/>
        <v>NEC</v>
      </c>
      <c r="I775" s="7" t="str">
        <f t="shared" si="87"/>
        <v>131</v>
      </c>
      <c r="J775" s="7" t="str">
        <f t="shared" si="88"/>
        <v>MIX</v>
      </c>
      <c r="K775" s="7" t="str">
        <f t="shared" si="89"/>
        <v>0</v>
      </c>
      <c r="L775" s="7">
        <v>0</v>
      </c>
      <c r="M775" s="7" t="s">
        <v>2609</v>
      </c>
      <c r="N775" s="7">
        <f>_xlfn.XLOOKUP(A775,[1]SKU!$A:$A,[1]SKU!$Z:$Z)</f>
        <v>4200000</v>
      </c>
    </row>
    <row r="776" spans="1:14">
      <c r="A776" s="1" t="s">
        <v>5425</v>
      </c>
      <c r="B776" s="2" t="s">
        <v>4472</v>
      </c>
      <c r="C776" s="2" t="s">
        <v>1000</v>
      </c>
      <c r="D776" s="2" t="s">
        <v>5426</v>
      </c>
      <c r="E776" s="7" t="str">
        <f t="shared" si="77"/>
        <v>DSP</v>
      </c>
      <c r="F776" s="7" t="str">
        <f t="shared" si="84"/>
        <v>UNI</v>
      </c>
      <c r="G776" s="7" t="str">
        <f t="shared" si="85"/>
        <v>BAG</v>
      </c>
      <c r="H776" s="7" t="str">
        <f t="shared" si="86"/>
        <v>CCR</v>
      </c>
      <c r="I776" s="7" t="str">
        <f t="shared" si="87"/>
        <v>AIP</v>
      </c>
      <c r="J776" s="7" t="str">
        <f t="shared" si="88"/>
        <v>BSY</v>
      </c>
      <c r="K776" s="7" t="str">
        <f t="shared" si="89"/>
        <v>0</v>
      </c>
      <c r="L776" s="7">
        <v>0</v>
      </c>
      <c r="M776" s="7" t="s">
        <v>2609</v>
      </c>
      <c r="N776" s="7">
        <f>_xlfn.XLOOKUP(A776,[1]SKU!$A:$A,[1]SKU!$Z:$Z)</f>
        <v>3050000</v>
      </c>
    </row>
    <row r="777" spans="1:14">
      <c r="A777" s="1" t="s">
        <v>5427</v>
      </c>
      <c r="B777" s="2" t="s">
        <v>4481</v>
      </c>
      <c r="C777" s="2" t="s">
        <v>1001</v>
      </c>
      <c r="D777" s="2" t="s">
        <v>5428</v>
      </c>
      <c r="E777" s="7" t="str">
        <f t="shared" si="77"/>
        <v>PAS</v>
      </c>
      <c r="F777" s="7" t="str">
        <f t="shared" si="84"/>
        <v>UNI</v>
      </c>
      <c r="G777" s="7" t="str">
        <f t="shared" si="85"/>
        <v>ART</v>
      </c>
      <c r="H777" s="7" t="str">
        <f t="shared" si="86"/>
        <v>ART</v>
      </c>
      <c r="I777" s="7" t="str">
        <f t="shared" si="87"/>
        <v>CA1</v>
      </c>
      <c r="J777" s="7" t="str">
        <f t="shared" si="88"/>
        <v>MIX</v>
      </c>
      <c r="K777" s="7" t="str">
        <f t="shared" si="89"/>
        <v>A4</v>
      </c>
      <c r="L777" s="7">
        <v>0</v>
      </c>
      <c r="M777" s="7" t="s">
        <v>2609</v>
      </c>
      <c r="N777" s="7">
        <f>_xlfn.XLOOKUP(A777,[1]SKU!$A:$A,[1]SKU!$Z:$Z)</f>
        <v>2500000</v>
      </c>
    </row>
    <row r="778" spans="1:14">
      <c r="A778" s="1" t="s">
        <v>5429</v>
      </c>
      <c r="B778" s="2" t="s">
        <v>4472</v>
      </c>
      <c r="C778" s="2" t="s">
        <v>5430</v>
      </c>
      <c r="D778" s="2" t="s">
        <v>5431</v>
      </c>
      <c r="E778" s="7" t="str">
        <f t="shared" si="77"/>
        <v>LAN</v>
      </c>
      <c r="F778" s="7" t="str">
        <f t="shared" si="84"/>
        <v>UNI</v>
      </c>
      <c r="G778" s="7" t="str">
        <f t="shared" si="85"/>
        <v>HWR</v>
      </c>
      <c r="H778" s="7" t="str">
        <f t="shared" si="86"/>
        <v>SC1</v>
      </c>
      <c r="I778" s="7" t="str">
        <f t="shared" si="87"/>
        <v>CKE</v>
      </c>
      <c r="J778" s="7" t="str">
        <f t="shared" si="88"/>
        <v>YEL</v>
      </c>
      <c r="K778" s="7" t="str">
        <f t="shared" si="89"/>
        <v>90x90</v>
      </c>
      <c r="L778" s="7">
        <v>0</v>
      </c>
      <c r="M778" s="7" t="s">
        <v>2609</v>
      </c>
      <c r="N778" s="7">
        <f>_xlfn.XLOOKUP(A778,[1]SKU!$A:$A,[1]SKU!$Z:$Z)</f>
        <v>849000</v>
      </c>
    </row>
    <row r="779" spans="1:14">
      <c r="A779" s="1" t="s">
        <v>1002</v>
      </c>
      <c r="B779" s="2" t="s">
        <v>3</v>
      </c>
      <c r="C779" s="2" t="s">
        <v>674</v>
      </c>
      <c r="D779" s="2" t="s">
        <v>1003</v>
      </c>
      <c r="E779" s="7" t="str">
        <f t="shared" si="77"/>
        <v>GBA</v>
      </c>
      <c r="F779" s="7" t="str">
        <f t="shared" si="84"/>
        <v>MEN</v>
      </c>
      <c r="G779" s="7" t="str">
        <f t="shared" si="85"/>
        <v>TSS</v>
      </c>
      <c r="H779" s="7" t="str">
        <f t="shared" si="86"/>
        <v>ONE</v>
      </c>
      <c r="I779" s="7" t="str">
        <f t="shared" si="87"/>
        <v>TPO</v>
      </c>
      <c r="J779" s="7" t="str">
        <f t="shared" si="88"/>
        <v>YEL</v>
      </c>
      <c r="K779" s="7" t="str">
        <f t="shared" si="89"/>
        <v>XL</v>
      </c>
      <c r="L779" s="7" t="s">
        <v>2018</v>
      </c>
      <c r="M779" s="7" t="s">
        <v>4462</v>
      </c>
      <c r="N779" s="7">
        <f>_xlfn.XLOOKUP(A779,[1]SKU!$A:$A,[1]SKU!$Z:$Z)</f>
        <v>890000</v>
      </c>
    </row>
    <row r="780" spans="1:14">
      <c r="A780" s="1" t="s">
        <v>5432</v>
      </c>
      <c r="B780" s="2" t="s">
        <v>4472</v>
      </c>
      <c r="C780" s="2" t="s">
        <v>5433</v>
      </c>
      <c r="D780" s="2" t="s">
        <v>5434</v>
      </c>
      <c r="E780" s="7" t="str">
        <f t="shared" si="77"/>
        <v>EDE</v>
      </c>
      <c r="F780" s="7" t="str">
        <f t="shared" si="84"/>
        <v>UNI</v>
      </c>
      <c r="G780" s="7" t="str">
        <f t="shared" si="85"/>
        <v>BAG</v>
      </c>
      <c r="H780" s="7" t="str">
        <f t="shared" si="86"/>
        <v>CLU</v>
      </c>
      <c r="I780" s="7" t="str">
        <f t="shared" si="87"/>
        <v>BBE</v>
      </c>
      <c r="J780" s="7" t="str">
        <f t="shared" si="88"/>
        <v>MIX</v>
      </c>
      <c r="K780" s="7" t="str">
        <f t="shared" si="89"/>
        <v>0</v>
      </c>
      <c r="L780" s="7">
        <v>0</v>
      </c>
      <c r="M780" s="7" t="s">
        <v>2609</v>
      </c>
      <c r="N780" s="7">
        <f>_xlfn.XLOOKUP(A780,[1]SKU!$A:$A,[1]SKU!$Z:$Z)</f>
        <v>310000</v>
      </c>
    </row>
    <row r="781" spans="1:14">
      <c r="A781" s="1" t="s">
        <v>5435</v>
      </c>
      <c r="B781" s="2" t="s">
        <v>4472</v>
      </c>
      <c r="C781" s="2" t="s">
        <v>5436</v>
      </c>
      <c r="D781" s="2" t="s">
        <v>5437</v>
      </c>
      <c r="E781" s="7" t="str">
        <f t="shared" si="77"/>
        <v>LAN</v>
      </c>
      <c r="F781" s="7" t="str">
        <f t="shared" si="84"/>
        <v>UNI</v>
      </c>
      <c r="G781" s="7" t="str">
        <f t="shared" si="85"/>
        <v>HWR</v>
      </c>
      <c r="H781" s="7" t="str">
        <f t="shared" si="86"/>
        <v>SC2</v>
      </c>
      <c r="I781" s="7" t="str">
        <f t="shared" si="87"/>
        <v>HBT</v>
      </c>
      <c r="J781" s="7" t="str">
        <f t="shared" si="88"/>
        <v>ORA</v>
      </c>
      <c r="K781" s="7" t="str">
        <f t="shared" si="89"/>
        <v>70x70</v>
      </c>
      <c r="L781" s="7">
        <v>0</v>
      </c>
      <c r="M781" s="7" t="s">
        <v>2609</v>
      </c>
      <c r="N781" s="7">
        <f>_xlfn.XLOOKUP(A781,[1]SKU!$A:$A,[1]SKU!$Z:$Z)</f>
        <v>749000</v>
      </c>
    </row>
    <row r="782" spans="1:14">
      <c r="A782" s="1" t="s">
        <v>5438</v>
      </c>
      <c r="B782" s="2" t="s">
        <v>4472</v>
      </c>
      <c r="C782" s="2" t="s">
        <v>4931</v>
      </c>
      <c r="D782" s="2" t="s">
        <v>5439</v>
      </c>
      <c r="E782" s="7" t="str">
        <f t="shared" si="77"/>
        <v>HAM</v>
      </c>
      <c r="F782" s="7" t="str">
        <f t="shared" si="84"/>
        <v>UNI</v>
      </c>
      <c r="G782" s="7" t="str">
        <f t="shared" si="85"/>
        <v>JEW</v>
      </c>
      <c r="H782" s="7" t="str">
        <f t="shared" si="86"/>
        <v>NEC</v>
      </c>
      <c r="I782" s="7" t="str">
        <f t="shared" si="87"/>
        <v>N11</v>
      </c>
      <c r="J782" s="7" t="str">
        <f t="shared" si="88"/>
        <v>MIX</v>
      </c>
      <c r="K782" s="7" t="str">
        <f t="shared" si="89"/>
        <v>0</v>
      </c>
      <c r="L782" s="7">
        <v>0</v>
      </c>
      <c r="M782" s="7" t="s">
        <v>2609</v>
      </c>
      <c r="N782" s="7">
        <f>_xlfn.XLOOKUP(A782,[1]SKU!$A:$A,[1]SKU!$Z:$Z)</f>
        <v>1800000</v>
      </c>
    </row>
    <row r="783" spans="1:14">
      <c r="A783" s="1" t="s">
        <v>5440</v>
      </c>
      <c r="B783" s="2" t="s">
        <v>4472</v>
      </c>
      <c r="C783" s="2" t="s">
        <v>5441</v>
      </c>
      <c r="D783" s="2" t="s">
        <v>5442</v>
      </c>
      <c r="E783" s="7" t="str">
        <f t="shared" si="77"/>
        <v>LAN</v>
      </c>
      <c r="F783" s="7" t="str">
        <f t="shared" si="84"/>
        <v>UNI</v>
      </c>
      <c r="G783" s="7" t="str">
        <f t="shared" si="85"/>
        <v>HWR</v>
      </c>
      <c r="H783" s="7" t="str">
        <f t="shared" si="86"/>
        <v>SC2</v>
      </c>
      <c r="I783" s="7" t="str">
        <f t="shared" si="87"/>
        <v>ATU</v>
      </c>
      <c r="J783" s="7" t="str">
        <f t="shared" si="88"/>
        <v>BLU</v>
      </c>
      <c r="K783" s="7" t="str">
        <f t="shared" si="89"/>
        <v>90x90</v>
      </c>
      <c r="L783" s="7">
        <v>0</v>
      </c>
      <c r="M783" s="7" t="s">
        <v>2609</v>
      </c>
      <c r="N783" s="7">
        <f>_xlfn.XLOOKUP(A783,[1]SKU!$A:$A,[1]SKU!$Z:$Z)</f>
        <v>989000</v>
      </c>
    </row>
    <row r="784" spans="1:14">
      <c r="A784" s="1" t="s">
        <v>5443</v>
      </c>
      <c r="B784" s="2" t="s">
        <v>4472</v>
      </c>
      <c r="C784" s="2" t="s">
        <v>5444</v>
      </c>
      <c r="D784" s="2" t="s">
        <v>5445</v>
      </c>
      <c r="E784" s="7" t="str">
        <f t="shared" si="77"/>
        <v>RUN</v>
      </c>
      <c r="F784" s="7" t="str">
        <f t="shared" si="84"/>
        <v>UNI</v>
      </c>
      <c r="G784" s="7" t="str">
        <f t="shared" si="85"/>
        <v>FNB</v>
      </c>
      <c r="H784" s="7" t="str">
        <f t="shared" si="86"/>
        <v>CFP</v>
      </c>
      <c r="I784" s="7" t="str">
        <f t="shared" si="87"/>
        <v>SO1</v>
      </c>
      <c r="J784" s="7" t="str">
        <f t="shared" si="88"/>
        <v>NON</v>
      </c>
      <c r="K784" s="7" t="str">
        <f t="shared" si="89"/>
        <v>250g</v>
      </c>
      <c r="L784" s="7">
        <v>0</v>
      </c>
      <c r="M784" s="7" t="s">
        <v>2609</v>
      </c>
      <c r="N784" s="7">
        <f>_xlfn.XLOOKUP(A784,[1]SKU!$A:$A,[1]SKU!$Z:$Z)</f>
        <v>257000</v>
      </c>
    </row>
    <row r="785" spans="1:14">
      <c r="A785" s="1" t="s">
        <v>1005</v>
      </c>
      <c r="B785" s="2" t="s">
        <v>3</v>
      </c>
      <c r="C785" s="2" t="s">
        <v>113</v>
      </c>
      <c r="D785" s="2" t="s">
        <v>1006</v>
      </c>
      <c r="E785" s="7" t="str">
        <f t="shared" si="77"/>
        <v>GFI</v>
      </c>
      <c r="F785" s="7" t="str">
        <f t="shared" si="84"/>
        <v>MEN</v>
      </c>
      <c r="G785" s="7" t="str">
        <f t="shared" si="85"/>
        <v>SWL</v>
      </c>
      <c r="H785" s="7" t="str">
        <f t="shared" si="86"/>
        <v>ONE</v>
      </c>
      <c r="I785" s="7" t="str">
        <f t="shared" si="87"/>
        <v>TCS</v>
      </c>
      <c r="J785" s="7" t="str">
        <f t="shared" si="88"/>
        <v>BLK</v>
      </c>
      <c r="K785" s="7" t="str">
        <f t="shared" si="89"/>
        <v>XS</v>
      </c>
      <c r="L785" s="7" t="s">
        <v>2581</v>
      </c>
      <c r="M785" s="7" t="s">
        <v>4464</v>
      </c>
      <c r="N785" s="7">
        <f>_xlfn.XLOOKUP(A785,[1]SKU!$A:$A,[1]SKU!$Z:$Z)</f>
        <v>1390000</v>
      </c>
    </row>
    <row r="786" spans="1:14">
      <c r="A786" s="1" t="s">
        <v>5446</v>
      </c>
      <c r="B786" s="2" t="s">
        <v>4472</v>
      </c>
      <c r="C786" s="2" t="s">
        <v>1007</v>
      </c>
      <c r="D786" s="2" t="s">
        <v>5447</v>
      </c>
      <c r="E786" s="7" t="str">
        <f t="shared" si="77"/>
        <v>DSP</v>
      </c>
      <c r="F786" s="7" t="str">
        <f t="shared" si="84"/>
        <v>UNI</v>
      </c>
      <c r="G786" s="7" t="str">
        <f t="shared" si="85"/>
        <v>FWR</v>
      </c>
      <c r="H786" s="7" t="str">
        <f t="shared" si="86"/>
        <v>LES</v>
      </c>
      <c r="I786" s="7" t="str">
        <f t="shared" si="87"/>
        <v>CHU</v>
      </c>
      <c r="J786" s="7" t="str">
        <f t="shared" si="88"/>
        <v>BLK</v>
      </c>
      <c r="K786" s="7" t="str">
        <f t="shared" si="89"/>
        <v>40</v>
      </c>
      <c r="L786" s="7">
        <v>0</v>
      </c>
      <c r="M786" s="7" t="s">
        <v>2609</v>
      </c>
      <c r="N786" s="7">
        <f>_xlfn.XLOOKUP(A786,[1]SKU!$A:$A,[1]SKU!$Z:$Z)</f>
        <v>7500000</v>
      </c>
    </row>
    <row r="787" spans="1:14">
      <c r="A787" s="1" t="s">
        <v>5448</v>
      </c>
      <c r="B787" s="2" t="s">
        <v>4472</v>
      </c>
      <c r="C787" s="2" t="s">
        <v>1008</v>
      </c>
      <c r="D787" s="2" t="s">
        <v>5449</v>
      </c>
      <c r="E787" s="7" t="str">
        <f t="shared" si="77"/>
        <v>DSP</v>
      </c>
      <c r="F787" s="7" t="str">
        <f t="shared" si="84"/>
        <v>UNI</v>
      </c>
      <c r="G787" s="7" t="str">
        <f t="shared" si="85"/>
        <v>SOU</v>
      </c>
      <c r="H787" s="7" t="str">
        <f t="shared" si="86"/>
        <v>SAS</v>
      </c>
      <c r="I787" s="7" t="str">
        <f t="shared" si="87"/>
        <v>WBO</v>
      </c>
      <c r="J787" s="7" t="str">
        <f t="shared" si="88"/>
        <v>GPA</v>
      </c>
      <c r="K787" s="7" t="str">
        <f t="shared" si="89"/>
        <v>0</v>
      </c>
      <c r="L787" s="7">
        <v>0</v>
      </c>
      <c r="M787" s="7" t="s">
        <v>2609</v>
      </c>
      <c r="N787" s="7">
        <f>_xlfn.XLOOKUP(A787,[1]SKU!$A:$A,[1]SKU!$Z:$Z)</f>
        <v>7550000</v>
      </c>
    </row>
    <row r="788" spans="1:14">
      <c r="A788" s="1" t="s">
        <v>5450</v>
      </c>
      <c r="B788" s="2" t="s">
        <v>4472</v>
      </c>
      <c r="C788" s="2" t="s">
        <v>100</v>
      </c>
      <c r="D788" s="2" t="s">
        <v>5451</v>
      </c>
      <c r="E788" s="7" t="str">
        <f t="shared" si="77"/>
        <v>PSD</v>
      </c>
      <c r="F788" s="7" t="str">
        <f t="shared" si="84"/>
        <v>UNI</v>
      </c>
      <c r="G788" s="7" t="str">
        <f t="shared" si="85"/>
        <v>SOU</v>
      </c>
      <c r="H788" s="7" t="str">
        <f t="shared" si="86"/>
        <v>DEC</v>
      </c>
      <c r="I788" s="7" t="str">
        <f t="shared" si="87"/>
        <v>LBA</v>
      </c>
      <c r="J788" s="7" t="str">
        <f t="shared" si="88"/>
        <v>YEL</v>
      </c>
      <c r="K788" s="7" t="str">
        <f t="shared" si="89"/>
        <v>8</v>
      </c>
      <c r="L788" s="7">
        <v>0</v>
      </c>
      <c r="M788" s="7" t="s">
        <v>2609</v>
      </c>
      <c r="N788" s="7">
        <f>_xlfn.XLOOKUP(A788,[1]SKU!$A:$A,[1]SKU!$Z:$Z)</f>
        <v>290000</v>
      </c>
    </row>
    <row r="789" spans="1:14">
      <c r="A789" s="1" t="s">
        <v>5452</v>
      </c>
      <c r="B789" s="2" t="s">
        <v>4472</v>
      </c>
      <c r="C789" s="2" t="s">
        <v>1010</v>
      </c>
      <c r="D789" s="2" t="s">
        <v>5453</v>
      </c>
      <c r="E789" s="7" t="str">
        <f t="shared" si="77"/>
        <v>SHI</v>
      </c>
      <c r="F789" s="7" t="str">
        <f t="shared" si="84"/>
        <v>UNI</v>
      </c>
      <c r="G789" s="7" t="str">
        <f t="shared" si="85"/>
        <v>FNB</v>
      </c>
      <c r="H789" s="7" t="str">
        <f t="shared" si="86"/>
        <v>CFP</v>
      </c>
      <c r="I789" s="7" t="str">
        <f t="shared" si="87"/>
        <v>H12</v>
      </c>
      <c r="J789" s="7" t="str">
        <f t="shared" si="88"/>
        <v>RED</v>
      </c>
      <c r="K789" s="7" t="str">
        <f t="shared" si="89"/>
        <v>12oz</v>
      </c>
      <c r="L789" s="7">
        <v>0</v>
      </c>
      <c r="M789" s="7" t="s">
        <v>2609</v>
      </c>
      <c r="N789" s="7">
        <f>_xlfn.XLOOKUP(A789,[1]SKU!$A:$A,[1]SKU!$Z:$Z)</f>
        <v>200000</v>
      </c>
    </row>
    <row r="790" spans="1:14">
      <c r="A790" s="1" t="s">
        <v>1011</v>
      </c>
      <c r="B790" s="2" t="s">
        <v>3</v>
      </c>
      <c r="C790" s="2" t="s">
        <v>23</v>
      </c>
      <c r="D790" s="2" t="s">
        <v>1012</v>
      </c>
      <c r="E790" s="7" t="str">
        <f t="shared" si="77"/>
        <v>GBA</v>
      </c>
      <c r="F790" s="7" t="str">
        <f t="shared" si="84"/>
        <v>MEN</v>
      </c>
      <c r="G790" s="7" t="str">
        <f t="shared" si="85"/>
        <v>TSS</v>
      </c>
      <c r="H790" s="7" t="str">
        <f t="shared" si="86"/>
        <v>ONE</v>
      </c>
      <c r="I790" s="7" t="str">
        <f t="shared" si="87"/>
        <v>URB</v>
      </c>
      <c r="J790" s="7" t="str">
        <f t="shared" si="88"/>
        <v>WHI</v>
      </c>
      <c r="K790" s="7" t="str">
        <f t="shared" si="89"/>
        <v>XL</v>
      </c>
      <c r="L790" s="7" t="s">
        <v>2018</v>
      </c>
      <c r="M790" s="7" t="s">
        <v>4462</v>
      </c>
      <c r="N790" s="7">
        <f>_xlfn.XLOOKUP(A790,[1]SKU!$A:$A,[1]SKU!$Z:$Z)</f>
        <v>710000</v>
      </c>
    </row>
    <row r="791" spans="1:14">
      <c r="A791" s="1" t="s">
        <v>5454</v>
      </c>
      <c r="B791" s="2" t="s">
        <v>4472</v>
      </c>
      <c r="C791" s="2" t="s">
        <v>1013</v>
      </c>
      <c r="D791" s="2" t="s">
        <v>5455</v>
      </c>
      <c r="E791" s="7" t="str">
        <f t="shared" si="77"/>
        <v>DSP</v>
      </c>
      <c r="F791" s="7" t="str">
        <f t="shared" si="84"/>
        <v>UNI</v>
      </c>
      <c r="G791" s="7" t="str">
        <f t="shared" si="85"/>
        <v>BAG</v>
      </c>
      <c r="H791" s="7" t="str">
        <f t="shared" si="86"/>
        <v>WAL</v>
      </c>
      <c r="I791" s="7" t="str">
        <f t="shared" si="87"/>
        <v>BAR</v>
      </c>
      <c r="J791" s="7" t="str">
        <f t="shared" si="88"/>
        <v>MBE</v>
      </c>
      <c r="K791" s="7" t="str">
        <f t="shared" si="89"/>
        <v>0</v>
      </c>
      <c r="L791" s="7">
        <v>0</v>
      </c>
      <c r="M791" s="7" t="s">
        <v>2609</v>
      </c>
      <c r="N791" s="7">
        <f>_xlfn.XLOOKUP(A791,[1]SKU!$A:$A,[1]SKU!$Z:$Z)</f>
        <v>3300000</v>
      </c>
    </row>
    <row r="792" spans="1:14">
      <c r="A792" s="1" t="s">
        <v>5456</v>
      </c>
      <c r="B792" s="2" t="s">
        <v>4472</v>
      </c>
      <c r="C792" s="2" t="s">
        <v>924</v>
      </c>
      <c r="D792" s="2" t="s">
        <v>5457</v>
      </c>
      <c r="E792" s="7" t="str">
        <f t="shared" si="77"/>
        <v>DSP</v>
      </c>
      <c r="F792" s="7" t="str">
        <f t="shared" si="84"/>
        <v>UNI</v>
      </c>
      <c r="G792" s="7" t="str">
        <f t="shared" si="85"/>
        <v>BAG</v>
      </c>
      <c r="H792" s="7" t="str">
        <f t="shared" si="86"/>
        <v>HDB</v>
      </c>
      <c r="I792" s="7" t="str">
        <f t="shared" si="87"/>
        <v>SH1</v>
      </c>
      <c r="J792" s="7" t="str">
        <f t="shared" si="88"/>
        <v>BBL</v>
      </c>
      <c r="K792" s="7" t="str">
        <f t="shared" si="89"/>
        <v>0</v>
      </c>
      <c r="L792" s="7">
        <v>0</v>
      </c>
      <c r="M792" s="7" t="s">
        <v>2609</v>
      </c>
      <c r="N792" s="7">
        <f>_xlfn.XLOOKUP(A792,[1]SKU!$A:$A,[1]SKU!$Z:$Z)</f>
        <v>4650000</v>
      </c>
    </row>
    <row r="793" spans="1:14">
      <c r="A793" s="1" t="s">
        <v>1014</v>
      </c>
      <c r="B793" s="2" t="s">
        <v>19</v>
      </c>
      <c r="C793" s="2" t="s">
        <v>33</v>
      </c>
      <c r="D793" s="2" t="s">
        <v>1015</v>
      </c>
      <c r="E793" s="7" t="str">
        <f t="shared" si="77"/>
        <v>OTH</v>
      </c>
      <c r="F793" s="7" t="str">
        <f t="shared" si="84"/>
        <v>UNI</v>
      </c>
      <c r="G793" s="7" t="str">
        <f t="shared" si="85"/>
        <v>FWR</v>
      </c>
      <c r="H793" s="7" t="str">
        <f t="shared" si="86"/>
        <v>SLI</v>
      </c>
      <c r="I793" s="7" t="str">
        <f t="shared" si="87"/>
        <v>VTM</v>
      </c>
      <c r="J793" s="7" t="str">
        <f t="shared" si="88"/>
        <v>BLK</v>
      </c>
      <c r="K793" s="7" t="str">
        <f t="shared" si="89"/>
        <v>40</v>
      </c>
      <c r="L793" s="7">
        <v>0</v>
      </c>
      <c r="M793" s="7" t="s">
        <v>2609</v>
      </c>
      <c r="N793" s="7">
        <f>_xlfn.XLOOKUP(A793,[1]SKU!$A:$A,[1]SKU!$Z:$Z)</f>
        <v>395000</v>
      </c>
    </row>
    <row r="794" spans="1:14">
      <c r="A794" s="1" t="s">
        <v>5458</v>
      </c>
      <c r="B794" s="2" t="s">
        <v>4472</v>
      </c>
      <c r="C794" s="2" t="s">
        <v>5459</v>
      </c>
      <c r="D794" s="2" t="s">
        <v>5460</v>
      </c>
      <c r="E794" s="7" t="str">
        <f t="shared" si="77"/>
        <v>HAM</v>
      </c>
      <c r="F794" s="7" t="str">
        <f t="shared" si="84"/>
        <v>UNI</v>
      </c>
      <c r="G794" s="7" t="str">
        <f t="shared" si="85"/>
        <v>JEW</v>
      </c>
      <c r="H794" s="7" t="str">
        <f t="shared" si="86"/>
        <v>NEC</v>
      </c>
      <c r="I794" s="7" t="str">
        <f t="shared" si="87"/>
        <v>D57</v>
      </c>
      <c r="J794" s="7" t="str">
        <f t="shared" si="88"/>
        <v>MIX</v>
      </c>
      <c r="K794" s="7" t="str">
        <f t="shared" si="89"/>
        <v>0</v>
      </c>
      <c r="L794" s="7">
        <v>0</v>
      </c>
      <c r="M794" s="7" t="s">
        <v>2609</v>
      </c>
      <c r="N794" s="7">
        <f>_xlfn.XLOOKUP(A794,[1]SKU!$A:$A,[1]SKU!$Z:$Z)</f>
        <v>2200000</v>
      </c>
    </row>
    <row r="795" spans="1:14">
      <c r="A795" s="1" t="s">
        <v>5461</v>
      </c>
      <c r="B795" s="2" t="s">
        <v>4472</v>
      </c>
      <c r="C795" s="2" t="s">
        <v>105</v>
      </c>
      <c r="D795" s="2" t="s">
        <v>5462</v>
      </c>
      <c r="E795" s="7" t="str">
        <f t="shared" si="77"/>
        <v>PSD</v>
      </c>
      <c r="F795" s="7" t="str">
        <f t="shared" si="84"/>
        <v>UNI</v>
      </c>
      <c r="G795" s="7" t="str">
        <f t="shared" si="85"/>
        <v>SOU</v>
      </c>
      <c r="H795" s="7" t="str">
        <f t="shared" si="86"/>
        <v>DEC</v>
      </c>
      <c r="I795" s="7" t="str">
        <f t="shared" si="87"/>
        <v>SBA</v>
      </c>
      <c r="J795" s="7" t="str">
        <f t="shared" si="88"/>
        <v>GRN</v>
      </c>
      <c r="K795" s="7" t="str">
        <f t="shared" si="89"/>
        <v>8</v>
      </c>
      <c r="L795" s="7">
        <v>0</v>
      </c>
      <c r="M795" s="7" t="s">
        <v>2609</v>
      </c>
      <c r="N795" s="7">
        <f>_xlfn.XLOOKUP(A795,[1]SKU!$A:$A,[1]SKU!$Z:$Z)</f>
        <v>290000</v>
      </c>
    </row>
    <row r="796" spans="1:14">
      <c r="A796" s="1" t="s">
        <v>5463</v>
      </c>
      <c r="B796" s="2" t="s">
        <v>4472</v>
      </c>
      <c r="C796" s="2" t="s">
        <v>5464</v>
      </c>
      <c r="D796" s="2" t="s">
        <v>5465</v>
      </c>
      <c r="E796" s="7" t="str">
        <f t="shared" si="77"/>
        <v>EDE</v>
      </c>
      <c r="F796" s="7" t="str">
        <f t="shared" ref="F796:F859" si="90">_xlfn.TEXTBEFORE(_xlfn.TEXTAFTER(D796,"-",2),"-")</f>
        <v>UNI</v>
      </c>
      <c r="G796" s="7" t="str">
        <f t="shared" ref="G796:G859" si="91">_xlfn.TEXTBEFORE(_xlfn.TEXTAFTER(D796,"-",3),"-")</f>
        <v>BAG</v>
      </c>
      <c r="H796" s="7" t="str">
        <f t="shared" ref="H796:H859" si="92">_xlfn.TEXTBEFORE(_xlfn.TEXTAFTER(D796,"-",4),"-")</f>
        <v>CLU</v>
      </c>
      <c r="I796" s="7" t="str">
        <f t="shared" ref="I796:I859" si="93">_xlfn.TEXTBEFORE(_xlfn.TEXTAFTER(D796,"-",5),"-")</f>
        <v>TWF</v>
      </c>
      <c r="J796" s="7" t="str">
        <f t="shared" ref="J796:J859" si="94">_xlfn.TEXTBEFORE(_xlfn.TEXTAFTER(D796,"-",6),"-")</f>
        <v>MIX</v>
      </c>
      <c r="K796" s="7" t="str">
        <f t="shared" ref="K796:K859" si="95">_xlfn.TEXTAFTER(D796,"-",7)</f>
        <v>0</v>
      </c>
      <c r="L796" s="7">
        <v>0</v>
      </c>
      <c r="M796" s="7" t="s">
        <v>2609</v>
      </c>
      <c r="N796" s="7">
        <f>_xlfn.XLOOKUP(A796,[1]SKU!$A:$A,[1]SKU!$Z:$Z)</f>
        <v>310000</v>
      </c>
    </row>
    <row r="797" spans="1:14">
      <c r="A797" s="1" t="s">
        <v>1017</v>
      </c>
      <c r="B797" s="2" t="s">
        <v>19</v>
      </c>
      <c r="C797" s="2" t="s">
        <v>1018</v>
      </c>
      <c r="D797" s="2" t="s">
        <v>1019</v>
      </c>
      <c r="E797" s="7" t="str">
        <f t="shared" si="77"/>
        <v>OTH</v>
      </c>
      <c r="F797" s="7" t="str">
        <f t="shared" si="90"/>
        <v>UNI</v>
      </c>
      <c r="G797" s="7" t="str">
        <f t="shared" si="91"/>
        <v>SOU</v>
      </c>
      <c r="H797" s="7" t="str">
        <f t="shared" si="92"/>
        <v>HFP</v>
      </c>
      <c r="I797" s="7" t="str">
        <f t="shared" si="93"/>
        <v>HNC</v>
      </c>
      <c r="J797" s="7" t="str">
        <f t="shared" si="94"/>
        <v>WHI</v>
      </c>
      <c r="K797" s="7" t="str">
        <f t="shared" si="95"/>
        <v>0</v>
      </c>
      <c r="L797" s="7">
        <v>0</v>
      </c>
      <c r="M797" s="7" t="s">
        <v>2609</v>
      </c>
      <c r="N797" s="7">
        <f>_xlfn.XLOOKUP(A797,[1]SKU!$A:$A,[1]SKU!$Z:$Z)</f>
        <v>295000</v>
      </c>
    </row>
    <row r="798" spans="1:14">
      <c r="A798" s="1" t="s">
        <v>5466</v>
      </c>
      <c r="B798" s="2" t="s">
        <v>4472</v>
      </c>
      <c r="C798" s="2" t="s">
        <v>5467</v>
      </c>
      <c r="D798" s="2" t="s">
        <v>5468</v>
      </c>
      <c r="E798" s="7" t="str">
        <f t="shared" si="77"/>
        <v>NGO</v>
      </c>
      <c r="F798" s="7" t="str">
        <f t="shared" si="90"/>
        <v>UNI</v>
      </c>
      <c r="G798" s="7" t="str">
        <f t="shared" si="91"/>
        <v>FWR</v>
      </c>
      <c r="H798" s="7" t="str">
        <f t="shared" si="92"/>
        <v>SNE</v>
      </c>
      <c r="I798" s="7" t="str">
        <f t="shared" si="93"/>
        <v>MCS</v>
      </c>
      <c r="J798" s="7" t="str">
        <f t="shared" si="94"/>
        <v>BSR</v>
      </c>
      <c r="K798" s="7" t="str">
        <f t="shared" si="95"/>
        <v>41</v>
      </c>
      <c r="L798" s="7">
        <v>0</v>
      </c>
      <c r="M798" s="7" t="s">
        <v>2609</v>
      </c>
      <c r="N798" s="7">
        <f>_xlfn.XLOOKUP(A798,[1]SKU!$A:$A,[1]SKU!$Z:$Z)</f>
        <v>2650000</v>
      </c>
    </row>
    <row r="799" spans="1:14">
      <c r="A799" s="1" t="s">
        <v>5469</v>
      </c>
      <c r="B799" s="2" t="s">
        <v>4472</v>
      </c>
      <c r="C799" s="2" t="s">
        <v>924</v>
      </c>
      <c r="D799" s="2" t="s">
        <v>5470</v>
      </c>
      <c r="E799" s="7" t="str">
        <f t="shared" si="77"/>
        <v>DSP</v>
      </c>
      <c r="F799" s="7" t="str">
        <f t="shared" si="90"/>
        <v>UNI</v>
      </c>
      <c r="G799" s="7" t="str">
        <f t="shared" si="91"/>
        <v>BAG</v>
      </c>
      <c r="H799" s="7" t="str">
        <f t="shared" si="92"/>
        <v>HDB</v>
      </c>
      <c r="I799" s="7" t="str">
        <f t="shared" si="93"/>
        <v>SH1</v>
      </c>
      <c r="J799" s="7" t="str">
        <f t="shared" si="94"/>
        <v>RED</v>
      </c>
      <c r="K799" s="7" t="str">
        <f t="shared" si="95"/>
        <v>0</v>
      </c>
      <c r="L799" s="7">
        <v>0</v>
      </c>
      <c r="M799" s="7" t="s">
        <v>2609</v>
      </c>
      <c r="N799" s="7">
        <f>_xlfn.XLOOKUP(A799,[1]SKU!$A:$A,[1]SKU!$Z:$Z)</f>
        <v>4650000</v>
      </c>
    </row>
    <row r="800" spans="1:14">
      <c r="A800" s="1" t="s">
        <v>5471</v>
      </c>
      <c r="B800" s="2" t="s">
        <v>4472</v>
      </c>
      <c r="C800" s="2" t="s">
        <v>5472</v>
      </c>
      <c r="D800" s="2" t="s">
        <v>5473</v>
      </c>
      <c r="E800" s="7" t="str">
        <f t="shared" si="77"/>
        <v>LAN</v>
      </c>
      <c r="F800" s="7" t="str">
        <f t="shared" si="90"/>
        <v>UNI</v>
      </c>
      <c r="G800" s="7" t="str">
        <f t="shared" si="91"/>
        <v>HWR</v>
      </c>
      <c r="H800" s="7" t="str">
        <f t="shared" si="92"/>
        <v>SC2</v>
      </c>
      <c r="I800" s="7" t="str">
        <f t="shared" si="93"/>
        <v>DTD</v>
      </c>
      <c r="J800" s="7" t="str">
        <f t="shared" si="94"/>
        <v>GRN</v>
      </c>
      <c r="K800" s="7" t="str">
        <f t="shared" si="95"/>
        <v>6x130</v>
      </c>
      <c r="L800" s="7">
        <v>0</v>
      </c>
      <c r="M800" s="7" t="s">
        <v>2609</v>
      </c>
      <c r="N800" s="7">
        <f>_xlfn.XLOOKUP(A800,[1]SKU!$A:$A,[1]SKU!$Z:$Z)</f>
        <v>365000</v>
      </c>
    </row>
    <row r="801" spans="1:14">
      <c r="A801" s="1" t="s">
        <v>5474</v>
      </c>
      <c r="B801" s="2" t="s">
        <v>4472</v>
      </c>
      <c r="C801" s="2" t="s">
        <v>4516</v>
      </c>
      <c r="D801" s="2" t="s">
        <v>5475</v>
      </c>
      <c r="E801" s="7" t="str">
        <f t="shared" si="77"/>
        <v>DSP</v>
      </c>
      <c r="F801" s="7" t="str">
        <f t="shared" si="90"/>
        <v>UNI</v>
      </c>
      <c r="G801" s="7" t="str">
        <f t="shared" si="91"/>
        <v>BAG</v>
      </c>
      <c r="H801" s="7" t="str">
        <f t="shared" si="92"/>
        <v>HDB</v>
      </c>
      <c r="I801" s="7" t="str">
        <f t="shared" si="93"/>
        <v>ABG</v>
      </c>
      <c r="J801" s="7" t="str">
        <f t="shared" si="94"/>
        <v>COP</v>
      </c>
      <c r="K801" s="7" t="str">
        <f t="shared" si="95"/>
        <v>L</v>
      </c>
      <c r="L801" s="7">
        <v>0</v>
      </c>
      <c r="M801" s="7" t="s">
        <v>2609</v>
      </c>
      <c r="N801" s="7">
        <f>_xlfn.XLOOKUP(A801,[1]SKU!$A:$A,[1]SKU!$Z:$Z)</f>
        <v>4800000</v>
      </c>
    </row>
    <row r="802" spans="1:14">
      <c r="A802" s="1" t="s">
        <v>1020</v>
      </c>
      <c r="B802" s="2" t="s">
        <v>3</v>
      </c>
      <c r="C802" s="2" t="s">
        <v>146</v>
      </c>
      <c r="D802" s="2" t="s">
        <v>1021</v>
      </c>
      <c r="E802" s="7" t="str">
        <f t="shared" si="77"/>
        <v>GOR</v>
      </c>
      <c r="F802" s="7" t="str">
        <f t="shared" si="90"/>
        <v>MEN</v>
      </c>
      <c r="G802" s="7" t="str">
        <f t="shared" si="91"/>
        <v>TSS</v>
      </c>
      <c r="H802" s="7" t="str">
        <f t="shared" si="92"/>
        <v>ONE</v>
      </c>
      <c r="I802" s="7" t="str">
        <f t="shared" si="93"/>
        <v>BPP</v>
      </c>
      <c r="J802" s="7" t="str">
        <f t="shared" si="94"/>
        <v>BLK</v>
      </c>
      <c r="K802" s="7" t="str">
        <f t="shared" si="95"/>
        <v>M</v>
      </c>
      <c r="L802" s="7" t="s">
        <v>2018</v>
      </c>
      <c r="M802" s="7" t="s">
        <v>4462</v>
      </c>
      <c r="N802" s="7">
        <f>_xlfn.XLOOKUP(A802,[1]SKU!$A:$A,[1]SKU!$Z:$Z)</f>
        <v>810000</v>
      </c>
    </row>
    <row r="803" spans="1:14">
      <c r="A803" s="1" t="s">
        <v>1022</v>
      </c>
      <c r="B803" s="2" t="s">
        <v>3</v>
      </c>
      <c r="C803" s="2" t="s">
        <v>16</v>
      </c>
      <c r="D803" s="2" t="s">
        <v>1023</v>
      </c>
      <c r="E803" s="7" t="str">
        <f t="shared" si="77"/>
        <v>GOR</v>
      </c>
      <c r="F803" s="7" t="str">
        <f t="shared" si="90"/>
        <v>KID</v>
      </c>
      <c r="G803" s="7" t="str">
        <f t="shared" si="91"/>
        <v>TSS</v>
      </c>
      <c r="H803" s="7" t="str">
        <f t="shared" si="92"/>
        <v>ONE</v>
      </c>
      <c r="I803" s="7" t="str">
        <f t="shared" si="93"/>
        <v>SMP</v>
      </c>
      <c r="J803" s="7" t="str">
        <f t="shared" si="94"/>
        <v>WHI</v>
      </c>
      <c r="K803" s="7" t="str">
        <f t="shared" si="95"/>
        <v>4</v>
      </c>
      <c r="L803" s="7" t="s">
        <v>2018</v>
      </c>
      <c r="M803" s="7" t="s">
        <v>4462</v>
      </c>
      <c r="N803" s="7">
        <f>_xlfn.XLOOKUP(A803,[1]SKU!$A:$A,[1]SKU!$Z:$Z)</f>
        <v>590000</v>
      </c>
    </row>
    <row r="804" spans="1:14">
      <c r="A804" s="1" t="s">
        <v>5476</v>
      </c>
      <c r="B804" s="2" t="s">
        <v>4472</v>
      </c>
      <c r="C804" s="2" t="s">
        <v>5477</v>
      </c>
      <c r="D804" s="2" t="s">
        <v>5478</v>
      </c>
      <c r="E804" s="7" t="str">
        <f t="shared" si="77"/>
        <v>LAN</v>
      </c>
      <c r="F804" s="7" t="str">
        <f t="shared" si="90"/>
        <v>UNI</v>
      </c>
      <c r="G804" s="7" t="str">
        <f t="shared" si="91"/>
        <v>HWR</v>
      </c>
      <c r="H804" s="7" t="str">
        <f t="shared" si="92"/>
        <v>SC2</v>
      </c>
      <c r="I804" s="7" t="str">
        <f t="shared" si="93"/>
        <v>SDT</v>
      </c>
      <c r="J804" s="7" t="str">
        <f t="shared" si="94"/>
        <v>PIN</v>
      </c>
      <c r="K804" s="7" t="str">
        <f t="shared" si="95"/>
        <v>90x90</v>
      </c>
      <c r="L804" s="7">
        <v>0</v>
      </c>
      <c r="M804" s="7" t="s">
        <v>2609</v>
      </c>
      <c r="N804" s="7">
        <f>_xlfn.XLOOKUP(A804,[1]SKU!$A:$A,[1]SKU!$Z:$Z)</f>
        <v>989000</v>
      </c>
    </row>
    <row r="805" spans="1:14">
      <c r="A805" s="1" t="s">
        <v>1024</v>
      </c>
      <c r="B805" s="2" t="s">
        <v>3</v>
      </c>
      <c r="C805" s="2" t="s">
        <v>75</v>
      </c>
      <c r="D805" s="2" t="s">
        <v>1025</v>
      </c>
      <c r="E805" s="7" t="str">
        <f t="shared" si="77"/>
        <v>GSL</v>
      </c>
      <c r="F805" s="7" t="str">
        <f t="shared" si="90"/>
        <v>KID</v>
      </c>
      <c r="G805" s="7" t="str">
        <f t="shared" si="91"/>
        <v>APP</v>
      </c>
      <c r="H805" s="7" t="str">
        <f t="shared" si="92"/>
        <v>BNE</v>
      </c>
      <c r="I805" s="7" t="str">
        <f t="shared" si="93"/>
        <v>HOA</v>
      </c>
      <c r="J805" s="7" t="str">
        <f t="shared" si="94"/>
        <v>WHI</v>
      </c>
      <c r="K805" s="7" t="str">
        <f t="shared" si="95"/>
        <v>6</v>
      </c>
      <c r="L805" s="7" t="s">
        <v>2117</v>
      </c>
      <c r="M805" s="7" t="s">
        <v>2117</v>
      </c>
      <c r="N805" s="7">
        <f>_xlfn.XLOOKUP(A805,[1]SKU!$A:$A,[1]SKU!$Z:$Z)</f>
        <v>550000</v>
      </c>
    </row>
    <row r="806" spans="1:14">
      <c r="A806" s="1" t="s">
        <v>5479</v>
      </c>
      <c r="B806" s="2" t="s">
        <v>4472</v>
      </c>
      <c r="C806" s="2" t="s">
        <v>1013</v>
      </c>
      <c r="D806" s="2" t="s">
        <v>5480</v>
      </c>
      <c r="E806" s="7" t="str">
        <f t="shared" si="77"/>
        <v>DSP</v>
      </c>
      <c r="F806" s="7" t="str">
        <f t="shared" si="90"/>
        <v>UNI</v>
      </c>
      <c r="G806" s="7" t="str">
        <f t="shared" si="91"/>
        <v>BAG</v>
      </c>
      <c r="H806" s="7" t="str">
        <f t="shared" si="92"/>
        <v>WAL</v>
      </c>
      <c r="I806" s="7" t="str">
        <f t="shared" si="93"/>
        <v>BAR</v>
      </c>
      <c r="J806" s="7" t="str">
        <f t="shared" si="94"/>
        <v>RAI</v>
      </c>
      <c r="K806" s="7" t="str">
        <f t="shared" si="95"/>
        <v>0</v>
      </c>
      <c r="L806" s="7">
        <v>0</v>
      </c>
      <c r="M806" s="7" t="s">
        <v>2609</v>
      </c>
      <c r="N806" s="7">
        <f>_xlfn.XLOOKUP(A806,[1]SKU!$A:$A,[1]SKU!$Z:$Z)</f>
        <v>3300000</v>
      </c>
    </row>
    <row r="807" spans="1:14">
      <c r="A807" s="1" t="s">
        <v>5481</v>
      </c>
      <c r="B807" s="2" t="s">
        <v>4472</v>
      </c>
      <c r="C807" s="2" t="s">
        <v>1026</v>
      </c>
      <c r="D807" s="2" t="s">
        <v>5482</v>
      </c>
      <c r="E807" s="7" t="str">
        <f t="shared" si="77"/>
        <v>VNE</v>
      </c>
      <c r="F807" s="7" t="str">
        <f t="shared" si="90"/>
        <v>UNI</v>
      </c>
      <c r="G807" s="7" t="str">
        <f t="shared" si="91"/>
        <v>SOU</v>
      </c>
      <c r="H807" s="7" t="str">
        <f t="shared" si="92"/>
        <v>SMS</v>
      </c>
      <c r="I807" s="7" t="str">
        <f t="shared" si="93"/>
        <v>PAR</v>
      </c>
      <c r="J807" s="7" t="str">
        <f t="shared" si="94"/>
        <v>SGR</v>
      </c>
      <c r="K807" s="7" t="str">
        <f t="shared" si="95"/>
        <v>10CM</v>
      </c>
      <c r="L807" s="7">
        <v>0</v>
      </c>
      <c r="M807" s="7" t="s">
        <v>2609</v>
      </c>
      <c r="N807" s="7">
        <f>_xlfn.XLOOKUP(A807,[1]SKU!$A:$A,[1]SKU!$Z:$Z)</f>
        <v>3500000</v>
      </c>
    </row>
    <row r="808" spans="1:14">
      <c r="A808" s="1" t="s">
        <v>5483</v>
      </c>
      <c r="B808" s="2" t="s">
        <v>4472</v>
      </c>
      <c r="C808" s="2" t="s">
        <v>513</v>
      </c>
      <c r="D808" s="2" t="s">
        <v>5484</v>
      </c>
      <c r="E808" s="7" t="str">
        <f t="shared" si="77"/>
        <v>DSP</v>
      </c>
      <c r="F808" s="7" t="str">
        <f t="shared" si="90"/>
        <v>UNI</v>
      </c>
      <c r="G808" s="7" t="str">
        <f t="shared" si="91"/>
        <v>HDR</v>
      </c>
      <c r="H808" s="7" t="str">
        <f t="shared" si="92"/>
        <v>SAS</v>
      </c>
      <c r="I808" s="7" t="str">
        <f t="shared" si="93"/>
        <v>DEL</v>
      </c>
      <c r="J808" s="7" t="str">
        <f t="shared" si="94"/>
        <v>SLR</v>
      </c>
      <c r="K808" s="7" t="str">
        <f t="shared" si="95"/>
        <v>0</v>
      </c>
      <c r="L808" s="7">
        <v>0</v>
      </c>
      <c r="M808" s="7" t="s">
        <v>2609</v>
      </c>
      <c r="N808" s="7">
        <f>_xlfn.XLOOKUP(A808,[1]SKU!$A:$A,[1]SKU!$Z:$Z)</f>
        <v>1400000</v>
      </c>
    </row>
    <row r="809" spans="1:14">
      <c r="A809" s="1" t="s">
        <v>5485</v>
      </c>
      <c r="B809" s="2" t="s">
        <v>4472</v>
      </c>
      <c r="C809" s="2" t="s">
        <v>513</v>
      </c>
      <c r="D809" s="2" t="s">
        <v>5484</v>
      </c>
      <c r="E809" s="7" t="str">
        <f t="shared" si="77"/>
        <v>DSP</v>
      </c>
      <c r="F809" s="7" t="str">
        <f t="shared" si="90"/>
        <v>UNI</v>
      </c>
      <c r="G809" s="7" t="str">
        <f t="shared" si="91"/>
        <v>HDR</v>
      </c>
      <c r="H809" s="7" t="str">
        <f t="shared" si="92"/>
        <v>SAS</v>
      </c>
      <c r="I809" s="7" t="str">
        <f t="shared" si="93"/>
        <v>DEL</v>
      </c>
      <c r="J809" s="7" t="str">
        <f t="shared" si="94"/>
        <v>SLR</v>
      </c>
      <c r="K809" s="7" t="str">
        <f t="shared" si="95"/>
        <v>0</v>
      </c>
      <c r="L809" s="7">
        <v>0</v>
      </c>
      <c r="M809" s="7" t="s">
        <v>2609</v>
      </c>
      <c r="N809" s="7">
        <f>_xlfn.XLOOKUP(A809,[1]SKU!$A:$A,[1]SKU!$Z:$Z)</f>
        <v>1400000</v>
      </c>
    </row>
    <row r="810" spans="1:14">
      <c r="A810" s="1" t="s">
        <v>1027</v>
      </c>
      <c r="B810" s="2" t="s">
        <v>3</v>
      </c>
      <c r="C810" s="2" t="s">
        <v>192</v>
      </c>
      <c r="D810" s="2" t="s">
        <v>1028</v>
      </c>
      <c r="E810" s="7" t="str">
        <f t="shared" si="77"/>
        <v>GOR</v>
      </c>
      <c r="F810" s="7" t="str">
        <f t="shared" si="90"/>
        <v>WOM</v>
      </c>
      <c r="G810" s="7" t="str">
        <f t="shared" si="91"/>
        <v>TTB</v>
      </c>
      <c r="H810" s="7" t="str">
        <f t="shared" si="92"/>
        <v>BNE</v>
      </c>
      <c r="I810" s="7" t="str">
        <f t="shared" si="93"/>
        <v>VNM</v>
      </c>
      <c r="J810" s="7" t="str">
        <f t="shared" si="94"/>
        <v>ATT</v>
      </c>
      <c r="K810" s="7" t="str">
        <f t="shared" si="95"/>
        <v>M</v>
      </c>
      <c r="L810" s="7" t="s">
        <v>2326</v>
      </c>
      <c r="M810" s="7" t="s">
        <v>4469</v>
      </c>
      <c r="N810" s="7">
        <f>_xlfn.XLOOKUP(A810,[1]SKU!$A:$A,[1]SKU!$Z:$Z)</f>
        <v>790000</v>
      </c>
    </row>
    <row r="811" spans="1:14">
      <c r="A811" s="1" t="s">
        <v>5486</v>
      </c>
      <c r="B811" s="2" t="s">
        <v>4472</v>
      </c>
      <c r="C811" s="2" t="s">
        <v>239</v>
      </c>
      <c r="D811" s="2" t="s">
        <v>5487</v>
      </c>
      <c r="E811" s="7" t="str">
        <f t="shared" si="77"/>
        <v>DSP</v>
      </c>
      <c r="F811" s="7" t="str">
        <f t="shared" si="90"/>
        <v>UNI</v>
      </c>
      <c r="G811" s="7" t="str">
        <f t="shared" si="91"/>
        <v>BAG</v>
      </c>
      <c r="H811" s="7" t="str">
        <f t="shared" si="92"/>
        <v>CLU</v>
      </c>
      <c r="I811" s="7" t="str">
        <f t="shared" si="93"/>
        <v>MIL</v>
      </c>
      <c r="J811" s="7" t="str">
        <f t="shared" si="94"/>
        <v>BLK</v>
      </c>
      <c r="K811" s="7" t="str">
        <f t="shared" si="95"/>
        <v>0</v>
      </c>
      <c r="L811" s="7">
        <v>0</v>
      </c>
      <c r="M811" s="7" t="s">
        <v>2609</v>
      </c>
      <c r="N811" s="7">
        <f>_xlfn.XLOOKUP(A811,[1]SKU!$A:$A,[1]SKU!$Z:$Z)</f>
        <v>7950000</v>
      </c>
    </row>
    <row r="812" spans="1:14">
      <c r="A812" s="1" t="s">
        <v>5488</v>
      </c>
      <c r="B812" s="2" t="s">
        <v>4472</v>
      </c>
      <c r="C812" s="2" t="s">
        <v>1030</v>
      </c>
      <c r="D812" s="2" t="s">
        <v>5489</v>
      </c>
      <c r="E812" s="7" t="str">
        <f t="shared" si="77"/>
        <v>HAM</v>
      </c>
      <c r="F812" s="7" t="str">
        <f t="shared" si="90"/>
        <v>UNI</v>
      </c>
      <c r="G812" s="7" t="str">
        <f t="shared" si="91"/>
        <v>JEW</v>
      </c>
      <c r="H812" s="7" t="str">
        <f t="shared" si="92"/>
        <v>BRA</v>
      </c>
      <c r="I812" s="7" t="str">
        <f t="shared" si="93"/>
        <v>SBR</v>
      </c>
      <c r="J812" s="7" t="str">
        <f t="shared" si="94"/>
        <v>MIX</v>
      </c>
      <c r="K812" s="7" t="str">
        <f t="shared" si="95"/>
        <v>0</v>
      </c>
      <c r="L812" s="7">
        <v>0</v>
      </c>
      <c r="M812" s="7" t="s">
        <v>2609</v>
      </c>
      <c r="N812" s="7">
        <f>_xlfn.XLOOKUP(A812,[1]SKU!$A:$A,[1]SKU!$Z:$Z)</f>
        <v>600000</v>
      </c>
    </row>
    <row r="813" spans="1:14">
      <c r="A813" s="1" t="s">
        <v>5490</v>
      </c>
      <c r="B813" s="2" t="s">
        <v>4472</v>
      </c>
      <c r="C813" s="2" t="s">
        <v>1031</v>
      </c>
      <c r="D813" s="2" t="s">
        <v>5491</v>
      </c>
      <c r="E813" s="7" t="str">
        <f t="shared" si="77"/>
        <v>MSA</v>
      </c>
      <c r="F813" s="7" t="str">
        <f t="shared" si="90"/>
        <v>UNI</v>
      </c>
      <c r="G813" s="7" t="str">
        <f t="shared" si="91"/>
        <v>FNB</v>
      </c>
      <c r="H813" s="7" t="str">
        <f t="shared" si="92"/>
        <v>SAK</v>
      </c>
      <c r="I813" s="7" t="str">
        <f t="shared" si="93"/>
        <v>PUE</v>
      </c>
      <c r="J813" s="7" t="str">
        <f t="shared" si="94"/>
        <v>MIX</v>
      </c>
      <c r="K813" s="7" t="str">
        <f t="shared" si="95"/>
        <v>300</v>
      </c>
      <c r="L813" s="7">
        <v>0</v>
      </c>
      <c r="M813" s="7" t="s">
        <v>2609</v>
      </c>
      <c r="N813" s="7">
        <f>_xlfn.XLOOKUP(A813,[1]SKU!$A:$A,[1]SKU!$Z:$Z)</f>
        <v>215000</v>
      </c>
    </row>
    <row r="814" spans="1:14">
      <c r="A814" s="1" t="s">
        <v>5492</v>
      </c>
      <c r="B814" s="2" t="s">
        <v>4472</v>
      </c>
      <c r="C814" s="2" t="s">
        <v>1032</v>
      </c>
      <c r="D814" s="2" t="s">
        <v>5493</v>
      </c>
      <c r="E814" s="7" t="str">
        <f t="shared" si="77"/>
        <v>DSP</v>
      </c>
      <c r="F814" s="7" t="str">
        <f t="shared" si="90"/>
        <v>UNI</v>
      </c>
      <c r="G814" s="7" t="str">
        <f t="shared" si="91"/>
        <v>FWR</v>
      </c>
      <c r="H814" s="7" t="str">
        <f t="shared" si="92"/>
        <v>LES</v>
      </c>
      <c r="I814" s="7" t="str">
        <f t="shared" si="93"/>
        <v>PEN</v>
      </c>
      <c r="J814" s="7" t="str">
        <f t="shared" si="94"/>
        <v>TAN</v>
      </c>
      <c r="K814" s="7" t="str">
        <f t="shared" si="95"/>
        <v>39</v>
      </c>
      <c r="L814" s="7">
        <v>0</v>
      </c>
      <c r="M814" s="7" t="s">
        <v>2609</v>
      </c>
      <c r="N814" s="7">
        <f>_xlfn.XLOOKUP(A814,[1]SKU!$A:$A,[1]SKU!$Z:$Z)</f>
        <v>7800000</v>
      </c>
    </row>
    <row r="815" spans="1:14">
      <c r="A815" s="1" t="s">
        <v>1033</v>
      </c>
      <c r="B815" s="2" t="s">
        <v>3</v>
      </c>
      <c r="C815" s="2" t="s">
        <v>38</v>
      </c>
      <c r="D815" s="2" t="s">
        <v>1034</v>
      </c>
      <c r="E815" s="7" t="str">
        <f t="shared" si="77"/>
        <v>GPI</v>
      </c>
      <c r="F815" s="7" t="str">
        <f t="shared" si="90"/>
        <v>MEN</v>
      </c>
      <c r="G815" s="7" t="str">
        <f t="shared" si="91"/>
        <v>POL</v>
      </c>
      <c r="H815" s="7" t="str">
        <f t="shared" si="92"/>
        <v>RIB</v>
      </c>
      <c r="I815" s="7" t="str">
        <f t="shared" si="93"/>
        <v>LOG</v>
      </c>
      <c r="J815" s="7" t="str">
        <f t="shared" si="94"/>
        <v>AGD</v>
      </c>
      <c r="K815" s="7" t="str">
        <f t="shared" si="95"/>
        <v>S</v>
      </c>
      <c r="L815" s="7" t="s">
        <v>1995</v>
      </c>
      <c r="M815" s="7" t="s">
        <v>4468</v>
      </c>
      <c r="N815" s="7">
        <f>_xlfn.XLOOKUP(A815,[1]SKU!$A:$A,[1]SKU!$Z:$Z)</f>
        <v>1390000</v>
      </c>
    </row>
    <row r="816" spans="1:14">
      <c r="A816" s="1" t="s">
        <v>1035</v>
      </c>
      <c r="B816" s="2" t="s">
        <v>3</v>
      </c>
      <c r="C816" s="2" t="s">
        <v>167</v>
      </c>
      <c r="D816" s="2" t="s">
        <v>1036</v>
      </c>
      <c r="E816" s="7" t="str">
        <f t="shared" si="77"/>
        <v>GFN</v>
      </c>
      <c r="F816" s="7" t="str">
        <f t="shared" si="90"/>
        <v>MEN</v>
      </c>
      <c r="G816" s="7" t="str">
        <f t="shared" si="91"/>
        <v>SHS</v>
      </c>
      <c r="H816" s="7" t="str">
        <f t="shared" si="92"/>
        <v>EBT</v>
      </c>
      <c r="I816" s="7" t="str">
        <f t="shared" si="93"/>
        <v>TJM</v>
      </c>
      <c r="J816" s="7" t="str">
        <f t="shared" si="94"/>
        <v>BLK</v>
      </c>
      <c r="K816" s="7" t="str">
        <f t="shared" si="95"/>
        <v>S</v>
      </c>
      <c r="L816" s="7" t="s">
        <v>2752</v>
      </c>
      <c r="M816" s="7" t="s">
        <v>4463</v>
      </c>
      <c r="N816" s="7">
        <f>_xlfn.XLOOKUP(A816,[1]SKU!$A:$A,[1]SKU!$Z:$Z)</f>
        <v>1050000</v>
      </c>
    </row>
    <row r="817" spans="1:14">
      <c r="A817" s="1" t="s">
        <v>5494</v>
      </c>
      <c r="B817" s="2" t="s">
        <v>4472</v>
      </c>
      <c r="C817" s="2" t="s">
        <v>5495</v>
      </c>
      <c r="D817" s="2" t="s">
        <v>5496</v>
      </c>
      <c r="E817" s="7" t="str">
        <f t="shared" si="77"/>
        <v>EDE</v>
      </c>
      <c r="F817" s="7" t="str">
        <f t="shared" si="90"/>
        <v>UNI</v>
      </c>
      <c r="G817" s="7" t="str">
        <f t="shared" si="91"/>
        <v>HDR</v>
      </c>
      <c r="H817" s="7" t="str">
        <f t="shared" si="92"/>
        <v>CUS</v>
      </c>
      <c r="I817" s="7" t="str">
        <f t="shared" si="93"/>
        <v>LAO</v>
      </c>
      <c r="J817" s="7" t="str">
        <f t="shared" si="94"/>
        <v>WHI</v>
      </c>
      <c r="K817" s="7" t="str">
        <f t="shared" si="95"/>
        <v>0</v>
      </c>
      <c r="L817" s="7">
        <v>0</v>
      </c>
      <c r="M817" s="7" t="s">
        <v>2609</v>
      </c>
      <c r="N817" s="7">
        <f>_xlfn.XLOOKUP(A817,[1]SKU!$A:$A,[1]SKU!$Z:$Z)</f>
        <v>480000</v>
      </c>
    </row>
    <row r="818" spans="1:14">
      <c r="A818" s="1" t="s">
        <v>5497</v>
      </c>
      <c r="B818" s="2" t="s">
        <v>4472</v>
      </c>
      <c r="C818" s="2" t="s">
        <v>4683</v>
      </c>
      <c r="D818" s="2" t="s">
        <v>5498</v>
      </c>
      <c r="E818" s="7" t="str">
        <f t="shared" si="77"/>
        <v>HAM</v>
      </c>
      <c r="F818" s="7" t="str">
        <f t="shared" si="90"/>
        <v>UNI</v>
      </c>
      <c r="G818" s="7" t="str">
        <f t="shared" si="91"/>
        <v>JEW</v>
      </c>
      <c r="H818" s="7" t="str">
        <f t="shared" si="92"/>
        <v>NEC</v>
      </c>
      <c r="I818" s="7" t="str">
        <f t="shared" si="93"/>
        <v>101</v>
      </c>
      <c r="J818" s="7" t="str">
        <f t="shared" si="94"/>
        <v>MIX</v>
      </c>
      <c r="K818" s="7" t="str">
        <f t="shared" si="95"/>
        <v>0</v>
      </c>
      <c r="L818" s="7">
        <v>0</v>
      </c>
      <c r="M818" s="7" t="s">
        <v>2609</v>
      </c>
      <c r="N818" s="7">
        <f>_xlfn.XLOOKUP(A818,[1]SKU!$A:$A,[1]SKU!$Z:$Z)</f>
        <v>1800000</v>
      </c>
    </row>
    <row r="819" spans="1:14">
      <c r="A819" s="1" t="s">
        <v>1038</v>
      </c>
      <c r="B819" s="2" t="s">
        <v>3</v>
      </c>
      <c r="C819" s="2" t="s">
        <v>23</v>
      </c>
      <c r="D819" s="2" t="s">
        <v>1039</v>
      </c>
      <c r="E819" s="7" t="str">
        <f t="shared" si="77"/>
        <v>GBA</v>
      </c>
      <c r="F819" s="7" t="str">
        <f t="shared" si="90"/>
        <v>MEN</v>
      </c>
      <c r="G819" s="7" t="str">
        <f t="shared" si="91"/>
        <v>TSS</v>
      </c>
      <c r="H819" s="7" t="str">
        <f t="shared" si="92"/>
        <v>ONE</v>
      </c>
      <c r="I819" s="7" t="str">
        <f t="shared" si="93"/>
        <v>URB</v>
      </c>
      <c r="J819" s="7" t="str">
        <f t="shared" si="94"/>
        <v>JBG</v>
      </c>
      <c r="K819" s="7" t="str">
        <f t="shared" si="95"/>
        <v>M</v>
      </c>
      <c r="L819" s="7" t="s">
        <v>2018</v>
      </c>
      <c r="M819" s="7" t="s">
        <v>4462</v>
      </c>
      <c r="N819" s="7">
        <f>_xlfn.XLOOKUP(A819,[1]SKU!$A:$A,[1]SKU!$Z:$Z)</f>
        <v>710000</v>
      </c>
    </row>
    <row r="820" spans="1:14">
      <c r="A820" s="1" t="s">
        <v>1040</v>
      </c>
      <c r="B820" s="2" t="s">
        <v>3</v>
      </c>
      <c r="C820" s="2" t="s">
        <v>149</v>
      </c>
      <c r="D820" s="2" t="s">
        <v>1041</v>
      </c>
      <c r="E820" s="7" t="str">
        <f t="shared" si="77"/>
        <v>GOR</v>
      </c>
      <c r="F820" s="7" t="str">
        <f t="shared" si="90"/>
        <v>MEN</v>
      </c>
      <c r="G820" s="7" t="str">
        <f t="shared" si="91"/>
        <v>TSS</v>
      </c>
      <c r="H820" s="7" t="str">
        <f t="shared" si="92"/>
        <v>ONE</v>
      </c>
      <c r="I820" s="7" t="str">
        <f t="shared" si="93"/>
        <v>OQR</v>
      </c>
      <c r="J820" s="7" t="str">
        <f t="shared" si="94"/>
        <v>GRE</v>
      </c>
      <c r="K820" s="7" t="str">
        <f t="shared" si="95"/>
        <v>XL</v>
      </c>
      <c r="L820" s="7" t="s">
        <v>2018</v>
      </c>
      <c r="M820" s="7" t="s">
        <v>4462</v>
      </c>
      <c r="N820" s="7">
        <f>_xlfn.XLOOKUP(A820,[1]SKU!$A:$A,[1]SKU!$Z:$Z)</f>
        <v>790000</v>
      </c>
    </row>
    <row r="821" spans="1:14">
      <c r="A821" s="1" t="s">
        <v>5499</v>
      </c>
      <c r="B821" s="2" t="s">
        <v>4472</v>
      </c>
      <c r="C821" s="2" t="s">
        <v>540</v>
      </c>
      <c r="D821" s="2" t="s">
        <v>5500</v>
      </c>
      <c r="E821" s="7" t="str">
        <f t="shared" si="77"/>
        <v>DSP</v>
      </c>
      <c r="F821" s="7" t="str">
        <f t="shared" si="90"/>
        <v>UNI</v>
      </c>
      <c r="G821" s="7" t="str">
        <f t="shared" si="91"/>
        <v>FWR</v>
      </c>
      <c r="H821" s="7" t="str">
        <f t="shared" si="92"/>
        <v>LES</v>
      </c>
      <c r="I821" s="7" t="str">
        <f t="shared" si="93"/>
        <v>BLA</v>
      </c>
      <c r="J821" s="7" t="str">
        <f t="shared" si="94"/>
        <v>CHE</v>
      </c>
      <c r="K821" s="7" t="str">
        <f t="shared" si="95"/>
        <v>43</v>
      </c>
      <c r="L821" s="7">
        <v>0</v>
      </c>
      <c r="M821" s="7" t="s">
        <v>2609</v>
      </c>
      <c r="N821" s="7">
        <f>_xlfn.XLOOKUP(A821,[1]SKU!$A:$A,[1]SKU!$Z:$Z)</f>
        <v>10800000</v>
      </c>
    </row>
    <row r="822" spans="1:14">
      <c r="A822" s="1" t="s">
        <v>1042</v>
      </c>
      <c r="B822" s="2" t="s">
        <v>3</v>
      </c>
      <c r="C822" s="2" t="s">
        <v>295</v>
      </c>
      <c r="D822" s="2" t="s">
        <v>1043</v>
      </c>
      <c r="E822" s="7" t="str">
        <f t="shared" si="77"/>
        <v>GOR</v>
      </c>
      <c r="F822" s="7" t="str">
        <f t="shared" si="90"/>
        <v>KID</v>
      </c>
      <c r="G822" s="7" t="str">
        <f t="shared" si="91"/>
        <v>TSS</v>
      </c>
      <c r="H822" s="7" t="str">
        <f t="shared" si="92"/>
        <v>ONE</v>
      </c>
      <c r="I822" s="7" t="str">
        <f t="shared" si="93"/>
        <v>WBO</v>
      </c>
      <c r="J822" s="7" t="str">
        <f t="shared" si="94"/>
        <v>JBG</v>
      </c>
      <c r="K822" s="7" t="str">
        <f t="shared" si="95"/>
        <v>4</v>
      </c>
      <c r="L822" s="7" t="s">
        <v>2018</v>
      </c>
      <c r="M822" s="7" t="s">
        <v>4462</v>
      </c>
      <c r="N822" s="7">
        <f>_xlfn.XLOOKUP(A822,[1]SKU!$A:$A,[1]SKU!$Z:$Z)</f>
        <v>590000</v>
      </c>
    </row>
    <row r="823" spans="1:14">
      <c r="A823" s="1" t="s">
        <v>1044</v>
      </c>
      <c r="B823" s="2" t="s">
        <v>3</v>
      </c>
      <c r="C823" s="2" t="s">
        <v>84</v>
      </c>
      <c r="D823" s="2" t="s">
        <v>1045</v>
      </c>
      <c r="E823" s="7" t="str">
        <f t="shared" si="77"/>
        <v>GOR</v>
      </c>
      <c r="F823" s="7" t="str">
        <f t="shared" si="90"/>
        <v>MEN</v>
      </c>
      <c r="G823" s="7" t="str">
        <f t="shared" si="91"/>
        <v>TSS</v>
      </c>
      <c r="H823" s="7" t="str">
        <f t="shared" si="92"/>
        <v>ONE</v>
      </c>
      <c r="I823" s="7" t="str">
        <f t="shared" si="93"/>
        <v>HAI</v>
      </c>
      <c r="J823" s="7" t="str">
        <f t="shared" si="94"/>
        <v>BLK</v>
      </c>
      <c r="K823" s="7" t="str">
        <f t="shared" si="95"/>
        <v>XL</v>
      </c>
      <c r="L823" s="7" t="s">
        <v>2018</v>
      </c>
      <c r="M823" s="7" t="s">
        <v>4462</v>
      </c>
      <c r="N823" s="7">
        <f>_xlfn.XLOOKUP(A823,[1]SKU!$A:$A,[1]SKU!$Z:$Z)</f>
        <v>790000</v>
      </c>
    </row>
    <row r="824" spans="1:14">
      <c r="A824" s="1" t="s">
        <v>5501</v>
      </c>
      <c r="B824" s="2" t="s">
        <v>4481</v>
      </c>
      <c r="C824" s="2" t="s">
        <v>1046</v>
      </c>
      <c r="D824" s="2" t="s">
        <v>5502</v>
      </c>
      <c r="E824" s="7" t="str">
        <f t="shared" si="77"/>
        <v>PAS</v>
      </c>
      <c r="F824" s="7" t="str">
        <f t="shared" si="90"/>
        <v>UNI</v>
      </c>
      <c r="G824" s="7" t="str">
        <f t="shared" si="91"/>
        <v>ART</v>
      </c>
      <c r="H824" s="7" t="str">
        <f t="shared" si="92"/>
        <v>ART</v>
      </c>
      <c r="I824" s="7" t="str">
        <f t="shared" si="93"/>
        <v>TRC</v>
      </c>
      <c r="J824" s="7" t="str">
        <f t="shared" si="94"/>
        <v>MIX</v>
      </c>
      <c r="K824" s="7" t="str">
        <f t="shared" si="95"/>
        <v>A4</v>
      </c>
      <c r="L824" s="7">
        <v>0</v>
      </c>
      <c r="M824" s="7" t="s">
        <v>2609</v>
      </c>
      <c r="N824" s="7">
        <f>_xlfn.XLOOKUP(A824,[1]SKU!$A:$A,[1]SKU!$Z:$Z)</f>
        <v>4000000</v>
      </c>
    </row>
    <row r="825" spans="1:14">
      <c r="A825" s="1" t="s">
        <v>1047</v>
      </c>
      <c r="B825" s="2" t="s">
        <v>3</v>
      </c>
      <c r="C825" s="2" t="s">
        <v>29</v>
      </c>
      <c r="D825" s="2" t="s">
        <v>1048</v>
      </c>
      <c r="E825" s="7" t="str">
        <f t="shared" si="77"/>
        <v>GFN</v>
      </c>
      <c r="F825" s="7" t="str">
        <f t="shared" si="90"/>
        <v>KID</v>
      </c>
      <c r="G825" s="7" t="str">
        <f t="shared" si="91"/>
        <v>SWL</v>
      </c>
      <c r="H825" s="7" t="str">
        <f t="shared" si="92"/>
        <v>ONE</v>
      </c>
      <c r="I825" s="7" t="str">
        <f t="shared" si="93"/>
        <v>SHU</v>
      </c>
      <c r="J825" s="7" t="str">
        <f t="shared" si="94"/>
        <v>BLK</v>
      </c>
      <c r="K825" s="7" t="str">
        <f t="shared" si="95"/>
        <v>6</v>
      </c>
      <c r="L825" s="7" t="s">
        <v>2581</v>
      </c>
      <c r="M825" s="7" t="s">
        <v>4464</v>
      </c>
      <c r="N825" s="7">
        <f>_xlfn.XLOOKUP(A825,[1]SKU!$A:$A,[1]SKU!$Z:$Z)</f>
        <v>890000</v>
      </c>
    </row>
    <row r="826" spans="1:14">
      <c r="A826" s="1" t="s">
        <v>1049</v>
      </c>
      <c r="B826" s="2" t="s">
        <v>3</v>
      </c>
      <c r="C826" s="2" t="s">
        <v>81</v>
      </c>
      <c r="D826" s="2" t="s">
        <v>1050</v>
      </c>
      <c r="E826" s="7" t="str">
        <f t="shared" si="77"/>
        <v>GPI</v>
      </c>
      <c r="F826" s="7" t="str">
        <f t="shared" si="90"/>
        <v>MEN</v>
      </c>
      <c r="G826" s="7" t="str">
        <f t="shared" si="91"/>
        <v>POL</v>
      </c>
      <c r="H826" s="7" t="str">
        <f t="shared" si="92"/>
        <v>MAN</v>
      </c>
      <c r="I826" s="7" t="str">
        <f t="shared" si="93"/>
        <v>JUN</v>
      </c>
      <c r="J826" s="7" t="str">
        <f t="shared" si="94"/>
        <v>WHI</v>
      </c>
      <c r="K826" s="7" t="str">
        <f t="shared" si="95"/>
        <v>M</v>
      </c>
      <c r="L826" s="7" t="s">
        <v>1995</v>
      </c>
      <c r="M826" s="7" t="s">
        <v>4468</v>
      </c>
      <c r="N826" s="7">
        <f>_xlfn.XLOOKUP(A826,[1]SKU!$A:$A,[1]SKU!$Z:$Z)</f>
        <v>1190000</v>
      </c>
    </row>
    <row r="827" spans="1:14">
      <c r="A827" s="1" t="s">
        <v>1051</v>
      </c>
      <c r="B827" s="2" t="s">
        <v>19</v>
      </c>
      <c r="C827" s="2" t="s">
        <v>1052</v>
      </c>
      <c r="D827" s="2" t="s">
        <v>1053</v>
      </c>
      <c r="E827" s="7" t="str">
        <f t="shared" si="77"/>
        <v>OTH</v>
      </c>
      <c r="F827" s="7" t="str">
        <f t="shared" si="90"/>
        <v>UNI</v>
      </c>
      <c r="G827" s="7" t="str">
        <f t="shared" si="91"/>
        <v>HDR</v>
      </c>
      <c r="H827" s="7" t="str">
        <f t="shared" si="92"/>
        <v>SAS</v>
      </c>
      <c r="I827" s="7" t="str">
        <f t="shared" si="93"/>
        <v>HDF</v>
      </c>
      <c r="J827" s="7" t="str">
        <f t="shared" si="94"/>
        <v>CRE</v>
      </c>
      <c r="K827" s="7" t="str">
        <f t="shared" si="95"/>
        <v>0</v>
      </c>
      <c r="L827" s="7">
        <v>0</v>
      </c>
      <c r="M827" s="7" t="s">
        <v>2609</v>
      </c>
      <c r="N827" s="7">
        <f>_xlfn.XLOOKUP(A827,[1]SKU!$A:$A,[1]SKU!$Z:$Z)</f>
        <v>125000</v>
      </c>
    </row>
    <row r="828" spans="1:14">
      <c r="A828" s="1" t="s">
        <v>1054</v>
      </c>
      <c r="B828" s="2" t="s">
        <v>19</v>
      </c>
      <c r="C828" s="2" t="s">
        <v>154</v>
      </c>
      <c r="D828" s="2" t="s">
        <v>1055</v>
      </c>
      <c r="E828" s="7" t="str">
        <f t="shared" si="77"/>
        <v>OTH</v>
      </c>
      <c r="F828" s="7" t="str">
        <f t="shared" si="90"/>
        <v>UNI</v>
      </c>
      <c r="G828" s="7" t="str">
        <f t="shared" si="91"/>
        <v>SOU</v>
      </c>
      <c r="H828" s="7" t="str">
        <f t="shared" si="92"/>
        <v>NBP</v>
      </c>
      <c r="I828" s="7" t="str">
        <f t="shared" si="93"/>
        <v>TNT</v>
      </c>
      <c r="J828" s="7" t="str">
        <f t="shared" si="94"/>
        <v>WHI</v>
      </c>
      <c r="K828" s="7" t="str">
        <f t="shared" si="95"/>
        <v>A6</v>
      </c>
      <c r="L828" s="7">
        <v>0</v>
      </c>
      <c r="M828" s="7" t="s">
        <v>2609</v>
      </c>
      <c r="N828" s="7">
        <f>_xlfn.XLOOKUP(A828,[1]SKU!$A:$A,[1]SKU!$Z:$Z)</f>
        <v>210000</v>
      </c>
    </row>
    <row r="829" spans="1:14">
      <c r="A829" s="1" t="s">
        <v>1056</v>
      </c>
      <c r="B829" s="2" t="s">
        <v>3</v>
      </c>
      <c r="C829" s="2" t="s">
        <v>1057</v>
      </c>
      <c r="D829" s="2" t="s">
        <v>1058</v>
      </c>
      <c r="E829" s="7" t="str">
        <f t="shared" si="77"/>
        <v>GCV</v>
      </c>
      <c r="F829" s="7" t="str">
        <f t="shared" si="90"/>
        <v>WOM</v>
      </c>
      <c r="G829" s="7" t="str">
        <f t="shared" si="91"/>
        <v>BLC</v>
      </c>
      <c r="H829" s="7" t="str">
        <f t="shared" si="92"/>
        <v>ONE</v>
      </c>
      <c r="I829" s="7" t="str">
        <f t="shared" si="93"/>
        <v>SMA</v>
      </c>
      <c r="J829" s="7" t="str">
        <f t="shared" si="94"/>
        <v>WHI</v>
      </c>
      <c r="K829" s="7" t="str">
        <f t="shared" si="95"/>
        <v>M</v>
      </c>
      <c r="L829" s="7" t="s">
        <v>2298</v>
      </c>
      <c r="M829" s="7" t="s">
        <v>4465</v>
      </c>
      <c r="N829" s="7">
        <f>_xlfn.XLOOKUP(A829,[1]SKU!$A:$A,[1]SKU!$Z:$Z)</f>
        <v>1690000</v>
      </c>
    </row>
    <row r="830" spans="1:14">
      <c r="A830" s="1" t="s">
        <v>1059</v>
      </c>
      <c r="B830" s="2" t="s">
        <v>3</v>
      </c>
      <c r="C830" s="2" t="s">
        <v>113</v>
      </c>
      <c r="D830" s="2" t="s">
        <v>1060</v>
      </c>
      <c r="E830" s="7" t="str">
        <f t="shared" si="77"/>
        <v>GOR</v>
      </c>
      <c r="F830" s="7" t="str">
        <f t="shared" si="90"/>
        <v>MEN</v>
      </c>
      <c r="G830" s="7" t="str">
        <f t="shared" si="91"/>
        <v>TSS</v>
      </c>
      <c r="H830" s="7" t="str">
        <f t="shared" si="92"/>
        <v>HNE</v>
      </c>
      <c r="I830" s="7" t="str">
        <f t="shared" si="93"/>
        <v>TCS</v>
      </c>
      <c r="J830" s="7" t="str">
        <f t="shared" si="94"/>
        <v>WHI</v>
      </c>
      <c r="K830" s="7" t="str">
        <f t="shared" si="95"/>
        <v>S</v>
      </c>
      <c r="L830" s="7" t="s">
        <v>2018</v>
      </c>
      <c r="M830" s="7" t="s">
        <v>4462</v>
      </c>
      <c r="N830" s="7">
        <f>_xlfn.XLOOKUP(A830,[1]SKU!$A:$A,[1]SKU!$Z:$Z)</f>
        <v>1390000</v>
      </c>
    </row>
    <row r="831" spans="1:14">
      <c r="A831" s="1" t="s">
        <v>1061</v>
      </c>
      <c r="B831" s="2" t="s">
        <v>3</v>
      </c>
      <c r="C831" s="2" t="s">
        <v>622</v>
      </c>
      <c r="D831" s="2" t="s">
        <v>1062</v>
      </c>
      <c r="E831" s="7" t="str">
        <f t="shared" si="77"/>
        <v>GSU</v>
      </c>
      <c r="F831" s="7" t="str">
        <f t="shared" si="90"/>
        <v>WOM</v>
      </c>
      <c r="G831" s="7" t="str">
        <f t="shared" si="91"/>
        <v>TSP</v>
      </c>
      <c r="H831" s="7" t="str">
        <f t="shared" si="92"/>
        <v>ONE</v>
      </c>
      <c r="I831" s="7" t="str">
        <f t="shared" si="93"/>
        <v>SF2</v>
      </c>
      <c r="J831" s="7" t="str">
        <f t="shared" si="94"/>
        <v>NI</v>
      </c>
      <c r="K831" s="7" t="str">
        <f t="shared" si="95"/>
        <v>S</v>
      </c>
      <c r="L831" s="7" t="s">
        <v>2085</v>
      </c>
      <c r="M831" s="7" t="s">
        <v>4462</v>
      </c>
      <c r="N831" s="7">
        <f>_xlfn.XLOOKUP(A831,[1]SKU!$A:$A,[1]SKU!$Z:$Z)</f>
        <v>1790000</v>
      </c>
    </row>
    <row r="832" spans="1:14">
      <c r="A832" s="1" t="s">
        <v>5503</v>
      </c>
      <c r="B832" s="2" t="s">
        <v>4472</v>
      </c>
      <c r="C832" s="2" t="s">
        <v>1063</v>
      </c>
      <c r="D832" s="2" t="s">
        <v>5504</v>
      </c>
      <c r="E832" s="7" t="str">
        <f t="shared" si="77"/>
        <v>DSP</v>
      </c>
      <c r="F832" s="7" t="str">
        <f t="shared" si="90"/>
        <v>UNI</v>
      </c>
      <c r="G832" s="7" t="str">
        <f t="shared" si="91"/>
        <v>HDR</v>
      </c>
      <c r="H832" s="7" t="str">
        <f t="shared" si="92"/>
        <v>TRA</v>
      </c>
      <c r="I832" s="7" t="str">
        <f t="shared" si="93"/>
        <v>ST1</v>
      </c>
      <c r="J832" s="7" t="str">
        <f t="shared" si="94"/>
        <v>CHO</v>
      </c>
      <c r="K832" s="7" t="str">
        <f t="shared" si="95"/>
        <v>0</v>
      </c>
      <c r="L832" s="7">
        <v>0</v>
      </c>
      <c r="M832" s="7" t="s">
        <v>2609</v>
      </c>
      <c r="N832" s="7">
        <f>_xlfn.XLOOKUP(A832,[1]SKU!$A:$A,[1]SKU!$Z:$Z)</f>
        <v>2350000</v>
      </c>
    </row>
    <row r="833" spans="1:14">
      <c r="A833" s="1" t="s">
        <v>5505</v>
      </c>
      <c r="B833" s="2" t="s">
        <v>4472</v>
      </c>
      <c r="C833" s="2" t="s">
        <v>827</v>
      </c>
      <c r="D833" s="2" t="s">
        <v>5506</v>
      </c>
      <c r="E833" s="7" t="str">
        <f t="shared" si="77"/>
        <v>DSP</v>
      </c>
      <c r="F833" s="7" t="str">
        <f t="shared" si="90"/>
        <v>UNI</v>
      </c>
      <c r="G833" s="7" t="str">
        <f t="shared" si="91"/>
        <v>BAG</v>
      </c>
      <c r="H833" s="7" t="str">
        <f t="shared" si="92"/>
        <v>CHR</v>
      </c>
      <c r="I833" s="7" t="str">
        <f t="shared" si="93"/>
        <v>BRE</v>
      </c>
      <c r="J833" s="7" t="str">
        <f t="shared" si="94"/>
        <v>DRE</v>
      </c>
      <c r="K833" s="7" t="str">
        <f t="shared" si="95"/>
        <v>0</v>
      </c>
      <c r="L833" s="7">
        <v>0</v>
      </c>
      <c r="M833" s="7" t="s">
        <v>2609</v>
      </c>
      <c r="N833" s="7">
        <f>_xlfn.XLOOKUP(A833,[1]SKU!$A:$A,[1]SKU!$Z:$Z)</f>
        <v>1500000</v>
      </c>
    </row>
    <row r="834" spans="1:14">
      <c r="A834" s="1" t="s">
        <v>5507</v>
      </c>
      <c r="B834" s="2" t="s">
        <v>4472</v>
      </c>
      <c r="C834" s="2" t="s">
        <v>1064</v>
      </c>
      <c r="D834" s="2" t="s">
        <v>5508</v>
      </c>
      <c r="E834" s="7" t="str">
        <f t="shared" si="77"/>
        <v>MAZ</v>
      </c>
      <c r="F834" s="7" t="str">
        <f t="shared" si="90"/>
        <v>UNI</v>
      </c>
      <c r="G834" s="7" t="str">
        <f t="shared" si="91"/>
        <v>SOU</v>
      </c>
      <c r="H834" s="7" t="str">
        <f t="shared" si="92"/>
        <v>GAM</v>
      </c>
      <c r="I834" s="7" t="str">
        <f t="shared" si="93"/>
        <v>SGY</v>
      </c>
      <c r="J834" s="7" t="str">
        <f t="shared" si="94"/>
        <v>WOE</v>
      </c>
      <c r="K834" s="7" t="str">
        <f t="shared" si="95"/>
        <v>0</v>
      </c>
      <c r="L834" s="7">
        <v>0</v>
      </c>
      <c r="M834" s="7" t="s">
        <v>2609</v>
      </c>
      <c r="N834" s="7">
        <f>_xlfn.XLOOKUP(A834,[1]SKU!$A:$A,[1]SKU!$Z:$Z)</f>
        <v>3890000</v>
      </c>
    </row>
    <row r="835" spans="1:14">
      <c r="A835" s="1" t="s">
        <v>1065</v>
      </c>
      <c r="B835" s="2" t="s">
        <v>3</v>
      </c>
      <c r="C835" s="2" t="s">
        <v>4</v>
      </c>
      <c r="D835" s="2" t="s">
        <v>1066</v>
      </c>
      <c r="E835" s="7" t="str">
        <f t="shared" si="77"/>
        <v>GSL</v>
      </c>
      <c r="F835" s="7" t="str">
        <f t="shared" si="90"/>
        <v>WOM</v>
      </c>
      <c r="G835" s="7" t="str">
        <f t="shared" si="91"/>
        <v>TTS</v>
      </c>
      <c r="H835" s="7" t="str">
        <f t="shared" si="92"/>
        <v>ONE</v>
      </c>
      <c r="I835" s="7" t="str">
        <f t="shared" si="93"/>
        <v>FST</v>
      </c>
      <c r="J835" s="7" t="str">
        <f t="shared" si="94"/>
        <v>ORA</v>
      </c>
      <c r="K835" s="7" t="str">
        <f t="shared" si="95"/>
        <v>XL</v>
      </c>
      <c r="L835" s="7" t="s">
        <v>2310</v>
      </c>
      <c r="M835" s="7" t="s">
        <v>4469</v>
      </c>
      <c r="N835" s="7">
        <f>_xlfn.XLOOKUP(A835,[1]SKU!$A:$A,[1]SKU!$Z:$Z)</f>
        <v>750000</v>
      </c>
    </row>
    <row r="836" spans="1:14">
      <c r="A836" s="1" t="s">
        <v>5509</v>
      </c>
      <c r="B836" s="2" t="s">
        <v>4472</v>
      </c>
      <c r="C836" s="2" t="s">
        <v>5510</v>
      </c>
      <c r="D836" s="2" t="s">
        <v>5511</v>
      </c>
      <c r="E836" s="7" t="str">
        <f t="shared" si="77"/>
        <v>LAN</v>
      </c>
      <c r="F836" s="7" t="str">
        <f t="shared" si="90"/>
        <v>UNI</v>
      </c>
      <c r="G836" s="7" t="str">
        <f t="shared" si="91"/>
        <v>HWR</v>
      </c>
      <c r="H836" s="7" t="str">
        <f t="shared" si="92"/>
        <v>SC2</v>
      </c>
      <c r="I836" s="7" t="str">
        <f t="shared" si="93"/>
        <v>DVN</v>
      </c>
      <c r="J836" s="7" t="str">
        <f t="shared" si="94"/>
        <v>YEL</v>
      </c>
      <c r="K836" s="7" t="str">
        <f t="shared" si="95"/>
        <v>70x70</v>
      </c>
      <c r="L836" s="7">
        <v>0</v>
      </c>
      <c r="M836" s="7" t="s">
        <v>2609</v>
      </c>
      <c r="N836" s="7">
        <f>_xlfn.XLOOKUP(A836,[1]SKU!$A:$A,[1]SKU!$Z:$Z)</f>
        <v>749000</v>
      </c>
    </row>
    <row r="837" spans="1:14">
      <c r="A837" s="1" t="s">
        <v>5512</v>
      </c>
      <c r="B837" s="2" t="s">
        <v>4472</v>
      </c>
      <c r="C837" s="2" t="s">
        <v>71</v>
      </c>
      <c r="D837" s="2" t="s">
        <v>5513</v>
      </c>
      <c r="E837" s="7" t="str">
        <f t="shared" si="77"/>
        <v>DSP</v>
      </c>
      <c r="F837" s="7" t="str">
        <f t="shared" si="90"/>
        <v>UNI</v>
      </c>
      <c r="G837" s="7" t="str">
        <f t="shared" si="91"/>
        <v>BAG</v>
      </c>
      <c r="H837" s="7" t="str">
        <f t="shared" si="92"/>
        <v>CCR</v>
      </c>
      <c r="I837" s="7" t="str">
        <f t="shared" si="93"/>
        <v>AZ1</v>
      </c>
      <c r="J837" s="7" t="str">
        <f t="shared" si="94"/>
        <v>DRE</v>
      </c>
      <c r="K837" s="7" t="str">
        <f t="shared" si="95"/>
        <v>0</v>
      </c>
      <c r="L837" s="7">
        <v>0</v>
      </c>
      <c r="M837" s="7" t="s">
        <v>2609</v>
      </c>
      <c r="N837" s="7">
        <f>_xlfn.XLOOKUP(A837,[1]SKU!$A:$A,[1]SKU!$Z:$Z)</f>
        <v>2100000</v>
      </c>
    </row>
    <row r="838" spans="1:14">
      <c r="A838" s="1" t="s">
        <v>1067</v>
      </c>
      <c r="B838" s="2" t="s">
        <v>3</v>
      </c>
      <c r="C838" s="2" t="s">
        <v>33</v>
      </c>
      <c r="D838" s="2" t="s">
        <v>1068</v>
      </c>
      <c r="E838" s="7" t="str">
        <f t="shared" si="77"/>
        <v>GOR</v>
      </c>
      <c r="F838" s="7" t="str">
        <f t="shared" si="90"/>
        <v>MEN</v>
      </c>
      <c r="G838" s="7" t="str">
        <f t="shared" si="91"/>
        <v>TSS</v>
      </c>
      <c r="H838" s="7" t="str">
        <f t="shared" si="92"/>
        <v>ONE</v>
      </c>
      <c r="I838" s="7" t="str">
        <f t="shared" si="93"/>
        <v>VTM</v>
      </c>
      <c r="J838" s="7" t="str">
        <f t="shared" si="94"/>
        <v>WHI</v>
      </c>
      <c r="K838" s="7" t="str">
        <f t="shared" si="95"/>
        <v>M</v>
      </c>
      <c r="L838" s="7" t="s">
        <v>2018</v>
      </c>
      <c r="M838" s="7" t="s">
        <v>4462</v>
      </c>
      <c r="N838" s="7">
        <f>_xlfn.XLOOKUP(A838,[1]SKU!$A:$A,[1]SKU!$Z:$Z)</f>
        <v>790000</v>
      </c>
    </row>
    <row r="839" spans="1:14">
      <c r="A839" s="1" t="s">
        <v>5514</v>
      </c>
      <c r="B839" s="2" t="s">
        <v>4472</v>
      </c>
      <c r="C839" s="2" t="s">
        <v>5515</v>
      </c>
      <c r="D839" s="2" t="s">
        <v>5516</v>
      </c>
      <c r="E839" s="7" t="str">
        <f t="shared" si="77"/>
        <v>TOH</v>
      </c>
      <c r="F839" s="7" t="str">
        <f t="shared" si="90"/>
        <v>UNI</v>
      </c>
      <c r="G839" s="7" t="str">
        <f t="shared" si="91"/>
        <v>HWR</v>
      </c>
      <c r="H839" s="7" t="str">
        <f t="shared" si="92"/>
        <v>HAT</v>
      </c>
      <c r="I839" s="7" t="str">
        <f t="shared" si="93"/>
        <v>AH2</v>
      </c>
      <c r="J839" s="7" t="str">
        <f t="shared" si="94"/>
        <v>MIX</v>
      </c>
      <c r="K839" s="7" t="str">
        <f t="shared" si="95"/>
        <v>0</v>
      </c>
      <c r="L839" s="7">
        <v>0</v>
      </c>
      <c r="M839" s="7" t="s">
        <v>2609</v>
      </c>
      <c r="N839" s="7">
        <f>_xlfn.XLOOKUP(A839,[1]SKU!$A:$A,[1]SKU!$Z:$Z)</f>
        <v>270000</v>
      </c>
    </row>
    <row r="840" spans="1:14">
      <c r="A840" s="1" t="s">
        <v>1069</v>
      </c>
      <c r="B840" s="2" t="s">
        <v>3</v>
      </c>
      <c r="C840" s="2" t="s">
        <v>38</v>
      </c>
      <c r="D840" s="2" t="s">
        <v>1070</v>
      </c>
      <c r="E840" s="7" t="str">
        <f t="shared" si="77"/>
        <v>GOR</v>
      </c>
      <c r="F840" s="7" t="str">
        <f t="shared" si="90"/>
        <v>MEN</v>
      </c>
      <c r="G840" s="7" t="str">
        <f t="shared" si="91"/>
        <v>POL</v>
      </c>
      <c r="H840" s="7" t="str">
        <f t="shared" si="92"/>
        <v>MAN</v>
      </c>
      <c r="I840" s="7" t="str">
        <f t="shared" si="93"/>
        <v>LOG</v>
      </c>
      <c r="J840" s="7" t="str">
        <f t="shared" si="94"/>
        <v>JBG</v>
      </c>
      <c r="K840" s="7" t="str">
        <f t="shared" si="95"/>
        <v>M</v>
      </c>
      <c r="L840" s="7" t="s">
        <v>1995</v>
      </c>
      <c r="M840" s="7" t="s">
        <v>4468</v>
      </c>
      <c r="N840" s="7">
        <f>_xlfn.XLOOKUP(A840,[1]SKU!$A:$A,[1]SKU!$Z:$Z)</f>
        <v>1090000</v>
      </c>
    </row>
    <row r="841" spans="1:14">
      <c r="A841" s="1" t="s">
        <v>1071</v>
      </c>
      <c r="B841" s="2" t="s">
        <v>3</v>
      </c>
      <c r="C841" s="2" t="s">
        <v>300</v>
      </c>
      <c r="D841" s="2" t="s">
        <v>1072</v>
      </c>
      <c r="E841" s="7" t="str">
        <f t="shared" si="77"/>
        <v>GSL</v>
      </c>
      <c r="F841" s="7" t="str">
        <f t="shared" si="90"/>
        <v>WOM</v>
      </c>
      <c r="G841" s="7" t="str">
        <f t="shared" si="91"/>
        <v>FZE</v>
      </c>
      <c r="H841" s="7" t="str">
        <f t="shared" si="92"/>
        <v>BNE</v>
      </c>
      <c r="I841" s="7" t="str">
        <f t="shared" si="93"/>
        <v>SMP</v>
      </c>
      <c r="J841" s="7" t="str">
        <f t="shared" si="94"/>
        <v>BLK</v>
      </c>
      <c r="K841" s="7" t="str">
        <f t="shared" si="95"/>
        <v>S</v>
      </c>
      <c r="L841" s="7" t="s">
        <v>2131</v>
      </c>
      <c r="M841" s="7" t="s">
        <v>2131</v>
      </c>
      <c r="N841" s="7">
        <f>_xlfn.XLOOKUP(A841,[1]SKU!$A:$A,[1]SKU!$Z:$Z)</f>
        <v>750000</v>
      </c>
    </row>
    <row r="842" spans="1:14">
      <c r="A842" s="1" t="s">
        <v>1073</v>
      </c>
      <c r="B842" s="2" t="s">
        <v>3</v>
      </c>
      <c r="C842" s="2" t="s">
        <v>815</v>
      </c>
      <c r="D842" s="2" t="s">
        <v>1074</v>
      </c>
      <c r="E842" s="7" t="str">
        <f t="shared" si="77"/>
        <v>GSP</v>
      </c>
      <c r="F842" s="7" t="str">
        <f t="shared" si="90"/>
        <v>MEN</v>
      </c>
      <c r="G842" s="7" t="str">
        <f t="shared" si="91"/>
        <v>POL</v>
      </c>
      <c r="H842" s="7" t="str">
        <f t="shared" si="92"/>
        <v>MAN</v>
      </c>
      <c r="I842" s="7" t="str">
        <f t="shared" si="93"/>
        <v>CHA</v>
      </c>
      <c r="J842" s="7" t="str">
        <f t="shared" si="94"/>
        <v>BLK</v>
      </c>
      <c r="K842" s="7" t="str">
        <f t="shared" si="95"/>
        <v>M</v>
      </c>
      <c r="L842" s="7" t="s">
        <v>1995</v>
      </c>
      <c r="M842" s="7" t="s">
        <v>4468</v>
      </c>
      <c r="N842" s="7">
        <f>_xlfn.XLOOKUP(A842,[1]SKU!$A:$A,[1]SKU!$Z:$Z)</f>
        <v>1090000</v>
      </c>
    </row>
    <row r="843" spans="1:14">
      <c r="A843" s="1" t="s">
        <v>1075</v>
      </c>
      <c r="B843" s="2" t="s">
        <v>3</v>
      </c>
      <c r="C843" s="2" t="s">
        <v>223</v>
      </c>
      <c r="D843" s="2" t="s">
        <v>1076</v>
      </c>
      <c r="E843" s="7" t="str">
        <f t="shared" si="77"/>
        <v>GSU</v>
      </c>
      <c r="F843" s="7" t="str">
        <f t="shared" si="90"/>
        <v>WOM</v>
      </c>
      <c r="G843" s="7" t="str">
        <f t="shared" si="91"/>
        <v>TTB</v>
      </c>
      <c r="H843" s="7" t="str">
        <f t="shared" si="92"/>
        <v>BNE</v>
      </c>
      <c r="I843" s="7" t="str">
        <f t="shared" si="93"/>
        <v>BLF</v>
      </c>
      <c r="J843" s="7" t="str">
        <f t="shared" si="94"/>
        <v>WHI</v>
      </c>
      <c r="K843" s="7" t="str">
        <f t="shared" si="95"/>
        <v>XL</v>
      </c>
      <c r="L843" s="7" t="s">
        <v>2326</v>
      </c>
      <c r="M843" s="7" t="s">
        <v>4469</v>
      </c>
      <c r="N843" s="7">
        <f>_xlfn.XLOOKUP(A843,[1]SKU!$A:$A,[1]SKU!$Z:$Z)</f>
        <v>850000</v>
      </c>
    </row>
    <row r="844" spans="1:14">
      <c r="A844" s="1" t="s">
        <v>5517</v>
      </c>
      <c r="B844" s="2" t="s">
        <v>4472</v>
      </c>
      <c r="C844" s="2" t="s">
        <v>5518</v>
      </c>
      <c r="D844" s="2" t="s">
        <v>5519</v>
      </c>
      <c r="E844" s="7" t="str">
        <f t="shared" si="77"/>
        <v>HAM</v>
      </c>
      <c r="F844" s="7" t="str">
        <f t="shared" si="90"/>
        <v>UNI</v>
      </c>
      <c r="G844" s="7" t="str">
        <f t="shared" si="91"/>
        <v>JEW</v>
      </c>
      <c r="H844" s="7" t="str">
        <f t="shared" si="92"/>
        <v>NEC</v>
      </c>
      <c r="I844" s="7" t="str">
        <f t="shared" si="93"/>
        <v>N03</v>
      </c>
      <c r="J844" s="7" t="str">
        <f t="shared" si="94"/>
        <v>MIX</v>
      </c>
      <c r="K844" s="7" t="str">
        <f t="shared" si="95"/>
        <v>0</v>
      </c>
      <c r="L844" s="7">
        <v>0</v>
      </c>
      <c r="M844" s="7" t="s">
        <v>2609</v>
      </c>
      <c r="N844" s="7">
        <f>_xlfn.XLOOKUP(A844,[1]SKU!$A:$A,[1]SKU!$Z:$Z)</f>
        <v>1210000</v>
      </c>
    </row>
    <row r="845" spans="1:14">
      <c r="A845" s="1" t="s">
        <v>5520</v>
      </c>
      <c r="B845" s="2" t="s">
        <v>4472</v>
      </c>
      <c r="C845" s="2" t="s">
        <v>436</v>
      </c>
      <c r="D845" s="2" t="s">
        <v>5521</v>
      </c>
      <c r="E845" s="7" t="str">
        <f t="shared" si="77"/>
        <v>DSP</v>
      </c>
      <c r="F845" s="7" t="str">
        <f t="shared" si="90"/>
        <v>UNI</v>
      </c>
      <c r="G845" s="7" t="str">
        <f t="shared" si="91"/>
        <v>FWR</v>
      </c>
      <c r="H845" s="7" t="str">
        <f t="shared" si="92"/>
        <v>HDB</v>
      </c>
      <c r="I845" s="7" t="str">
        <f t="shared" si="93"/>
        <v>TAL</v>
      </c>
      <c r="J845" s="7" t="str">
        <f t="shared" si="94"/>
        <v>PBP</v>
      </c>
      <c r="K845" s="7" t="str">
        <f t="shared" si="95"/>
        <v>38</v>
      </c>
      <c r="L845" s="7">
        <v>0</v>
      </c>
      <c r="M845" s="7" t="s">
        <v>2609</v>
      </c>
      <c r="N845" s="7">
        <f>_xlfn.XLOOKUP(A845,[1]SKU!$A:$A,[1]SKU!$Z:$Z)</f>
        <v>7800000</v>
      </c>
    </row>
    <row r="846" spans="1:14">
      <c r="A846" s="1" t="s">
        <v>1078</v>
      </c>
      <c r="B846" s="2" t="s">
        <v>3</v>
      </c>
      <c r="C846" s="2" t="s">
        <v>447</v>
      </c>
      <c r="D846" s="2" t="s">
        <v>1079</v>
      </c>
      <c r="E846" s="7" t="str">
        <f t="shared" si="77"/>
        <v>GBA</v>
      </c>
      <c r="F846" s="7" t="str">
        <f t="shared" si="90"/>
        <v>MEN</v>
      </c>
      <c r="G846" s="7" t="str">
        <f t="shared" si="91"/>
        <v>TSS</v>
      </c>
      <c r="H846" s="7" t="str">
        <f t="shared" si="92"/>
        <v>ONE</v>
      </c>
      <c r="I846" s="7" t="str">
        <f t="shared" si="93"/>
        <v>GVT</v>
      </c>
      <c r="J846" s="7" t="str">
        <f t="shared" si="94"/>
        <v>WHI</v>
      </c>
      <c r="K846" s="7" t="str">
        <f t="shared" si="95"/>
        <v>L</v>
      </c>
      <c r="L846" s="7" t="s">
        <v>2018</v>
      </c>
      <c r="M846" s="7" t="s">
        <v>4462</v>
      </c>
      <c r="N846" s="7">
        <f>_xlfn.XLOOKUP(A846,[1]SKU!$A:$A,[1]SKU!$Z:$Z)</f>
        <v>710000</v>
      </c>
    </row>
    <row r="847" spans="1:14">
      <c r="A847" s="1" t="s">
        <v>5522</v>
      </c>
      <c r="B847" s="2" t="s">
        <v>4472</v>
      </c>
      <c r="C847" s="2" t="s">
        <v>216</v>
      </c>
      <c r="D847" s="2" t="s">
        <v>5523</v>
      </c>
      <c r="E847" s="7" t="str">
        <f t="shared" si="77"/>
        <v>DSP</v>
      </c>
      <c r="F847" s="7" t="str">
        <f t="shared" si="90"/>
        <v>UNI</v>
      </c>
      <c r="G847" s="7" t="str">
        <f t="shared" si="91"/>
        <v>FWR</v>
      </c>
      <c r="H847" s="7" t="str">
        <f t="shared" si="92"/>
        <v>LES</v>
      </c>
      <c r="I847" s="7" t="str">
        <f t="shared" si="93"/>
        <v>BOX</v>
      </c>
      <c r="J847" s="7" t="str">
        <f t="shared" si="94"/>
        <v>GRE</v>
      </c>
      <c r="K847" s="7" t="str">
        <f t="shared" si="95"/>
        <v>41</v>
      </c>
      <c r="L847" s="7">
        <v>0</v>
      </c>
      <c r="M847" s="7" t="s">
        <v>2609</v>
      </c>
      <c r="N847" s="7">
        <f>_xlfn.XLOOKUP(A847,[1]SKU!$A:$A,[1]SKU!$Z:$Z)</f>
        <v>6200000</v>
      </c>
    </row>
    <row r="848" spans="1:14">
      <c r="A848" s="1" t="s">
        <v>1080</v>
      </c>
      <c r="B848" s="2" t="s">
        <v>19</v>
      </c>
      <c r="C848" s="2" t="s">
        <v>314</v>
      </c>
      <c r="D848" s="2" t="s">
        <v>1081</v>
      </c>
      <c r="E848" s="7" t="str">
        <f t="shared" si="77"/>
        <v>OTH</v>
      </c>
      <c r="F848" s="7" t="str">
        <f t="shared" si="90"/>
        <v>UNI</v>
      </c>
      <c r="G848" s="7" t="str">
        <f t="shared" si="91"/>
        <v>SOU</v>
      </c>
      <c r="H848" s="7" t="str">
        <f t="shared" si="92"/>
        <v>LUG</v>
      </c>
      <c r="I848" s="7" t="str">
        <f t="shared" si="93"/>
        <v>XLO</v>
      </c>
      <c r="J848" s="7" t="str">
        <f t="shared" si="94"/>
        <v>MNT</v>
      </c>
      <c r="K848" s="7" t="str">
        <f t="shared" si="95"/>
        <v>0</v>
      </c>
      <c r="L848" s="7">
        <v>0</v>
      </c>
      <c r="M848" s="7" t="s">
        <v>2609</v>
      </c>
      <c r="N848" s="7">
        <f>_xlfn.XLOOKUP(A848,[1]SKU!$A:$A,[1]SKU!$Z:$Z)</f>
        <v>155000</v>
      </c>
    </row>
    <row r="849" spans="1:14">
      <c r="A849" s="1" t="s">
        <v>1082</v>
      </c>
      <c r="B849" s="2" t="s">
        <v>3</v>
      </c>
      <c r="C849" s="2" t="s">
        <v>92</v>
      </c>
      <c r="D849" s="2" t="s">
        <v>1083</v>
      </c>
      <c r="E849" s="7" t="str">
        <f t="shared" si="77"/>
        <v>GOR</v>
      </c>
      <c r="F849" s="7" t="str">
        <f t="shared" si="90"/>
        <v>MEN</v>
      </c>
      <c r="G849" s="7" t="str">
        <f t="shared" si="91"/>
        <v>TSS</v>
      </c>
      <c r="H849" s="7" t="str">
        <f t="shared" si="92"/>
        <v>ONE</v>
      </c>
      <c r="I849" s="7" t="str">
        <f t="shared" si="93"/>
        <v>SVR</v>
      </c>
      <c r="J849" s="7" t="str">
        <f t="shared" si="94"/>
        <v>WHI</v>
      </c>
      <c r="K849" s="7" t="str">
        <f t="shared" si="95"/>
        <v>L</v>
      </c>
      <c r="L849" s="7" t="s">
        <v>2018</v>
      </c>
      <c r="M849" s="7" t="s">
        <v>4462</v>
      </c>
      <c r="N849" s="7">
        <f>_xlfn.XLOOKUP(A849,[1]SKU!$A:$A,[1]SKU!$Z:$Z)</f>
        <v>990000</v>
      </c>
    </row>
    <row r="850" spans="1:14">
      <c r="A850" s="1" t="s">
        <v>5524</v>
      </c>
      <c r="B850" s="2" t="s">
        <v>4472</v>
      </c>
      <c r="C850" s="2" t="s">
        <v>1084</v>
      </c>
      <c r="D850" s="2" t="s">
        <v>5525</v>
      </c>
      <c r="E850" s="7" t="str">
        <f t="shared" si="77"/>
        <v>DSP</v>
      </c>
      <c r="F850" s="7" t="str">
        <f t="shared" si="90"/>
        <v>UNI</v>
      </c>
      <c r="G850" s="7" t="str">
        <f t="shared" si="91"/>
        <v>SOU</v>
      </c>
      <c r="H850" s="7" t="str">
        <f t="shared" si="92"/>
        <v>SAS</v>
      </c>
      <c r="I850" s="7" t="str">
        <f t="shared" si="93"/>
        <v>WRB</v>
      </c>
      <c r="J850" s="7" t="str">
        <f t="shared" si="94"/>
        <v>SLR</v>
      </c>
      <c r="K850" s="7" t="str">
        <f t="shared" si="95"/>
        <v>0</v>
      </c>
      <c r="L850" s="7">
        <v>0</v>
      </c>
      <c r="M850" s="7" t="s">
        <v>2609</v>
      </c>
      <c r="N850" s="7">
        <f>_xlfn.XLOOKUP(A850,[1]SKU!$A:$A,[1]SKU!$Z:$Z)</f>
        <v>5500000</v>
      </c>
    </row>
    <row r="851" spans="1:14">
      <c r="A851" s="1" t="s">
        <v>5526</v>
      </c>
      <c r="B851" s="2" t="s">
        <v>4472</v>
      </c>
      <c r="C851" s="2" t="s">
        <v>5527</v>
      </c>
      <c r="D851" s="2" t="s">
        <v>5528</v>
      </c>
      <c r="E851" s="7" t="str">
        <f t="shared" si="77"/>
        <v>EDE</v>
      </c>
      <c r="F851" s="7" t="str">
        <f t="shared" si="90"/>
        <v>UNI</v>
      </c>
      <c r="G851" s="7" t="str">
        <f t="shared" si="91"/>
        <v>BAG</v>
      </c>
      <c r="H851" s="7" t="str">
        <f t="shared" si="92"/>
        <v>TTB</v>
      </c>
      <c r="I851" s="7" t="str">
        <f t="shared" si="93"/>
        <v>LAO</v>
      </c>
      <c r="J851" s="7" t="str">
        <f t="shared" si="94"/>
        <v>WHI</v>
      </c>
      <c r="K851" s="7" t="str">
        <f t="shared" si="95"/>
        <v>0</v>
      </c>
      <c r="L851" s="7">
        <v>0</v>
      </c>
      <c r="M851" s="7" t="s">
        <v>2609</v>
      </c>
      <c r="N851" s="7">
        <f>_xlfn.XLOOKUP(A851,[1]SKU!$A:$A,[1]SKU!$Z:$Z)</f>
        <v>470000</v>
      </c>
    </row>
    <row r="852" spans="1:14">
      <c r="A852" s="1" t="s">
        <v>5529</v>
      </c>
      <c r="B852" s="2" t="s">
        <v>4472</v>
      </c>
      <c r="C852" s="2" t="s">
        <v>5530</v>
      </c>
      <c r="D852" s="2" t="s">
        <v>5531</v>
      </c>
      <c r="E852" s="7" t="str">
        <f t="shared" si="77"/>
        <v>LAN</v>
      </c>
      <c r="F852" s="7" t="str">
        <f t="shared" si="90"/>
        <v>UNI</v>
      </c>
      <c r="G852" s="7" t="str">
        <f t="shared" si="91"/>
        <v>HWR</v>
      </c>
      <c r="H852" s="7" t="str">
        <f t="shared" si="92"/>
        <v>SC2</v>
      </c>
      <c r="I852" s="7" t="str">
        <f t="shared" si="93"/>
        <v>QHH</v>
      </c>
      <c r="J852" s="7" t="str">
        <f t="shared" si="94"/>
        <v>RED</v>
      </c>
      <c r="K852" s="7" t="str">
        <f t="shared" si="95"/>
        <v>90x90</v>
      </c>
      <c r="L852" s="7">
        <v>0</v>
      </c>
      <c r="M852" s="7" t="s">
        <v>2609</v>
      </c>
      <c r="N852" s="7">
        <f>_xlfn.XLOOKUP(A852,[1]SKU!$A:$A,[1]SKU!$Z:$Z)</f>
        <v>989000</v>
      </c>
    </row>
    <row r="853" spans="1:14">
      <c r="A853" s="1" t="s">
        <v>1085</v>
      </c>
      <c r="B853" s="2" t="s">
        <v>3</v>
      </c>
      <c r="C853" s="2" t="s">
        <v>815</v>
      </c>
      <c r="D853" s="2" t="s">
        <v>1086</v>
      </c>
      <c r="E853" s="7" t="str">
        <f t="shared" si="77"/>
        <v>GSP</v>
      </c>
      <c r="F853" s="7" t="str">
        <f t="shared" si="90"/>
        <v>MEN</v>
      </c>
      <c r="G853" s="7" t="str">
        <f t="shared" si="91"/>
        <v>POL</v>
      </c>
      <c r="H853" s="7" t="str">
        <f t="shared" si="92"/>
        <v>MAN</v>
      </c>
      <c r="I853" s="7" t="str">
        <f t="shared" si="93"/>
        <v>CHA</v>
      </c>
      <c r="J853" s="7" t="str">
        <f t="shared" si="94"/>
        <v>BLK</v>
      </c>
      <c r="K853" s="7" t="str">
        <f t="shared" si="95"/>
        <v>XL</v>
      </c>
      <c r="L853" s="7" t="s">
        <v>1995</v>
      </c>
      <c r="M853" s="7" t="s">
        <v>4468</v>
      </c>
      <c r="N853" s="7">
        <f>_xlfn.XLOOKUP(A853,[1]SKU!$A:$A,[1]SKU!$Z:$Z)</f>
        <v>1090000</v>
      </c>
    </row>
    <row r="854" spans="1:14">
      <c r="A854" s="1" t="s">
        <v>1087</v>
      </c>
      <c r="B854" s="2" t="s">
        <v>3</v>
      </c>
      <c r="C854" s="2" t="s">
        <v>38</v>
      </c>
      <c r="D854" s="2" t="s">
        <v>1088</v>
      </c>
      <c r="E854" s="7" t="str">
        <f t="shared" si="77"/>
        <v>GPI</v>
      </c>
      <c r="F854" s="7" t="str">
        <f t="shared" si="90"/>
        <v>MEN</v>
      </c>
      <c r="G854" s="7" t="str">
        <f t="shared" si="91"/>
        <v>POL</v>
      </c>
      <c r="H854" s="7" t="str">
        <f t="shared" si="92"/>
        <v>RIB</v>
      </c>
      <c r="I854" s="7" t="str">
        <f t="shared" si="93"/>
        <v>LOG</v>
      </c>
      <c r="J854" s="7" t="str">
        <f t="shared" si="94"/>
        <v>OLI</v>
      </c>
      <c r="K854" s="7" t="str">
        <f t="shared" si="95"/>
        <v>XL</v>
      </c>
      <c r="L854" s="7" t="s">
        <v>1995</v>
      </c>
      <c r="M854" s="7" t="s">
        <v>4468</v>
      </c>
      <c r="N854" s="7">
        <f>_xlfn.XLOOKUP(A854,[1]SKU!$A:$A,[1]SKU!$Z:$Z)</f>
        <v>1390000</v>
      </c>
    </row>
    <row r="855" spans="1:14">
      <c r="A855" s="1" t="s">
        <v>5532</v>
      </c>
      <c r="B855" s="2" t="s">
        <v>4472</v>
      </c>
      <c r="C855" s="2" t="s">
        <v>5533</v>
      </c>
      <c r="D855" s="2" t="s">
        <v>5534</v>
      </c>
      <c r="E855" s="7" t="str">
        <f t="shared" si="77"/>
        <v>HAM</v>
      </c>
      <c r="F855" s="7" t="str">
        <f t="shared" si="90"/>
        <v>UNI</v>
      </c>
      <c r="G855" s="7" t="str">
        <f t="shared" si="91"/>
        <v>JEW</v>
      </c>
      <c r="H855" s="7" t="str">
        <f t="shared" si="92"/>
        <v>NEC</v>
      </c>
      <c r="I855" s="7" t="str">
        <f t="shared" si="93"/>
        <v>A34</v>
      </c>
      <c r="J855" s="7" t="str">
        <f t="shared" si="94"/>
        <v>MIX</v>
      </c>
      <c r="K855" s="7" t="str">
        <f t="shared" si="95"/>
        <v>0</v>
      </c>
      <c r="L855" s="7">
        <v>0</v>
      </c>
      <c r="M855" s="7" t="s">
        <v>2609</v>
      </c>
      <c r="N855" s="7">
        <f>_xlfn.XLOOKUP(A855,[1]SKU!$A:$A,[1]SKU!$Z:$Z)</f>
        <v>2200000</v>
      </c>
    </row>
    <row r="856" spans="1:14">
      <c r="A856" s="1" t="s">
        <v>5535</v>
      </c>
      <c r="B856" s="2" t="s">
        <v>4472</v>
      </c>
      <c r="C856" s="2" t="s">
        <v>4507</v>
      </c>
      <c r="D856" s="2" t="s">
        <v>5536</v>
      </c>
      <c r="E856" s="7" t="str">
        <f t="shared" si="77"/>
        <v>HAM</v>
      </c>
      <c r="F856" s="7" t="str">
        <f t="shared" si="90"/>
        <v>UNI</v>
      </c>
      <c r="G856" s="7" t="str">
        <f t="shared" si="91"/>
        <v>JEW</v>
      </c>
      <c r="H856" s="7" t="str">
        <f t="shared" si="92"/>
        <v>NEC</v>
      </c>
      <c r="I856" s="7" t="str">
        <f t="shared" si="93"/>
        <v>080</v>
      </c>
      <c r="J856" s="7" t="str">
        <f t="shared" si="94"/>
        <v>MIX</v>
      </c>
      <c r="K856" s="7" t="str">
        <f t="shared" si="95"/>
        <v>0</v>
      </c>
      <c r="L856" s="7">
        <v>0</v>
      </c>
      <c r="M856" s="7" t="s">
        <v>2609</v>
      </c>
      <c r="N856" s="7">
        <f>_xlfn.XLOOKUP(A856,[1]SKU!$A:$A,[1]SKU!$Z:$Z)</f>
        <v>1800000</v>
      </c>
    </row>
    <row r="857" spans="1:14">
      <c r="A857" s="1" t="s">
        <v>5537</v>
      </c>
      <c r="B857" s="2" t="s">
        <v>4472</v>
      </c>
      <c r="C857" s="2" t="s">
        <v>938</v>
      </c>
      <c r="D857" s="2" t="s">
        <v>5538</v>
      </c>
      <c r="E857" s="7" t="str">
        <f t="shared" si="77"/>
        <v>DSP</v>
      </c>
      <c r="F857" s="7" t="str">
        <f t="shared" si="90"/>
        <v>UNI</v>
      </c>
      <c r="G857" s="7" t="str">
        <f t="shared" si="91"/>
        <v>FWR</v>
      </c>
      <c r="H857" s="7" t="str">
        <f t="shared" si="92"/>
        <v>LES</v>
      </c>
      <c r="I857" s="7" t="str">
        <f t="shared" si="93"/>
        <v>NGO</v>
      </c>
      <c r="J857" s="7" t="str">
        <f t="shared" si="94"/>
        <v>CHE</v>
      </c>
      <c r="K857" s="7" t="str">
        <f t="shared" si="95"/>
        <v>45</v>
      </c>
      <c r="L857" s="7">
        <v>0</v>
      </c>
      <c r="M857" s="7" t="s">
        <v>2609</v>
      </c>
      <c r="N857" s="7">
        <f>_xlfn.XLOOKUP(A857,[1]SKU!$A:$A,[1]SKU!$Z:$Z)</f>
        <v>10800000</v>
      </c>
    </row>
    <row r="858" spans="1:14">
      <c r="A858" s="1" t="s">
        <v>5539</v>
      </c>
      <c r="B858" s="2" t="s">
        <v>4472</v>
      </c>
      <c r="C858" s="2" t="s">
        <v>4707</v>
      </c>
      <c r="D858" s="2" t="s">
        <v>5540</v>
      </c>
      <c r="E858" s="7" t="str">
        <f t="shared" si="77"/>
        <v>PSD</v>
      </c>
      <c r="F858" s="7" t="str">
        <f t="shared" si="90"/>
        <v>UNI</v>
      </c>
      <c r="G858" s="7" t="str">
        <f t="shared" si="91"/>
        <v>SOU</v>
      </c>
      <c r="H858" s="7" t="str">
        <f t="shared" si="92"/>
        <v>DEC</v>
      </c>
      <c r="I858" s="7" t="str">
        <f t="shared" si="93"/>
        <v>UNI</v>
      </c>
      <c r="J858" s="7" t="str">
        <f t="shared" si="94"/>
        <v>RED</v>
      </c>
      <c r="K858" s="7" t="str">
        <f t="shared" si="95"/>
        <v>M</v>
      </c>
      <c r="L858" s="7">
        <v>0</v>
      </c>
      <c r="M858" s="7" t="s">
        <v>2609</v>
      </c>
      <c r="N858" s="7">
        <f>_xlfn.XLOOKUP(A858,[1]SKU!$A:$A,[1]SKU!$Z:$Z)</f>
        <v>790000</v>
      </c>
    </row>
    <row r="859" spans="1:14">
      <c r="A859" s="1" t="s">
        <v>5541</v>
      </c>
      <c r="B859" s="2" t="s">
        <v>4472</v>
      </c>
      <c r="C859" s="2" t="s">
        <v>5542</v>
      </c>
      <c r="D859" s="2" t="s">
        <v>5543</v>
      </c>
      <c r="E859" s="7" t="str">
        <f t="shared" si="77"/>
        <v>LAN</v>
      </c>
      <c r="F859" s="7" t="str">
        <f t="shared" si="90"/>
        <v>UNI</v>
      </c>
      <c r="G859" s="7" t="str">
        <f t="shared" si="91"/>
        <v>HWR</v>
      </c>
      <c r="H859" s="7" t="str">
        <f t="shared" si="92"/>
        <v>SC2</v>
      </c>
      <c r="I859" s="7" t="str">
        <f t="shared" si="93"/>
        <v>TKU</v>
      </c>
      <c r="J859" s="7" t="str">
        <f t="shared" si="94"/>
        <v>PIN</v>
      </c>
      <c r="K859" s="7" t="str">
        <f t="shared" si="95"/>
        <v>90x90</v>
      </c>
      <c r="L859" s="7">
        <v>0</v>
      </c>
      <c r="M859" s="7" t="s">
        <v>2609</v>
      </c>
      <c r="N859" s="7">
        <f>_xlfn.XLOOKUP(A859,[1]SKU!$A:$A,[1]SKU!$Z:$Z)</f>
        <v>989000</v>
      </c>
    </row>
    <row r="860" spans="1:14">
      <c r="A860" s="1" t="s">
        <v>1091</v>
      </c>
      <c r="B860" s="2" t="s">
        <v>3</v>
      </c>
      <c r="C860" s="2" t="s">
        <v>229</v>
      </c>
      <c r="D860" s="2" t="s">
        <v>1092</v>
      </c>
      <c r="E860" s="7" t="str">
        <f t="shared" si="77"/>
        <v>GCV</v>
      </c>
      <c r="F860" s="7" t="str">
        <f t="shared" ref="F860:F923" si="96">_xlfn.TEXTBEFORE(_xlfn.TEXTAFTER(D860,"-",2),"-")</f>
        <v>MEN</v>
      </c>
      <c r="G860" s="7" t="str">
        <f t="shared" ref="G860:G923" si="97">_xlfn.TEXTBEFORE(_xlfn.TEXTAFTER(D860,"-",3),"-")</f>
        <v>SIS</v>
      </c>
      <c r="H860" s="7" t="str">
        <f t="shared" ref="H860:H923" si="98">_xlfn.TEXTBEFORE(_xlfn.TEXTAFTER(D860,"-",4),"-")</f>
        <v>BUT</v>
      </c>
      <c r="I860" s="7" t="str">
        <f t="shared" ref="I860:I923" si="99">_xlfn.TEXTBEFORE(_xlfn.TEXTAFTER(D860,"-",5),"-")</f>
        <v>RFT</v>
      </c>
      <c r="J860" s="7" t="str">
        <f t="shared" ref="J860:J923" si="100">_xlfn.TEXTBEFORE(_xlfn.TEXTAFTER(D860,"-",6),"-")</f>
        <v>WHI</v>
      </c>
      <c r="K860" s="7" t="str">
        <f t="shared" ref="K860:K923" si="101">_xlfn.TEXTAFTER(D860,"-",7)</f>
        <v>XXL</v>
      </c>
      <c r="L860" s="7" t="s">
        <v>2211</v>
      </c>
      <c r="M860" s="7" t="s">
        <v>4464</v>
      </c>
      <c r="N860" s="7">
        <f>_xlfn.XLOOKUP(A860,[1]SKU!$A:$A,[1]SKU!$Z:$Z)</f>
        <v>1790000</v>
      </c>
    </row>
    <row r="861" spans="1:14">
      <c r="A861" s="1" t="s">
        <v>1093</v>
      </c>
      <c r="B861" s="2" t="s">
        <v>3</v>
      </c>
      <c r="C861" s="2" t="s">
        <v>137</v>
      </c>
      <c r="D861" s="2" t="s">
        <v>1094</v>
      </c>
      <c r="E861" s="7" t="str">
        <f t="shared" si="77"/>
        <v>GBA</v>
      </c>
      <c r="F861" s="7" t="str">
        <f t="shared" si="96"/>
        <v>MEN</v>
      </c>
      <c r="G861" s="7" t="str">
        <f t="shared" si="97"/>
        <v>TSS</v>
      </c>
      <c r="H861" s="7" t="str">
        <f t="shared" si="98"/>
        <v>ONE</v>
      </c>
      <c r="I861" s="7" t="str">
        <f t="shared" si="99"/>
        <v>HHA</v>
      </c>
      <c r="J861" s="7" t="str">
        <f t="shared" si="100"/>
        <v>WHI</v>
      </c>
      <c r="K861" s="7" t="str">
        <f t="shared" si="101"/>
        <v>XL</v>
      </c>
      <c r="L861" s="7" t="s">
        <v>2018</v>
      </c>
      <c r="M861" s="7" t="s">
        <v>4462</v>
      </c>
      <c r="N861" s="7">
        <f>_xlfn.XLOOKUP(A861,[1]SKU!$A:$A,[1]SKU!$Z:$Z)</f>
        <v>890000</v>
      </c>
    </row>
    <row r="862" spans="1:14">
      <c r="A862" s="1" t="s">
        <v>1095</v>
      </c>
      <c r="B862" s="2" t="s">
        <v>3</v>
      </c>
      <c r="C862" s="2" t="s">
        <v>96</v>
      </c>
      <c r="D862" s="2" t="s">
        <v>1096</v>
      </c>
      <c r="E862" s="7" t="str">
        <f t="shared" si="77"/>
        <v>GOR</v>
      </c>
      <c r="F862" s="7" t="str">
        <f t="shared" si="96"/>
        <v>MEN</v>
      </c>
      <c r="G862" s="7" t="str">
        <f t="shared" si="97"/>
        <v>TSS</v>
      </c>
      <c r="H862" s="7" t="str">
        <f t="shared" si="98"/>
        <v>ONE</v>
      </c>
      <c r="I862" s="7" t="str">
        <f t="shared" si="99"/>
        <v>HNC</v>
      </c>
      <c r="J862" s="7" t="str">
        <f t="shared" si="100"/>
        <v>WHI</v>
      </c>
      <c r="K862" s="7" t="str">
        <f t="shared" si="101"/>
        <v>XXL</v>
      </c>
      <c r="L862" s="7" t="s">
        <v>2018</v>
      </c>
      <c r="M862" s="7" t="s">
        <v>4462</v>
      </c>
      <c r="N862" s="7">
        <f>_xlfn.XLOOKUP(A862,[1]SKU!$A:$A,[1]SKU!$Z:$Z)</f>
        <v>1090000</v>
      </c>
    </row>
    <row r="863" spans="1:14">
      <c r="A863" s="1" t="s">
        <v>1097</v>
      </c>
      <c r="B863" s="2" t="s">
        <v>3</v>
      </c>
      <c r="C863" s="2" t="s">
        <v>129</v>
      </c>
      <c r="D863" s="2" t="s">
        <v>1098</v>
      </c>
      <c r="E863" s="7" t="str">
        <f t="shared" si="77"/>
        <v>GBA</v>
      </c>
      <c r="F863" s="7" t="str">
        <f t="shared" si="96"/>
        <v>MEN</v>
      </c>
      <c r="G863" s="7" t="str">
        <f t="shared" si="97"/>
        <v>TSP</v>
      </c>
      <c r="H863" s="7" t="str">
        <f t="shared" si="98"/>
        <v>ONE</v>
      </c>
      <c r="I863" s="7" t="str">
        <f t="shared" si="99"/>
        <v>TJM</v>
      </c>
      <c r="J863" s="7" t="str">
        <f t="shared" si="100"/>
        <v>OLI</v>
      </c>
      <c r="K863" s="7" t="str">
        <f t="shared" si="101"/>
        <v>M</v>
      </c>
      <c r="L863" s="7" t="s">
        <v>2085</v>
      </c>
      <c r="M863" s="7" t="s">
        <v>4462</v>
      </c>
      <c r="N863" s="7">
        <f>_xlfn.XLOOKUP(A863,[1]SKU!$A:$A,[1]SKU!$Z:$Z)</f>
        <v>710000</v>
      </c>
    </row>
    <row r="864" spans="1:14">
      <c r="A864" s="1" t="s">
        <v>1099</v>
      </c>
      <c r="B864" s="2" t="s">
        <v>3</v>
      </c>
      <c r="C864" s="2" t="s">
        <v>450</v>
      </c>
      <c r="D864" s="2" t="s">
        <v>1100</v>
      </c>
      <c r="E864" s="7" t="str">
        <f t="shared" si="77"/>
        <v>GOR</v>
      </c>
      <c r="F864" s="7" t="str">
        <f t="shared" si="96"/>
        <v>MEN</v>
      </c>
      <c r="G864" s="7" t="str">
        <f t="shared" si="97"/>
        <v>TSP</v>
      </c>
      <c r="H864" s="7" t="str">
        <f t="shared" si="98"/>
        <v>ONE</v>
      </c>
      <c r="I864" s="7" t="str">
        <f t="shared" si="99"/>
        <v>HNB</v>
      </c>
      <c r="J864" s="7" t="str">
        <f t="shared" si="100"/>
        <v>RED</v>
      </c>
      <c r="K864" s="7" t="str">
        <f t="shared" si="101"/>
        <v>M</v>
      </c>
      <c r="L864" s="7" t="s">
        <v>2085</v>
      </c>
      <c r="M864" s="7" t="s">
        <v>4462</v>
      </c>
      <c r="N864" s="7">
        <f>_xlfn.XLOOKUP(A864,[1]SKU!$A:$A,[1]SKU!$Z:$Z)</f>
        <v>790000</v>
      </c>
    </row>
    <row r="865" spans="1:14">
      <c r="A865" s="1" t="s">
        <v>5544</v>
      </c>
      <c r="B865" s="2" t="s">
        <v>4472</v>
      </c>
      <c r="C865" s="2" t="s">
        <v>5545</v>
      </c>
      <c r="D865" s="2" t="s">
        <v>5546</v>
      </c>
      <c r="E865" s="7" t="str">
        <f t="shared" si="77"/>
        <v>LAN</v>
      </c>
      <c r="F865" s="7" t="str">
        <f t="shared" si="96"/>
        <v>UNI</v>
      </c>
      <c r="G865" s="7" t="str">
        <f t="shared" si="97"/>
        <v>HWR</v>
      </c>
      <c r="H865" s="7" t="str">
        <f t="shared" si="98"/>
        <v>SC2</v>
      </c>
      <c r="I865" s="7" t="str">
        <f t="shared" si="99"/>
        <v>SPA</v>
      </c>
      <c r="J865" s="7" t="str">
        <f t="shared" si="100"/>
        <v>PUR</v>
      </c>
      <c r="K865" s="7" t="str">
        <f t="shared" si="101"/>
        <v>70x70</v>
      </c>
      <c r="L865" s="7">
        <v>0</v>
      </c>
      <c r="M865" s="7" t="s">
        <v>2609</v>
      </c>
      <c r="N865" s="7">
        <f>_xlfn.XLOOKUP(A865,[1]SKU!$A:$A,[1]SKU!$Z:$Z)</f>
        <v>749000</v>
      </c>
    </row>
    <row r="866" spans="1:14">
      <c r="A866" s="1" t="s">
        <v>1101</v>
      </c>
      <c r="B866" s="2" t="s">
        <v>3</v>
      </c>
      <c r="C866" s="2" t="s">
        <v>229</v>
      </c>
      <c r="D866" s="2" t="s">
        <v>1102</v>
      </c>
      <c r="E866" s="7" t="str">
        <f t="shared" si="77"/>
        <v>GSP</v>
      </c>
      <c r="F866" s="7" t="str">
        <f t="shared" si="96"/>
        <v>MEN</v>
      </c>
      <c r="G866" s="7" t="str">
        <f t="shared" si="97"/>
        <v>POL</v>
      </c>
      <c r="H866" s="7" t="str">
        <f t="shared" si="98"/>
        <v>MAN</v>
      </c>
      <c r="I866" s="7" t="str">
        <f t="shared" si="99"/>
        <v>RFT</v>
      </c>
      <c r="J866" s="7" t="str">
        <f t="shared" si="100"/>
        <v>VIO</v>
      </c>
      <c r="K866" s="7" t="str">
        <f t="shared" si="101"/>
        <v>M</v>
      </c>
      <c r="L866" s="7" t="s">
        <v>1995</v>
      </c>
      <c r="M866" s="7" t="s">
        <v>4468</v>
      </c>
      <c r="N866" s="7">
        <f>_xlfn.XLOOKUP(A866,[1]SKU!$A:$A,[1]SKU!$Z:$Z)</f>
        <v>1090000</v>
      </c>
    </row>
    <row r="867" spans="1:14">
      <c r="A867" s="1" t="s">
        <v>1103</v>
      </c>
      <c r="B867" s="2" t="s">
        <v>3</v>
      </c>
      <c r="C867" s="2" t="s">
        <v>26</v>
      </c>
      <c r="D867" s="2" t="s">
        <v>1104</v>
      </c>
      <c r="E867" s="7" t="str">
        <f t="shared" si="77"/>
        <v>GSL</v>
      </c>
      <c r="F867" s="7" t="str">
        <f t="shared" si="96"/>
        <v>KID</v>
      </c>
      <c r="G867" s="7" t="str">
        <f t="shared" si="97"/>
        <v>TSS</v>
      </c>
      <c r="H867" s="7" t="str">
        <f t="shared" si="98"/>
        <v>ONE</v>
      </c>
      <c r="I867" s="7" t="str">
        <f t="shared" si="99"/>
        <v>AUL</v>
      </c>
      <c r="J867" s="7" t="str">
        <f t="shared" si="100"/>
        <v>WHI</v>
      </c>
      <c r="K867" s="7" t="str">
        <f t="shared" si="101"/>
        <v>12</v>
      </c>
      <c r="L867" s="7" t="s">
        <v>2018</v>
      </c>
      <c r="M867" s="7" t="s">
        <v>4462</v>
      </c>
      <c r="N867" s="7">
        <f>_xlfn.XLOOKUP(A867,[1]SKU!$A:$A,[1]SKU!$Z:$Z)</f>
        <v>650000</v>
      </c>
    </row>
    <row r="868" spans="1:14">
      <c r="A868" s="1" t="s">
        <v>5547</v>
      </c>
      <c r="B868" s="2" t="s">
        <v>4472</v>
      </c>
      <c r="C868" s="2" t="s">
        <v>100</v>
      </c>
      <c r="D868" s="2" t="s">
        <v>5548</v>
      </c>
      <c r="E868" s="7" t="str">
        <f t="shared" si="77"/>
        <v>PSD</v>
      </c>
      <c r="F868" s="7" t="str">
        <f t="shared" si="96"/>
        <v>UNI</v>
      </c>
      <c r="G868" s="7" t="str">
        <f t="shared" si="97"/>
        <v>SOU</v>
      </c>
      <c r="H868" s="7" t="str">
        <f t="shared" si="98"/>
        <v>DEC</v>
      </c>
      <c r="I868" s="7" t="str">
        <f t="shared" si="99"/>
        <v>LBA</v>
      </c>
      <c r="J868" s="7" t="str">
        <f t="shared" si="100"/>
        <v>GRN</v>
      </c>
      <c r="K868" s="7" t="str">
        <f t="shared" si="101"/>
        <v>12</v>
      </c>
      <c r="L868" s="7">
        <v>0</v>
      </c>
      <c r="M868" s="7" t="s">
        <v>2609</v>
      </c>
      <c r="N868" s="7">
        <f>_xlfn.XLOOKUP(A868,[1]SKU!$A:$A,[1]SKU!$Z:$Z)</f>
        <v>395000</v>
      </c>
    </row>
    <row r="869" spans="1:14">
      <c r="A869" s="1" t="s">
        <v>5549</v>
      </c>
      <c r="B869" s="2" t="s">
        <v>4472</v>
      </c>
      <c r="C869" s="2" t="s">
        <v>5550</v>
      </c>
      <c r="D869" s="2" t="s">
        <v>5551</v>
      </c>
      <c r="E869" s="7" t="str">
        <f t="shared" si="77"/>
        <v>LAN</v>
      </c>
      <c r="F869" s="7" t="str">
        <f t="shared" si="96"/>
        <v>UNI</v>
      </c>
      <c r="G869" s="7" t="str">
        <f t="shared" si="97"/>
        <v>HWR</v>
      </c>
      <c r="H869" s="7" t="str">
        <f t="shared" si="98"/>
        <v>SC2</v>
      </c>
      <c r="I869" s="7" t="str">
        <f t="shared" si="99"/>
        <v>DTD</v>
      </c>
      <c r="J869" s="7" t="str">
        <f t="shared" si="100"/>
        <v>GRN</v>
      </c>
      <c r="K869" s="7" t="str">
        <f t="shared" si="101"/>
        <v>60x60</v>
      </c>
      <c r="L869" s="7">
        <v>0</v>
      </c>
      <c r="M869" s="7" t="s">
        <v>2609</v>
      </c>
      <c r="N869" s="7">
        <f>_xlfn.XLOOKUP(A869,[1]SKU!$A:$A,[1]SKU!$Z:$Z)</f>
        <v>549000</v>
      </c>
    </row>
    <row r="870" spans="1:14">
      <c r="A870" s="1" t="s">
        <v>1105</v>
      </c>
      <c r="B870" s="2" t="s">
        <v>3</v>
      </c>
      <c r="C870" s="2" t="s">
        <v>268</v>
      </c>
      <c r="D870" s="2" t="s">
        <v>1106</v>
      </c>
      <c r="E870" s="7" t="str">
        <f t="shared" si="77"/>
        <v>GOR</v>
      </c>
      <c r="F870" s="7" t="str">
        <f t="shared" si="96"/>
        <v>MEN</v>
      </c>
      <c r="G870" s="7" t="str">
        <f t="shared" si="97"/>
        <v>TSP</v>
      </c>
      <c r="H870" s="7" t="str">
        <f t="shared" si="98"/>
        <v>ONE</v>
      </c>
      <c r="I870" s="7" t="str">
        <f t="shared" si="99"/>
        <v>SSY</v>
      </c>
      <c r="J870" s="7" t="str">
        <f t="shared" si="100"/>
        <v>GRE</v>
      </c>
      <c r="K870" s="7" t="str">
        <f t="shared" si="101"/>
        <v>S</v>
      </c>
      <c r="L870" s="7" t="s">
        <v>2085</v>
      </c>
      <c r="M870" s="7" t="s">
        <v>4462</v>
      </c>
      <c r="N870" s="7">
        <f>_xlfn.XLOOKUP(A870,[1]SKU!$A:$A,[1]SKU!$Z:$Z)</f>
        <v>790000</v>
      </c>
    </row>
    <row r="871" spans="1:14">
      <c r="A871" s="1" t="s">
        <v>1107</v>
      </c>
      <c r="B871" s="2" t="s">
        <v>19</v>
      </c>
      <c r="C871" s="2" t="s">
        <v>1108</v>
      </c>
      <c r="D871" s="2" t="s">
        <v>1109</v>
      </c>
      <c r="E871" s="7" t="str">
        <f t="shared" si="77"/>
        <v>OTH</v>
      </c>
      <c r="F871" s="7" t="str">
        <f t="shared" si="96"/>
        <v>UNI</v>
      </c>
      <c r="G871" s="7" t="str">
        <f t="shared" si="97"/>
        <v>SOU</v>
      </c>
      <c r="H871" s="7" t="str">
        <f t="shared" si="98"/>
        <v>HFS</v>
      </c>
      <c r="I871" s="7" t="str">
        <f t="shared" si="99"/>
        <v>DRF</v>
      </c>
      <c r="J871" s="7" t="str">
        <f t="shared" si="100"/>
        <v>RED</v>
      </c>
      <c r="K871" s="7" t="str">
        <f t="shared" si="101"/>
        <v>0</v>
      </c>
      <c r="L871" s="7">
        <v>0</v>
      </c>
      <c r="M871" s="7" t="s">
        <v>2609</v>
      </c>
      <c r="N871" s="7">
        <f>_xlfn.XLOOKUP(A871,[1]SKU!$A:$A,[1]SKU!$Z:$Z)</f>
        <v>355000</v>
      </c>
    </row>
    <row r="872" spans="1:14">
      <c r="A872" s="1" t="s">
        <v>1110</v>
      </c>
      <c r="B872" s="2" t="s">
        <v>19</v>
      </c>
      <c r="C872" s="2" t="s">
        <v>1111</v>
      </c>
      <c r="D872" s="2" t="s">
        <v>1112</v>
      </c>
      <c r="E872" s="7" t="str">
        <f t="shared" si="77"/>
        <v>OTH</v>
      </c>
      <c r="F872" s="7" t="str">
        <f t="shared" si="96"/>
        <v>UNI</v>
      </c>
      <c r="G872" s="7" t="str">
        <f t="shared" si="97"/>
        <v>SOU</v>
      </c>
      <c r="H872" s="7" t="str">
        <f t="shared" si="98"/>
        <v>ECV</v>
      </c>
      <c r="I872" s="7" t="str">
        <f t="shared" si="99"/>
        <v>MIX</v>
      </c>
      <c r="J872" s="7" t="str">
        <f t="shared" si="100"/>
        <v>MIX</v>
      </c>
      <c r="K872" s="7" t="str">
        <f t="shared" si="101"/>
        <v>0</v>
      </c>
      <c r="L872" s="7">
        <v>0</v>
      </c>
      <c r="M872" s="7" t="s">
        <v>2609</v>
      </c>
      <c r="N872" s="7">
        <f>_xlfn.XLOOKUP(A872,[1]SKU!$A:$A,[1]SKU!$Z:$Z)</f>
        <v>165000</v>
      </c>
    </row>
    <row r="873" spans="1:14">
      <c r="A873" s="1" t="s">
        <v>5552</v>
      </c>
      <c r="B873" s="2" t="s">
        <v>4472</v>
      </c>
      <c r="C873" s="2" t="s">
        <v>208</v>
      </c>
      <c r="D873" s="2" t="s">
        <v>5553</v>
      </c>
      <c r="E873" s="7" t="str">
        <f t="shared" si="77"/>
        <v>DSP</v>
      </c>
      <c r="F873" s="7" t="str">
        <f t="shared" si="96"/>
        <v>UNI</v>
      </c>
      <c r="G873" s="7" t="str">
        <f t="shared" si="97"/>
        <v>FWR</v>
      </c>
      <c r="H873" s="7" t="str">
        <f t="shared" si="98"/>
        <v>HDB</v>
      </c>
      <c r="I873" s="7" t="str">
        <f t="shared" si="99"/>
        <v>STL</v>
      </c>
      <c r="J873" s="7" t="str">
        <f t="shared" si="100"/>
        <v>LEA</v>
      </c>
      <c r="K873" s="7" t="str">
        <f t="shared" si="101"/>
        <v>47</v>
      </c>
      <c r="L873" s="7">
        <v>0</v>
      </c>
      <c r="M873" s="7" t="s">
        <v>2609</v>
      </c>
      <c r="N873" s="7">
        <f>_xlfn.XLOOKUP(A873,[1]SKU!$A:$A,[1]SKU!$Z:$Z)</f>
        <v>7800000</v>
      </c>
    </row>
    <row r="874" spans="1:14">
      <c r="A874" s="1" t="s">
        <v>1113</v>
      </c>
      <c r="B874" s="2" t="s">
        <v>19</v>
      </c>
      <c r="C874" s="2" t="s">
        <v>275</v>
      </c>
      <c r="D874" s="2" t="s">
        <v>1114</v>
      </c>
      <c r="E874" s="7" t="str">
        <f t="shared" si="77"/>
        <v>OTH</v>
      </c>
      <c r="F874" s="7" t="str">
        <f t="shared" si="96"/>
        <v>UNI</v>
      </c>
      <c r="G874" s="7" t="str">
        <f t="shared" si="97"/>
        <v>BAG</v>
      </c>
      <c r="H874" s="7" t="str">
        <f t="shared" si="98"/>
        <v>OTH</v>
      </c>
      <c r="I874" s="7" t="str">
        <f t="shared" si="99"/>
        <v>DBG</v>
      </c>
      <c r="J874" s="7" t="str">
        <f t="shared" si="100"/>
        <v>GRE</v>
      </c>
      <c r="K874" s="7" t="str">
        <f t="shared" si="101"/>
        <v>0</v>
      </c>
      <c r="L874" s="7">
        <v>0</v>
      </c>
      <c r="M874" s="7" t="s">
        <v>2609</v>
      </c>
      <c r="N874" s="7">
        <f>_xlfn.XLOOKUP(A874,[1]SKU!$A:$A,[1]SKU!$Z:$Z)</f>
        <v>790000</v>
      </c>
    </row>
    <row r="875" spans="1:14">
      <c r="A875" s="1" t="s">
        <v>1115</v>
      </c>
      <c r="B875" s="2" t="s">
        <v>3</v>
      </c>
      <c r="C875" s="2" t="s">
        <v>841</v>
      </c>
      <c r="D875" s="2" t="s">
        <v>1116</v>
      </c>
      <c r="E875" s="7" t="str">
        <f t="shared" si="77"/>
        <v>GSU</v>
      </c>
      <c r="F875" s="7" t="str">
        <f t="shared" si="96"/>
        <v>WOM</v>
      </c>
      <c r="G875" s="7" t="str">
        <f t="shared" si="97"/>
        <v>TTB</v>
      </c>
      <c r="H875" s="7" t="str">
        <f t="shared" si="98"/>
        <v>BNE</v>
      </c>
      <c r="I875" s="7" t="str">
        <f t="shared" si="99"/>
        <v>RDY</v>
      </c>
      <c r="J875" s="7" t="str">
        <f t="shared" si="100"/>
        <v>WHI</v>
      </c>
      <c r="K875" s="7" t="str">
        <f t="shared" si="101"/>
        <v>M</v>
      </c>
      <c r="L875" s="7" t="s">
        <v>2326</v>
      </c>
      <c r="M875" s="7" t="s">
        <v>4469</v>
      </c>
      <c r="N875" s="7">
        <f>_xlfn.XLOOKUP(A875,[1]SKU!$A:$A,[1]SKU!$Z:$Z)</f>
        <v>850000</v>
      </c>
    </row>
    <row r="876" spans="1:14">
      <c r="A876" s="1" t="s">
        <v>5554</v>
      </c>
      <c r="B876" s="2" t="s">
        <v>4472</v>
      </c>
      <c r="C876" s="2" t="s">
        <v>1117</v>
      </c>
      <c r="D876" s="2" t="s">
        <v>5555</v>
      </c>
      <c r="E876" s="7" t="str">
        <f t="shared" si="77"/>
        <v>ODE</v>
      </c>
      <c r="F876" s="7" t="str">
        <f t="shared" si="96"/>
        <v>UNI</v>
      </c>
      <c r="G876" s="7" t="str">
        <f t="shared" si="97"/>
        <v>COS</v>
      </c>
      <c r="H876" s="7" t="str">
        <f t="shared" si="98"/>
        <v>BCE</v>
      </c>
      <c r="I876" s="7" t="str">
        <f t="shared" si="99"/>
        <v>D05</v>
      </c>
      <c r="J876" s="7" t="str">
        <f t="shared" si="100"/>
        <v>NON</v>
      </c>
      <c r="K876" s="7" t="str">
        <f t="shared" si="101"/>
        <v>0</v>
      </c>
      <c r="L876" s="7">
        <v>0</v>
      </c>
      <c r="M876" s="7" t="s">
        <v>2609</v>
      </c>
      <c r="N876" s="7">
        <f>_xlfn.XLOOKUP(A876,[1]SKU!$A:$A,[1]SKU!$Z:$Z)</f>
        <v>215000</v>
      </c>
    </row>
    <row r="877" spans="1:14">
      <c r="A877" s="1" t="s">
        <v>5556</v>
      </c>
      <c r="B877" s="2" t="s">
        <v>4472</v>
      </c>
      <c r="C877" s="2" t="s">
        <v>5557</v>
      </c>
      <c r="D877" s="2" t="s">
        <v>5558</v>
      </c>
      <c r="E877" s="7" t="str">
        <f t="shared" si="77"/>
        <v>HAM</v>
      </c>
      <c r="F877" s="7" t="str">
        <f t="shared" si="96"/>
        <v>UNI</v>
      </c>
      <c r="G877" s="7" t="str">
        <f t="shared" si="97"/>
        <v>JEW</v>
      </c>
      <c r="H877" s="7" t="str">
        <f t="shared" si="98"/>
        <v>NEC</v>
      </c>
      <c r="I877" s="7" t="str">
        <f t="shared" si="99"/>
        <v>143</v>
      </c>
      <c r="J877" s="7" t="str">
        <f t="shared" si="100"/>
        <v>MIX</v>
      </c>
      <c r="K877" s="7" t="str">
        <f t="shared" si="101"/>
        <v>0</v>
      </c>
      <c r="L877" s="7">
        <v>0</v>
      </c>
      <c r="M877" s="7" t="s">
        <v>2609</v>
      </c>
      <c r="N877" s="7">
        <f>_xlfn.XLOOKUP(A877,[1]SKU!$A:$A,[1]SKU!$Z:$Z)</f>
        <v>6000000</v>
      </c>
    </row>
    <row r="878" spans="1:14">
      <c r="A878" s="1" t="s">
        <v>1118</v>
      </c>
      <c r="B878" s="2" t="s">
        <v>3</v>
      </c>
      <c r="C878" s="2" t="s">
        <v>262</v>
      </c>
      <c r="D878" s="2" t="s">
        <v>1119</v>
      </c>
      <c r="E878" s="7" t="str">
        <f t="shared" si="77"/>
        <v>GBA</v>
      </c>
      <c r="F878" s="7" t="str">
        <f t="shared" si="96"/>
        <v>MEN</v>
      </c>
      <c r="G878" s="7" t="str">
        <f t="shared" si="97"/>
        <v>TSS</v>
      </c>
      <c r="H878" s="7" t="str">
        <f t="shared" si="98"/>
        <v>ONE</v>
      </c>
      <c r="I878" s="7" t="str">
        <f t="shared" si="99"/>
        <v>XLO</v>
      </c>
      <c r="J878" s="7" t="str">
        <f t="shared" si="100"/>
        <v>BLK</v>
      </c>
      <c r="K878" s="7" t="str">
        <f t="shared" si="101"/>
        <v>XXL</v>
      </c>
      <c r="L878" s="7" t="s">
        <v>2018</v>
      </c>
      <c r="M878" s="7" t="s">
        <v>4462</v>
      </c>
      <c r="N878" s="7">
        <f>_xlfn.XLOOKUP(A878,[1]SKU!$A:$A,[1]SKU!$Z:$Z)</f>
        <v>710000</v>
      </c>
    </row>
    <row r="879" spans="1:14">
      <c r="A879" s="1" t="s">
        <v>1120</v>
      </c>
      <c r="B879" s="2" t="s">
        <v>3</v>
      </c>
      <c r="C879" s="2" t="s">
        <v>129</v>
      </c>
      <c r="D879" s="2" t="s">
        <v>1121</v>
      </c>
      <c r="E879" s="7" t="str">
        <f t="shared" si="77"/>
        <v>GBA</v>
      </c>
      <c r="F879" s="7" t="str">
        <f t="shared" si="96"/>
        <v>MEN</v>
      </c>
      <c r="G879" s="7" t="str">
        <f t="shared" si="97"/>
        <v>TSP</v>
      </c>
      <c r="H879" s="7" t="str">
        <f t="shared" si="98"/>
        <v>ONE</v>
      </c>
      <c r="I879" s="7" t="str">
        <f t="shared" si="99"/>
        <v>TJM</v>
      </c>
      <c r="J879" s="7" t="str">
        <f t="shared" si="100"/>
        <v>OLI</v>
      </c>
      <c r="K879" s="7" t="str">
        <f t="shared" si="101"/>
        <v>XL</v>
      </c>
      <c r="L879" s="7" t="s">
        <v>2085</v>
      </c>
      <c r="M879" s="7" t="s">
        <v>4462</v>
      </c>
      <c r="N879" s="7">
        <f>_xlfn.XLOOKUP(A879,[1]SKU!$A:$A,[1]SKU!$Z:$Z)</f>
        <v>710000</v>
      </c>
    </row>
    <row r="880" spans="1:14">
      <c r="A880" s="1" t="s">
        <v>5559</v>
      </c>
      <c r="B880" s="2" t="s">
        <v>4472</v>
      </c>
      <c r="C880" s="2" t="s">
        <v>1007</v>
      </c>
      <c r="D880" s="2" t="s">
        <v>5560</v>
      </c>
      <c r="E880" s="7" t="str">
        <f t="shared" si="77"/>
        <v>DSP</v>
      </c>
      <c r="F880" s="7" t="str">
        <f t="shared" si="96"/>
        <v>UNI</v>
      </c>
      <c r="G880" s="7" t="str">
        <f t="shared" si="97"/>
        <v>FWR</v>
      </c>
      <c r="H880" s="7" t="str">
        <f t="shared" si="98"/>
        <v>LES</v>
      </c>
      <c r="I880" s="7" t="str">
        <f t="shared" si="99"/>
        <v>CHU</v>
      </c>
      <c r="J880" s="7" t="str">
        <f t="shared" si="100"/>
        <v>DBN</v>
      </c>
      <c r="K880" s="7" t="str">
        <f t="shared" si="101"/>
        <v>37</v>
      </c>
      <c r="L880" s="7">
        <v>0</v>
      </c>
      <c r="M880" s="7" t="s">
        <v>2609</v>
      </c>
      <c r="N880" s="7">
        <f>_xlfn.XLOOKUP(A880,[1]SKU!$A:$A,[1]SKU!$Z:$Z)</f>
        <v>7500000</v>
      </c>
    </row>
    <row r="881" spans="1:14">
      <c r="A881" s="1" t="s">
        <v>1122</v>
      </c>
      <c r="B881" s="2" t="s">
        <v>3</v>
      </c>
      <c r="C881" s="2" t="s">
        <v>113</v>
      </c>
      <c r="D881" s="2" t="s">
        <v>1123</v>
      </c>
      <c r="E881" s="7" t="str">
        <f t="shared" si="77"/>
        <v>GOR</v>
      </c>
      <c r="F881" s="7" t="str">
        <f t="shared" si="96"/>
        <v>MEN</v>
      </c>
      <c r="G881" s="7" t="str">
        <f t="shared" si="97"/>
        <v>TSS</v>
      </c>
      <c r="H881" s="7" t="str">
        <f t="shared" si="98"/>
        <v>HNE</v>
      </c>
      <c r="I881" s="7" t="str">
        <f t="shared" si="99"/>
        <v>TCS</v>
      </c>
      <c r="J881" s="7" t="str">
        <f t="shared" si="100"/>
        <v>WHI</v>
      </c>
      <c r="K881" s="7" t="str">
        <f t="shared" si="101"/>
        <v>L</v>
      </c>
      <c r="L881" s="7" t="s">
        <v>2018</v>
      </c>
      <c r="M881" s="7" t="s">
        <v>4462</v>
      </c>
      <c r="N881" s="7">
        <f>_xlfn.XLOOKUP(A881,[1]SKU!$A:$A,[1]SKU!$Z:$Z)</f>
        <v>1390000</v>
      </c>
    </row>
    <row r="882" spans="1:14">
      <c r="A882" s="1" t="s">
        <v>1124</v>
      </c>
      <c r="B882" s="2" t="s">
        <v>3</v>
      </c>
      <c r="C882" s="2" t="s">
        <v>45</v>
      </c>
      <c r="D882" s="2" t="s">
        <v>1125</v>
      </c>
      <c r="E882" s="7" t="str">
        <f t="shared" si="77"/>
        <v>GBA</v>
      </c>
      <c r="F882" s="7" t="str">
        <f t="shared" si="96"/>
        <v>MEN</v>
      </c>
      <c r="G882" s="7" t="str">
        <f t="shared" si="97"/>
        <v>TSS</v>
      </c>
      <c r="H882" s="7" t="str">
        <f t="shared" si="98"/>
        <v>ONE</v>
      </c>
      <c r="I882" s="7" t="str">
        <f t="shared" si="99"/>
        <v>DDU</v>
      </c>
      <c r="J882" s="7" t="str">
        <f t="shared" si="100"/>
        <v>GRE</v>
      </c>
      <c r="K882" s="7" t="str">
        <f t="shared" si="101"/>
        <v>M</v>
      </c>
      <c r="L882" s="7" t="s">
        <v>2018</v>
      </c>
      <c r="M882" s="7" t="s">
        <v>4462</v>
      </c>
      <c r="N882" s="7">
        <f>_xlfn.XLOOKUP(A882,[1]SKU!$A:$A,[1]SKU!$Z:$Z)</f>
        <v>710000</v>
      </c>
    </row>
    <row r="883" spans="1:14">
      <c r="A883" s="1" t="s">
        <v>1126</v>
      </c>
      <c r="B883" s="2" t="s">
        <v>3</v>
      </c>
      <c r="C883" s="2" t="s">
        <v>311</v>
      </c>
      <c r="D883" s="2" t="s">
        <v>1127</v>
      </c>
      <c r="E883" s="7" t="str">
        <f t="shared" si="77"/>
        <v>GSL</v>
      </c>
      <c r="F883" s="7" t="str">
        <f t="shared" si="96"/>
        <v>WOM</v>
      </c>
      <c r="G883" s="7" t="str">
        <f t="shared" si="97"/>
        <v>TSP</v>
      </c>
      <c r="H883" s="7" t="str">
        <f t="shared" si="98"/>
        <v>ONE</v>
      </c>
      <c r="I883" s="7" t="str">
        <f t="shared" si="99"/>
        <v>GL2</v>
      </c>
      <c r="J883" s="7" t="str">
        <f t="shared" si="100"/>
        <v>WHI</v>
      </c>
      <c r="K883" s="7" t="str">
        <f t="shared" si="101"/>
        <v>S</v>
      </c>
      <c r="L883" s="7" t="s">
        <v>2085</v>
      </c>
      <c r="M883" s="7" t="s">
        <v>4462</v>
      </c>
      <c r="N883" s="7">
        <f>_xlfn.XLOOKUP(A883,[1]SKU!$A:$A,[1]SKU!$Z:$Z)</f>
        <v>750000</v>
      </c>
    </row>
    <row r="884" spans="1:14">
      <c r="A884" s="1" t="s">
        <v>5561</v>
      </c>
      <c r="B884" s="2" t="s">
        <v>4472</v>
      </c>
      <c r="C884" s="2" t="s">
        <v>231</v>
      </c>
      <c r="D884" s="2" t="s">
        <v>5562</v>
      </c>
      <c r="E884" s="7" t="str">
        <f t="shared" si="77"/>
        <v>DSP</v>
      </c>
      <c r="F884" s="7" t="str">
        <f t="shared" si="96"/>
        <v>UNI</v>
      </c>
      <c r="G884" s="7" t="str">
        <f t="shared" si="97"/>
        <v>ACC</v>
      </c>
      <c r="H884" s="7" t="str">
        <f t="shared" si="98"/>
        <v>KEY</v>
      </c>
      <c r="I884" s="7" t="str">
        <f t="shared" si="99"/>
        <v>DUC</v>
      </c>
      <c r="J884" s="7" t="str">
        <f t="shared" si="100"/>
        <v>BLK</v>
      </c>
      <c r="K884" s="7" t="str">
        <f t="shared" si="101"/>
        <v>0</v>
      </c>
      <c r="L884" s="7">
        <v>0</v>
      </c>
      <c r="M884" s="7" t="s">
        <v>2609</v>
      </c>
      <c r="N884" s="7">
        <f>_xlfn.XLOOKUP(A884,[1]SKU!$A:$A,[1]SKU!$Z:$Z)</f>
        <v>690000</v>
      </c>
    </row>
    <row r="885" spans="1:14">
      <c r="A885" s="1" t="s">
        <v>5563</v>
      </c>
      <c r="B885" s="2" t="s">
        <v>4472</v>
      </c>
      <c r="C885" s="2" t="s">
        <v>124</v>
      </c>
      <c r="D885" s="2" t="s">
        <v>5564</v>
      </c>
      <c r="E885" s="7" t="str">
        <f t="shared" si="77"/>
        <v>DSP</v>
      </c>
      <c r="F885" s="7" t="str">
        <f t="shared" si="96"/>
        <v>UNI</v>
      </c>
      <c r="G885" s="7" t="str">
        <f t="shared" si="97"/>
        <v>FWR</v>
      </c>
      <c r="H885" s="7" t="str">
        <f t="shared" si="98"/>
        <v>SLI</v>
      </c>
      <c r="I885" s="7" t="str">
        <f t="shared" si="99"/>
        <v>SLN</v>
      </c>
      <c r="J885" s="7" t="str">
        <f t="shared" si="100"/>
        <v>WOE</v>
      </c>
      <c r="K885" s="7" t="str">
        <f t="shared" si="101"/>
        <v>43</v>
      </c>
      <c r="L885" s="7">
        <v>0</v>
      </c>
      <c r="M885" s="7" t="s">
        <v>2609</v>
      </c>
      <c r="N885" s="7">
        <f>_xlfn.XLOOKUP(A885,[1]SKU!$A:$A,[1]SKU!$Z:$Z)</f>
        <v>7500000</v>
      </c>
    </row>
    <row r="886" spans="1:14">
      <c r="A886" s="1" t="s">
        <v>5565</v>
      </c>
      <c r="B886" s="2" t="s">
        <v>4472</v>
      </c>
      <c r="C886" s="2" t="s">
        <v>1128</v>
      </c>
      <c r="D886" s="2" t="s">
        <v>5566</v>
      </c>
      <c r="E886" s="7" t="str">
        <f t="shared" si="77"/>
        <v>DSP</v>
      </c>
      <c r="F886" s="7" t="str">
        <f t="shared" si="96"/>
        <v>UNI</v>
      </c>
      <c r="G886" s="7" t="str">
        <f t="shared" si="97"/>
        <v>FWR</v>
      </c>
      <c r="H886" s="7" t="str">
        <f t="shared" si="98"/>
        <v>LES</v>
      </c>
      <c r="I886" s="7" t="str">
        <f t="shared" si="99"/>
        <v>AYR</v>
      </c>
      <c r="J886" s="7" t="str">
        <f t="shared" si="100"/>
        <v>GRE</v>
      </c>
      <c r="K886" s="7" t="str">
        <f t="shared" si="101"/>
        <v>42</v>
      </c>
      <c r="L886" s="7">
        <v>0</v>
      </c>
      <c r="M886" s="7" t="s">
        <v>2609</v>
      </c>
      <c r="N886" s="7">
        <f>_xlfn.XLOOKUP(A886,[1]SKU!$A:$A,[1]SKU!$Z:$Z)</f>
        <v>7600000</v>
      </c>
    </row>
    <row r="887" spans="1:14">
      <c r="A887" s="1" t="s">
        <v>5567</v>
      </c>
      <c r="B887" s="2" t="s">
        <v>4472</v>
      </c>
      <c r="C887" s="2" t="s">
        <v>5568</v>
      </c>
      <c r="D887" s="2" t="s">
        <v>5569</v>
      </c>
      <c r="E887" s="7" t="str">
        <f t="shared" si="77"/>
        <v>BLS</v>
      </c>
      <c r="F887" s="7" t="str">
        <f t="shared" si="96"/>
        <v>UNI</v>
      </c>
      <c r="G887" s="7" t="str">
        <f t="shared" si="97"/>
        <v>FNB</v>
      </c>
      <c r="H887" s="7" t="str">
        <f t="shared" si="98"/>
        <v>SAL</v>
      </c>
      <c r="I887" s="7" t="str">
        <f t="shared" si="99"/>
        <v>008</v>
      </c>
      <c r="J887" s="7" t="str">
        <f t="shared" si="100"/>
        <v>MIX</v>
      </c>
      <c r="K887" s="7" t="str">
        <f t="shared" si="101"/>
        <v>70g</v>
      </c>
      <c r="L887" s="7">
        <v>0</v>
      </c>
      <c r="M887" s="7" t="s">
        <v>2609</v>
      </c>
      <c r="N887" s="7">
        <f>_xlfn.XLOOKUP(A887,[1]SKU!$A:$A,[1]SKU!$Z:$Z)</f>
        <v>135000</v>
      </c>
    </row>
    <row r="888" spans="1:14">
      <c r="A888" s="1" t="s">
        <v>1129</v>
      </c>
      <c r="B888" s="2" t="s">
        <v>3</v>
      </c>
      <c r="C888" s="2" t="s">
        <v>45</v>
      </c>
      <c r="D888" s="2" t="s">
        <v>1130</v>
      </c>
      <c r="E888" s="7" t="str">
        <f t="shared" si="77"/>
        <v>GOR</v>
      </c>
      <c r="F888" s="7" t="str">
        <f t="shared" si="96"/>
        <v>KID</v>
      </c>
      <c r="G888" s="7" t="str">
        <f t="shared" si="97"/>
        <v>TSS</v>
      </c>
      <c r="H888" s="7" t="str">
        <f t="shared" si="98"/>
        <v>ONE</v>
      </c>
      <c r="I888" s="7" t="str">
        <f t="shared" si="99"/>
        <v>DDU</v>
      </c>
      <c r="J888" s="7" t="str">
        <f t="shared" si="100"/>
        <v>BOR</v>
      </c>
      <c r="K888" s="7" t="str">
        <f t="shared" si="101"/>
        <v>6</v>
      </c>
      <c r="L888" s="7" t="s">
        <v>2018</v>
      </c>
      <c r="M888" s="7" t="s">
        <v>4462</v>
      </c>
      <c r="N888" s="7">
        <f>_xlfn.XLOOKUP(A888,[1]SKU!$A:$A,[1]SKU!$Z:$Z)</f>
        <v>590000</v>
      </c>
    </row>
    <row r="889" spans="1:14">
      <c r="A889" s="1" t="s">
        <v>5570</v>
      </c>
      <c r="B889" s="2" t="s">
        <v>4481</v>
      </c>
      <c r="C889" s="2" t="s">
        <v>5571</v>
      </c>
      <c r="D889" s="2" t="s">
        <v>5572</v>
      </c>
      <c r="E889" s="7" t="str">
        <f t="shared" si="77"/>
        <v>PAS</v>
      </c>
      <c r="F889" s="7" t="str">
        <f t="shared" si="96"/>
        <v>UNI</v>
      </c>
      <c r="G889" s="7" t="str">
        <f t="shared" si="97"/>
        <v>ART</v>
      </c>
      <c r="H889" s="7" t="str">
        <f t="shared" si="98"/>
        <v>ART</v>
      </c>
      <c r="I889" s="7" t="str">
        <f t="shared" si="99"/>
        <v>9GK</v>
      </c>
      <c r="J889" s="7" t="str">
        <f t="shared" si="100"/>
        <v>MIX</v>
      </c>
      <c r="K889" s="7" t="str">
        <f t="shared" si="101"/>
        <v>A3</v>
      </c>
      <c r="L889" s="7">
        <v>0</v>
      </c>
      <c r="M889" s="7" t="s">
        <v>2609</v>
      </c>
      <c r="N889" s="7">
        <f>_xlfn.XLOOKUP(A889,[1]SKU!$A:$A,[1]SKU!$Z:$Z)</f>
        <v>5000000</v>
      </c>
    </row>
    <row r="890" spans="1:14">
      <c r="A890" s="1" t="s">
        <v>5573</v>
      </c>
      <c r="B890" s="2" t="s">
        <v>4472</v>
      </c>
      <c r="C890" s="2" t="s">
        <v>5574</v>
      </c>
      <c r="D890" s="2" t="s">
        <v>5575</v>
      </c>
      <c r="E890" s="7" t="str">
        <f t="shared" si="77"/>
        <v>RUN</v>
      </c>
      <c r="F890" s="7" t="str">
        <f t="shared" si="96"/>
        <v>UNI</v>
      </c>
      <c r="G890" s="7" t="str">
        <f t="shared" si="97"/>
        <v>FNB</v>
      </c>
      <c r="H890" s="7" t="str">
        <f t="shared" si="98"/>
        <v>CFP</v>
      </c>
      <c r="I890" s="7" t="str">
        <f t="shared" si="99"/>
        <v>SO5</v>
      </c>
      <c r="J890" s="7" t="str">
        <f t="shared" si="100"/>
        <v>NON</v>
      </c>
      <c r="K890" s="7" t="str">
        <f t="shared" si="101"/>
        <v>250g</v>
      </c>
      <c r="L890" s="7">
        <v>0</v>
      </c>
      <c r="M890" s="7" t="s">
        <v>2609</v>
      </c>
      <c r="N890" s="7">
        <f>_xlfn.XLOOKUP(A890,[1]SKU!$A:$A,[1]SKU!$Z:$Z)</f>
        <v>190000</v>
      </c>
    </row>
    <row r="891" spans="1:14">
      <c r="A891" s="1" t="s">
        <v>5576</v>
      </c>
      <c r="B891" s="2" t="s">
        <v>4472</v>
      </c>
      <c r="C891" s="2" t="s">
        <v>5577</v>
      </c>
      <c r="D891" s="2" t="s">
        <v>5578</v>
      </c>
      <c r="E891" s="7" t="str">
        <f t="shared" si="77"/>
        <v>HAM</v>
      </c>
      <c r="F891" s="7" t="str">
        <f t="shared" si="96"/>
        <v>UNI</v>
      </c>
      <c r="G891" s="7" t="str">
        <f t="shared" si="97"/>
        <v>JEW</v>
      </c>
      <c r="H891" s="7" t="str">
        <f t="shared" si="98"/>
        <v>NEC</v>
      </c>
      <c r="I891" s="7" t="str">
        <f t="shared" si="99"/>
        <v>095</v>
      </c>
      <c r="J891" s="7" t="str">
        <f t="shared" si="100"/>
        <v>MIX</v>
      </c>
      <c r="K891" s="7" t="str">
        <f t="shared" si="101"/>
        <v>0</v>
      </c>
      <c r="L891" s="7">
        <v>0</v>
      </c>
      <c r="M891" s="7" t="s">
        <v>2609</v>
      </c>
      <c r="N891" s="7">
        <f>_xlfn.XLOOKUP(A891,[1]SKU!$A:$A,[1]SKU!$Z:$Z)</f>
        <v>4400000</v>
      </c>
    </row>
    <row r="892" spans="1:14">
      <c r="A892" s="1" t="s">
        <v>5579</v>
      </c>
      <c r="B892" s="2" t="s">
        <v>4472</v>
      </c>
      <c r="C892" s="2" t="s">
        <v>439</v>
      </c>
      <c r="D892" s="2" t="s">
        <v>5580</v>
      </c>
      <c r="E892" s="7" t="str">
        <f t="shared" si="77"/>
        <v>SHI</v>
      </c>
      <c r="F892" s="7" t="str">
        <f t="shared" si="96"/>
        <v>UNI</v>
      </c>
      <c r="G892" s="7" t="str">
        <f t="shared" si="97"/>
        <v>FNB</v>
      </c>
      <c r="H892" s="7" t="str">
        <f t="shared" si="98"/>
        <v>CFP</v>
      </c>
      <c r="I892" s="7" t="str">
        <f t="shared" si="99"/>
        <v>ALB</v>
      </c>
      <c r="J892" s="7" t="str">
        <f t="shared" si="100"/>
        <v>WHI</v>
      </c>
      <c r="K892" s="7" t="str">
        <f t="shared" si="101"/>
        <v>BAG</v>
      </c>
      <c r="L892" s="7">
        <v>0</v>
      </c>
      <c r="M892" s="7" t="s">
        <v>2609</v>
      </c>
      <c r="N892" s="7">
        <f>_xlfn.XLOOKUP(A892,[1]SKU!$A:$A,[1]SKU!$Z:$Z)</f>
        <v>150000</v>
      </c>
    </row>
    <row r="893" spans="1:14">
      <c r="A893" s="1" t="s">
        <v>5581</v>
      </c>
      <c r="B893" s="2" t="s">
        <v>4472</v>
      </c>
      <c r="C893" s="2" t="s">
        <v>1132</v>
      </c>
      <c r="D893" s="2" t="s">
        <v>5582</v>
      </c>
      <c r="E893" s="7" t="str">
        <f t="shared" si="77"/>
        <v>MAZ</v>
      </c>
      <c r="F893" s="7" t="str">
        <f t="shared" si="96"/>
        <v>UNI</v>
      </c>
      <c r="G893" s="7" t="str">
        <f t="shared" si="97"/>
        <v>SOU</v>
      </c>
      <c r="H893" s="7" t="str">
        <f t="shared" si="98"/>
        <v>GAM</v>
      </c>
      <c r="I893" s="7" t="str">
        <f t="shared" si="99"/>
        <v>YGO</v>
      </c>
      <c r="J893" s="7" t="str">
        <f t="shared" si="100"/>
        <v>RED</v>
      </c>
      <c r="K893" s="7" t="str">
        <f t="shared" si="101"/>
        <v>0</v>
      </c>
      <c r="L893" s="7">
        <v>0</v>
      </c>
      <c r="M893" s="7" t="s">
        <v>2609</v>
      </c>
      <c r="N893" s="7">
        <f>_xlfn.XLOOKUP(A893,[1]SKU!$A:$A,[1]SKU!$Z:$Z)</f>
        <v>1390000</v>
      </c>
    </row>
    <row r="894" spans="1:14">
      <c r="A894" s="1" t="s">
        <v>5583</v>
      </c>
      <c r="B894" s="2" t="s">
        <v>4472</v>
      </c>
      <c r="C894" s="2" t="s">
        <v>245</v>
      </c>
      <c r="D894" s="2" t="s">
        <v>5584</v>
      </c>
      <c r="E894" s="7" t="str">
        <f t="shared" si="77"/>
        <v>DSP</v>
      </c>
      <c r="F894" s="7" t="str">
        <f t="shared" si="96"/>
        <v>UNI</v>
      </c>
      <c r="G894" s="7" t="str">
        <f t="shared" si="97"/>
        <v>BAG</v>
      </c>
      <c r="H894" s="7" t="str">
        <f t="shared" si="98"/>
        <v>CLU</v>
      </c>
      <c r="I894" s="7" t="str">
        <f t="shared" si="99"/>
        <v>CEZ</v>
      </c>
      <c r="J894" s="7" t="str">
        <f t="shared" si="100"/>
        <v>HYP</v>
      </c>
      <c r="K894" s="7" t="str">
        <f t="shared" si="101"/>
        <v>0</v>
      </c>
      <c r="L894" s="7">
        <v>0</v>
      </c>
      <c r="M894" s="7" t="s">
        <v>2609</v>
      </c>
      <c r="N894" s="7">
        <f>_xlfn.XLOOKUP(A894,[1]SKU!$A:$A,[1]SKU!$Z:$Z)</f>
        <v>2850000</v>
      </c>
    </row>
    <row r="895" spans="1:14">
      <c r="A895" s="1" t="s">
        <v>1133</v>
      </c>
      <c r="B895" s="2" t="s">
        <v>3</v>
      </c>
      <c r="C895" s="2" t="s">
        <v>45</v>
      </c>
      <c r="D895" s="2" t="s">
        <v>1134</v>
      </c>
      <c r="E895" s="7" t="str">
        <f t="shared" si="77"/>
        <v>GOR</v>
      </c>
      <c r="F895" s="7" t="str">
        <f t="shared" si="96"/>
        <v>KID</v>
      </c>
      <c r="G895" s="7" t="str">
        <f t="shared" si="97"/>
        <v>TSS</v>
      </c>
      <c r="H895" s="7" t="str">
        <f t="shared" si="98"/>
        <v>ONE</v>
      </c>
      <c r="I895" s="7" t="str">
        <f t="shared" si="99"/>
        <v>DDU</v>
      </c>
      <c r="J895" s="7" t="str">
        <f t="shared" si="100"/>
        <v>BOR</v>
      </c>
      <c r="K895" s="7" t="str">
        <f t="shared" si="101"/>
        <v>2</v>
      </c>
      <c r="L895" s="7" t="s">
        <v>2018</v>
      </c>
      <c r="M895" s="7" t="s">
        <v>4462</v>
      </c>
      <c r="N895" s="7">
        <f>_xlfn.XLOOKUP(A895,[1]SKU!$A:$A,[1]SKU!$Z:$Z)</f>
        <v>590000</v>
      </c>
    </row>
    <row r="896" spans="1:14">
      <c r="A896" s="1" t="s">
        <v>5585</v>
      </c>
      <c r="B896" s="2" t="s">
        <v>4472</v>
      </c>
      <c r="C896" s="2" t="s">
        <v>172</v>
      </c>
      <c r="D896" s="2" t="s">
        <v>5586</v>
      </c>
      <c r="E896" s="7" t="str">
        <f t="shared" si="77"/>
        <v>DSP</v>
      </c>
      <c r="F896" s="7" t="str">
        <f t="shared" si="96"/>
        <v>UNI</v>
      </c>
      <c r="G896" s="7" t="str">
        <f t="shared" si="97"/>
        <v>FWR</v>
      </c>
      <c r="H896" s="7" t="str">
        <f t="shared" si="98"/>
        <v>LES</v>
      </c>
      <c r="I896" s="7" t="str">
        <f t="shared" si="99"/>
        <v>ALF</v>
      </c>
      <c r="J896" s="7" t="str">
        <f t="shared" si="100"/>
        <v>BLK</v>
      </c>
      <c r="K896" s="7" t="str">
        <f t="shared" si="101"/>
        <v>46</v>
      </c>
      <c r="L896" s="7">
        <v>0</v>
      </c>
      <c r="M896" s="7" t="s">
        <v>2609</v>
      </c>
      <c r="N896" s="7">
        <f>_xlfn.XLOOKUP(A896,[1]SKU!$A:$A,[1]SKU!$Z:$Z)</f>
        <v>7800000</v>
      </c>
    </row>
    <row r="897" spans="1:14">
      <c r="A897" s="1" t="s">
        <v>5587</v>
      </c>
      <c r="B897" s="2" t="s">
        <v>4481</v>
      </c>
      <c r="C897" s="2" t="s">
        <v>1135</v>
      </c>
      <c r="D897" s="2" t="s">
        <v>5588</v>
      </c>
      <c r="E897" s="7" t="str">
        <f t="shared" si="77"/>
        <v>PAS</v>
      </c>
      <c r="F897" s="7" t="str">
        <f t="shared" si="96"/>
        <v>UNI</v>
      </c>
      <c r="G897" s="7" t="str">
        <f t="shared" si="97"/>
        <v>ART</v>
      </c>
      <c r="H897" s="7" t="str">
        <f t="shared" si="98"/>
        <v>ART</v>
      </c>
      <c r="I897" s="7" t="str">
        <f t="shared" si="99"/>
        <v>XIX</v>
      </c>
      <c r="J897" s="7" t="str">
        <f t="shared" si="100"/>
        <v>MIX</v>
      </c>
      <c r="K897" s="7" t="str">
        <f t="shared" si="101"/>
        <v>A2</v>
      </c>
      <c r="L897" s="7">
        <v>0</v>
      </c>
      <c r="M897" s="7" t="s">
        <v>2609</v>
      </c>
      <c r="N897" s="7">
        <f>_xlfn.XLOOKUP(A897,[1]SKU!$A:$A,[1]SKU!$Z:$Z)</f>
        <v>6000000</v>
      </c>
    </row>
    <row r="898" spans="1:14">
      <c r="A898" s="1" t="s">
        <v>1136</v>
      </c>
      <c r="B898" s="2" t="s">
        <v>19</v>
      </c>
      <c r="C898" s="2" t="s">
        <v>744</v>
      </c>
      <c r="D898" s="2" t="s">
        <v>1137</v>
      </c>
      <c r="E898" s="7" t="str">
        <f t="shared" si="77"/>
        <v>OTH</v>
      </c>
      <c r="F898" s="7" t="str">
        <f t="shared" si="96"/>
        <v>UNI</v>
      </c>
      <c r="G898" s="7" t="str">
        <f t="shared" si="97"/>
        <v>SOU</v>
      </c>
      <c r="H898" s="7" t="str">
        <f t="shared" si="98"/>
        <v>HFP</v>
      </c>
      <c r="I898" s="7" t="str">
        <f t="shared" si="99"/>
        <v>FSK</v>
      </c>
      <c r="J898" s="7" t="str">
        <f t="shared" si="100"/>
        <v>YEL</v>
      </c>
      <c r="K898" s="7" t="str">
        <f t="shared" si="101"/>
        <v>0</v>
      </c>
      <c r="L898" s="7">
        <v>0</v>
      </c>
      <c r="M898" s="7" t="s">
        <v>2609</v>
      </c>
      <c r="N898" s="7">
        <f>_xlfn.XLOOKUP(A898,[1]SKU!$A:$A,[1]SKU!$Z:$Z)</f>
        <v>295000</v>
      </c>
    </row>
    <row r="899" spans="1:14">
      <c r="A899" s="1" t="s">
        <v>5589</v>
      </c>
      <c r="B899" s="2" t="s">
        <v>4472</v>
      </c>
      <c r="C899" s="2" t="s">
        <v>51</v>
      </c>
      <c r="D899" s="2" t="s">
        <v>5590</v>
      </c>
      <c r="E899" s="7" t="str">
        <f t="shared" si="77"/>
        <v>DSP</v>
      </c>
      <c r="F899" s="7" t="str">
        <f t="shared" si="96"/>
        <v>UNI</v>
      </c>
      <c r="G899" s="7" t="str">
        <f t="shared" si="97"/>
        <v>BAG</v>
      </c>
      <c r="H899" s="7" t="str">
        <f t="shared" si="98"/>
        <v>CHR</v>
      </c>
      <c r="I899" s="7" t="str">
        <f t="shared" si="99"/>
        <v>SCH</v>
      </c>
      <c r="J899" s="7" t="str">
        <f t="shared" si="100"/>
        <v>RGN</v>
      </c>
      <c r="K899" s="7" t="str">
        <f t="shared" si="101"/>
        <v>0</v>
      </c>
      <c r="L899" s="7">
        <v>0</v>
      </c>
      <c r="M899" s="7" t="s">
        <v>2609</v>
      </c>
      <c r="N899" s="7">
        <f>_xlfn.XLOOKUP(A899,[1]SKU!$A:$A,[1]SKU!$Z:$Z)</f>
        <v>1150000</v>
      </c>
    </row>
    <row r="900" spans="1:14">
      <c r="A900" s="1" t="s">
        <v>1138</v>
      </c>
      <c r="B900" s="2" t="s">
        <v>3</v>
      </c>
      <c r="C900" s="2" t="s">
        <v>563</v>
      </c>
      <c r="D900" s="2" t="s">
        <v>1139</v>
      </c>
      <c r="E900" s="7" t="str">
        <f t="shared" si="77"/>
        <v>GLI</v>
      </c>
      <c r="F900" s="7" t="str">
        <f t="shared" si="96"/>
        <v>MEN</v>
      </c>
      <c r="G900" s="7" t="str">
        <f t="shared" si="97"/>
        <v>SHS</v>
      </c>
      <c r="H900" s="7" t="str">
        <f t="shared" si="98"/>
        <v>BBT</v>
      </c>
      <c r="I900" s="7" t="str">
        <f t="shared" si="99"/>
        <v>LIN</v>
      </c>
      <c r="J900" s="7" t="str">
        <f t="shared" si="100"/>
        <v>WHI</v>
      </c>
      <c r="K900" s="7" t="str">
        <f t="shared" si="101"/>
        <v>L</v>
      </c>
      <c r="L900" s="7" t="s">
        <v>2752</v>
      </c>
      <c r="M900" s="7" t="s">
        <v>4463</v>
      </c>
      <c r="N900" s="7">
        <f>_xlfn.XLOOKUP(A900,[1]SKU!$A:$A,[1]SKU!$Z:$Z)</f>
        <v>2290000</v>
      </c>
    </row>
    <row r="901" spans="1:14">
      <c r="A901" s="1" t="s">
        <v>1140</v>
      </c>
      <c r="B901" s="2" t="s">
        <v>3</v>
      </c>
      <c r="C901" s="2" t="s">
        <v>900</v>
      </c>
      <c r="D901" s="2" t="s">
        <v>1141</v>
      </c>
      <c r="E901" s="7" t="str">
        <f t="shared" si="77"/>
        <v>GSL</v>
      </c>
      <c r="F901" s="7" t="str">
        <f t="shared" si="96"/>
        <v>WOM</v>
      </c>
      <c r="G901" s="7" t="str">
        <f t="shared" si="97"/>
        <v>TSS</v>
      </c>
      <c r="H901" s="7" t="str">
        <f t="shared" si="98"/>
        <v>VNE</v>
      </c>
      <c r="I901" s="7" t="str">
        <f t="shared" si="99"/>
        <v>GMP</v>
      </c>
      <c r="J901" s="7" t="str">
        <f t="shared" si="100"/>
        <v>WHI</v>
      </c>
      <c r="K901" s="7" t="str">
        <f t="shared" si="101"/>
        <v>L</v>
      </c>
      <c r="L901" s="7" t="s">
        <v>2018</v>
      </c>
      <c r="M901" s="7" t="s">
        <v>4462</v>
      </c>
      <c r="N901" s="7">
        <f>_xlfn.XLOOKUP(A901,[1]SKU!$A:$A,[1]SKU!$Z:$Z)</f>
        <v>750000</v>
      </c>
    </row>
    <row r="902" spans="1:14">
      <c r="A902" s="1" t="s">
        <v>1142</v>
      </c>
      <c r="B902" s="2" t="s">
        <v>3</v>
      </c>
      <c r="C902" s="2" t="s">
        <v>29</v>
      </c>
      <c r="D902" s="2" t="s">
        <v>1143</v>
      </c>
      <c r="E902" s="7" t="str">
        <f t="shared" si="77"/>
        <v>GFN</v>
      </c>
      <c r="F902" s="7" t="str">
        <f t="shared" si="96"/>
        <v>MEN</v>
      </c>
      <c r="G902" s="7" t="str">
        <f t="shared" si="97"/>
        <v>SWL</v>
      </c>
      <c r="H902" s="7" t="str">
        <f t="shared" si="98"/>
        <v>ONE</v>
      </c>
      <c r="I902" s="7" t="str">
        <f t="shared" si="99"/>
        <v>SHU</v>
      </c>
      <c r="J902" s="7" t="str">
        <f t="shared" si="100"/>
        <v>BLK</v>
      </c>
      <c r="K902" s="7" t="str">
        <f t="shared" si="101"/>
        <v>S</v>
      </c>
      <c r="L902" s="7" t="s">
        <v>2581</v>
      </c>
      <c r="M902" s="7" t="s">
        <v>4464</v>
      </c>
      <c r="N902" s="7">
        <f>_xlfn.XLOOKUP(A902,[1]SKU!$A:$A,[1]SKU!$Z:$Z)</f>
        <v>1290000</v>
      </c>
    </row>
    <row r="903" spans="1:14">
      <c r="A903" s="1" t="s">
        <v>5591</v>
      </c>
      <c r="B903" s="2" t="s">
        <v>4472</v>
      </c>
      <c r="C903" s="2" t="s">
        <v>5592</v>
      </c>
      <c r="D903" s="2" t="s">
        <v>5593</v>
      </c>
      <c r="E903" s="7" t="str">
        <f t="shared" si="77"/>
        <v>EDE</v>
      </c>
      <c r="F903" s="7" t="str">
        <f t="shared" si="96"/>
        <v>UNI</v>
      </c>
      <c r="G903" s="7" t="str">
        <f t="shared" si="97"/>
        <v>HDR</v>
      </c>
      <c r="H903" s="7" t="str">
        <f t="shared" si="98"/>
        <v>CUS</v>
      </c>
      <c r="I903" s="7" t="str">
        <f t="shared" si="99"/>
        <v>ANH</v>
      </c>
      <c r="J903" s="7" t="str">
        <f t="shared" si="100"/>
        <v>YEL</v>
      </c>
      <c r="K903" s="7" t="str">
        <f t="shared" si="101"/>
        <v>0</v>
      </c>
      <c r="L903" s="7">
        <v>0</v>
      </c>
      <c r="M903" s="7" t="s">
        <v>2609</v>
      </c>
      <c r="N903" s="7">
        <f>_xlfn.XLOOKUP(A903,[1]SKU!$A:$A,[1]SKU!$Z:$Z)</f>
        <v>480000</v>
      </c>
    </row>
    <row r="904" spans="1:14">
      <c r="A904" s="1" t="s">
        <v>5594</v>
      </c>
      <c r="B904" s="2" t="s">
        <v>4472</v>
      </c>
      <c r="C904" s="2" t="s">
        <v>5595</v>
      </c>
      <c r="D904" s="2" t="s">
        <v>5596</v>
      </c>
      <c r="E904" s="7" t="str">
        <f t="shared" si="77"/>
        <v>HAM</v>
      </c>
      <c r="F904" s="7" t="str">
        <f t="shared" si="96"/>
        <v>UNI</v>
      </c>
      <c r="G904" s="7" t="str">
        <f t="shared" si="97"/>
        <v>JEW</v>
      </c>
      <c r="H904" s="7" t="str">
        <f t="shared" si="98"/>
        <v>EAR</v>
      </c>
      <c r="I904" s="7" t="str">
        <f t="shared" si="99"/>
        <v>35G</v>
      </c>
      <c r="J904" s="7" t="str">
        <f t="shared" si="100"/>
        <v>MIX</v>
      </c>
      <c r="K904" s="7" t="str">
        <f t="shared" si="101"/>
        <v>0</v>
      </c>
      <c r="L904" s="7">
        <v>0</v>
      </c>
      <c r="M904" s="7" t="s">
        <v>2609</v>
      </c>
      <c r="N904" s="7">
        <f>_xlfn.XLOOKUP(A904,[1]SKU!$A:$A,[1]SKU!$Z:$Z)</f>
        <v>600000</v>
      </c>
    </row>
    <row r="905" spans="1:14">
      <c r="A905" s="1" t="s">
        <v>5597</v>
      </c>
      <c r="B905" s="2" t="s">
        <v>4472</v>
      </c>
      <c r="C905" s="2" t="s">
        <v>4547</v>
      </c>
      <c r="D905" s="2" t="s">
        <v>5596</v>
      </c>
      <c r="E905" s="7" t="str">
        <f t="shared" si="77"/>
        <v>HAM</v>
      </c>
      <c r="F905" s="7" t="str">
        <f t="shared" si="96"/>
        <v>UNI</v>
      </c>
      <c r="G905" s="7" t="str">
        <f t="shared" si="97"/>
        <v>JEW</v>
      </c>
      <c r="H905" s="7" t="str">
        <f t="shared" si="98"/>
        <v>EAR</v>
      </c>
      <c r="I905" s="7" t="str">
        <f t="shared" si="99"/>
        <v>35G</v>
      </c>
      <c r="J905" s="7" t="str">
        <f t="shared" si="100"/>
        <v>MIX</v>
      </c>
      <c r="K905" s="7" t="str">
        <f t="shared" si="101"/>
        <v>0</v>
      </c>
      <c r="L905" s="7">
        <v>0</v>
      </c>
      <c r="M905" s="7" t="s">
        <v>2609</v>
      </c>
      <c r="N905" s="7">
        <f>_xlfn.XLOOKUP(A905,[1]SKU!$A:$A,[1]SKU!$Z:$Z)</f>
        <v>600000</v>
      </c>
    </row>
    <row r="906" spans="1:14">
      <c r="A906" s="1" t="s">
        <v>5598</v>
      </c>
      <c r="B906" s="2" t="s">
        <v>4472</v>
      </c>
      <c r="C906" s="2" t="s">
        <v>5599</v>
      </c>
      <c r="D906" s="2" t="s">
        <v>5600</v>
      </c>
      <c r="E906" s="7" t="str">
        <f t="shared" si="77"/>
        <v>HAM</v>
      </c>
      <c r="F906" s="7" t="str">
        <f t="shared" si="96"/>
        <v>UNI</v>
      </c>
      <c r="G906" s="7" t="str">
        <f t="shared" si="97"/>
        <v>JEW</v>
      </c>
      <c r="H906" s="7" t="str">
        <f t="shared" si="98"/>
        <v>NEC</v>
      </c>
      <c r="I906" s="7" t="str">
        <f t="shared" si="99"/>
        <v>D72</v>
      </c>
      <c r="J906" s="7" t="str">
        <f t="shared" si="100"/>
        <v>MIX</v>
      </c>
      <c r="K906" s="7" t="str">
        <f t="shared" si="101"/>
        <v>0</v>
      </c>
      <c r="L906" s="7">
        <v>0</v>
      </c>
      <c r="M906" s="7" t="s">
        <v>2609</v>
      </c>
      <c r="N906" s="7">
        <f>_xlfn.XLOOKUP(A906,[1]SKU!$A:$A,[1]SKU!$Z:$Z)</f>
        <v>1800000</v>
      </c>
    </row>
    <row r="907" spans="1:14">
      <c r="A907" s="1" t="s">
        <v>1147</v>
      </c>
      <c r="B907" s="2" t="s">
        <v>3</v>
      </c>
      <c r="C907" s="2" t="s">
        <v>84</v>
      </c>
      <c r="D907" s="2" t="s">
        <v>1148</v>
      </c>
      <c r="E907" s="7" t="str">
        <f t="shared" si="77"/>
        <v>GBA</v>
      </c>
      <c r="F907" s="7" t="str">
        <f t="shared" si="96"/>
        <v>MEN</v>
      </c>
      <c r="G907" s="7" t="str">
        <f t="shared" si="97"/>
        <v>TSP</v>
      </c>
      <c r="H907" s="7" t="str">
        <f t="shared" si="98"/>
        <v>ONE</v>
      </c>
      <c r="I907" s="7" t="str">
        <f t="shared" si="99"/>
        <v>HAI</v>
      </c>
      <c r="J907" s="7" t="str">
        <f t="shared" si="100"/>
        <v>BLK</v>
      </c>
      <c r="K907" s="7" t="str">
        <f t="shared" si="101"/>
        <v>S</v>
      </c>
      <c r="L907" s="7" t="s">
        <v>2085</v>
      </c>
      <c r="M907" s="7" t="s">
        <v>4462</v>
      </c>
      <c r="N907" s="7">
        <f>_xlfn.XLOOKUP(A907,[1]SKU!$A:$A,[1]SKU!$Z:$Z)</f>
        <v>710000</v>
      </c>
    </row>
    <row r="908" spans="1:14">
      <c r="A908" s="1" t="s">
        <v>1149</v>
      </c>
      <c r="B908" s="2" t="s">
        <v>3</v>
      </c>
      <c r="C908" s="2" t="s">
        <v>113</v>
      </c>
      <c r="D908" s="2" t="s">
        <v>1150</v>
      </c>
      <c r="E908" s="7" t="str">
        <f t="shared" si="77"/>
        <v>GCL</v>
      </c>
      <c r="F908" s="7" t="str">
        <f t="shared" si="96"/>
        <v>WOM</v>
      </c>
      <c r="G908" s="7" t="str">
        <f t="shared" si="97"/>
        <v>CRO</v>
      </c>
      <c r="H908" s="7" t="str">
        <f t="shared" si="98"/>
        <v>ONE</v>
      </c>
      <c r="I908" s="7" t="str">
        <f t="shared" si="99"/>
        <v>TCS</v>
      </c>
      <c r="J908" s="7" t="str">
        <f t="shared" si="100"/>
        <v>WHI</v>
      </c>
      <c r="K908" s="7" t="str">
        <f t="shared" si="101"/>
        <v>M</v>
      </c>
      <c r="L908" s="7" t="s">
        <v>2453</v>
      </c>
      <c r="M908" s="7" t="s">
        <v>4463</v>
      </c>
      <c r="N908" s="7">
        <f>_xlfn.XLOOKUP(A908,[1]SKU!$A:$A,[1]SKU!$Z:$Z)</f>
        <v>1190000</v>
      </c>
    </row>
    <row r="909" spans="1:14">
      <c r="A909" s="1" t="s">
        <v>1151</v>
      </c>
      <c r="B909" s="2" t="s">
        <v>3</v>
      </c>
      <c r="C909" s="2" t="s">
        <v>642</v>
      </c>
      <c r="D909" s="2" t="s">
        <v>1152</v>
      </c>
      <c r="E909" s="7" t="str">
        <f t="shared" si="77"/>
        <v>GSP</v>
      </c>
      <c r="F909" s="7" t="str">
        <f t="shared" si="96"/>
        <v>WOM</v>
      </c>
      <c r="G909" s="7" t="str">
        <f t="shared" si="97"/>
        <v>SKS</v>
      </c>
      <c r="H909" s="7" t="str">
        <f t="shared" si="98"/>
        <v>EBT</v>
      </c>
      <c r="I909" s="7" t="str">
        <f t="shared" si="99"/>
        <v>NNE</v>
      </c>
      <c r="J909" s="7" t="str">
        <f t="shared" si="100"/>
        <v>BLK</v>
      </c>
      <c r="K909" s="7" t="str">
        <f t="shared" si="101"/>
        <v>M</v>
      </c>
      <c r="L909" s="7" t="s">
        <v>2794</v>
      </c>
      <c r="M909" s="7" t="s">
        <v>4470</v>
      </c>
      <c r="N909" s="7">
        <f>_xlfn.XLOOKUP(A909,[1]SKU!$A:$A,[1]SKU!$Z:$Z)</f>
        <v>810000</v>
      </c>
    </row>
    <row r="910" spans="1:14">
      <c r="A910" s="1" t="s">
        <v>5601</v>
      </c>
      <c r="B910" s="2" t="s">
        <v>4472</v>
      </c>
      <c r="C910" s="2" t="s">
        <v>827</v>
      </c>
      <c r="D910" s="2" t="s">
        <v>5602</v>
      </c>
      <c r="E910" s="7" t="str">
        <f t="shared" si="77"/>
        <v>DSP</v>
      </c>
      <c r="F910" s="7" t="str">
        <f t="shared" si="96"/>
        <v>UNI</v>
      </c>
      <c r="G910" s="7" t="str">
        <f t="shared" si="97"/>
        <v>BAG</v>
      </c>
      <c r="H910" s="7" t="str">
        <f t="shared" si="98"/>
        <v>CHR</v>
      </c>
      <c r="I910" s="7" t="str">
        <f t="shared" si="99"/>
        <v>BRE</v>
      </c>
      <c r="J910" s="7" t="str">
        <f t="shared" si="100"/>
        <v>BLK</v>
      </c>
      <c r="K910" s="7" t="str">
        <f t="shared" si="101"/>
        <v>0</v>
      </c>
      <c r="L910" s="7">
        <v>0</v>
      </c>
      <c r="M910" s="7" t="s">
        <v>2609</v>
      </c>
      <c r="N910" s="7">
        <f>_xlfn.XLOOKUP(A910,[1]SKU!$A:$A,[1]SKU!$Z:$Z)</f>
        <v>1500000</v>
      </c>
    </row>
    <row r="911" spans="1:14">
      <c r="A911" s="1" t="s">
        <v>5603</v>
      </c>
      <c r="B911" s="2" t="s">
        <v>4472</v>
      </c>
      <c r="C911" s="2" t="s">
        <v>105</v>
      </c>
      <c r="D911" s="2" t="s">
        <v>5604</v>
      </c>
      <c r="E911" s="7" t="str">
        <f t="shared" si="77"/>
        <v>PSD</v>
      </c>
      <c r="F911" s="7" t="str">
        <f t="shared" si="96"/>
        <v>UNI</v>
      </c>
      <c r="G911" s="7" t="str">
        <f t="shared" si="97"/>
        <v>SOU</v>
      </c>
      <c r="H911" s="7" t="str">
        <f t="shared" si="98"/>
        <v>DEC</v>
      </c>
      <c r="I911" s="7" t="str">
        <f t="shared" si="99"/>
        <v>SBA</v>
      </c>
      <c r="J911" s="7" t="str">
        <f t="shared" si="100"/>
        <v>RED</v>
      </c>
      <c r="K911" s="7" t="str">
        <f t="shared" si="101"/>
        <v>8</v>
      </c>
      <c r="L911" s="7">
        <v>0</v>
      </c>
      <c r="M911" s="7" t="s">
        <v>2609</v>
      </c>
      <c r="N911" s="7">
        <f>_xlfn.XLOOKUP(A911,[1]SKU!$A:$A,[1]SKU!$Z:$Z)</f>
        <v>290000</v>
      </c>
    </row>
    <row r="912" spans="1:14">
      <c r="A912" s="1" t="s">
        <v>1153</v>
      </c>
      <c r="B912" s="2" t="s">
        <v>3</v>
      </c>
      <c r="C912" s="2" t="s">
        <v>92</v>
      </c>
      <c r="D912" s="2" t="s">
        <v>1154</v>
      </c>
      <c r="E912" s="7" t="str">
        <f t="shared" si="77"/>
        <v>GOR</v>
      </c>
      <c r="F912" s="7" t="str">
        <f t="shared" si="96"/>
        <v>MEN</v>
      </c>
      <c r="G912" s="7" t="str">
        <f t="shared" si="97"/>
        <v>TSS</v>
      </c>
      <c r="H912" s="7" t="str">
        <f t="shared" si="98"/>
        <v>ONE</v>
      </c>
      <c r="I912" s="7" t="str">
        <f t="shared" si="99"/>
        <v>SVR</v>
      </c>
      <c r="J912" s="7" t="str">
        <f t="shared" si="100"/>
        <v>WHI</v>
      </c>
      <c r="K912" s="7" t="str">
        <f t="shared" si="101"/>
        <v>M</v>
      </c>
      <c r="L912" s="7" t="s">
        <v>2018</v>
      </c>
      <c r="M912" s="7" t="s">
        <v>4462</v>
      </c>
      <c r="N912" s="7">
        <f>_xlfn.XLOOKUP(A912,[1]SKU!$A:$A,[1]SKU!$Z:$Z)</f>
        <v>990000</v>
      </c>
    </row>
    <row r="913" spans="1:14">
      <c r="A913" s="1" t="s">
        <v>1155</v>
      </c>
      <c r="B913" s="2" t="s">
        <v>3</v>
      </c>
      <c r="C913" s="2" t="s">
        <v>900</v>
      </c>
      <c r="D913" s="2" t="s">
        <v>1156</v>
      </c>
      <c r="E913" s="7" t="str">
        <f t="shared" si="77"/>
        <v>GSL</v>
      </c>
      <c r="F913" s="7" t="str">
        <f t="shared" si="96"/>
        <v>WOM</v>
      </c>
      <c r="G913" s="7" t="str">
        <f t="shared" si="97"/>
        <v>TSS</v>
      </c>
      <c r="H913" s="7" t="str">
        <f t="shared" si="98"/>
        <v>VNE</v>
      </c>
      <c r="I913" s="7" t="str">
        <f t="shared" si="99"/>
        <v>GMP</v>
      </c>
      <c r="J913" s="7" t="str">
        <f t="shared" si="100"/>
        <v>WHI</v>
      </c>
      <c r="K913" s="7" t="str">
        <f t="shared" si="101"/>
        <v>S</v>
      </c>
      <c r="L913" s="7" t="s">
        <v>2018</v>
      </c>
      <c r="M913" s="7" t="s">
        <v>4462</v>
      </c>
      <c r="N913" s="7">
        <f>_xlfn.XLOOKUP(A913,[1]SKU!$A:$A,[1]SKU!$Z:$Z)</f>
        <v>750000</v>
      </c>
    </row>
    <row r="914" spans="1:14">
      <c r="A914" s="1" t="s">
        <v>1157</v>
      </c>
      <c r="B914" s="2" t="s">
        <v>19</v>
      </c>
      <c r="C914" s="2" t="s">
        <v>154</v>
      </c>
      <c r="D914" s="2" t="s">
        <v>1158</v>
      </c>
      <c r="E914" s="7" t="str">
        <f t="shared" si="77"/>
        <v>OTH</v>
      </c>
      <c r="F914" s="7" t="str">
        <f t="shared" si="96"/>
        <v>UNI</v>
      </c>
      <c r="G914" s="7" t="str">
        <f t="shared" si="97"/>
        <v>SOU</v>
      </c>
      <c r="H914" s="7" t="str">
        <f t="shared" si="98"/>
        <v>HFP</v>
      </c>
      <c r="I914" s="7" t="str">
        <f t="shared" si="99"/>
        <v>TNT</v>
      </c>
      <c r="J914" s="7" t="str">
        <f t="shared" si="100"/>
        <v>WHI</v>
      </c>
      <c r="K914" s="7" t="str">
        <f t="shared" si="101"/>
        <v>0</v>
      </c>
      <c r="L914" s="7">
        <v>0</v>
      </c>
      <c r="M914" s="7" t="s">
        <v>2609</v>
      </c>
      <c r="N914" s="7">
        <f>_xlfn.XLOOKUP(A914,[1]SKU!$A:$A,[1]SKU!$Z:$Z)</f>
        <v>295000</v>
      </c>
    </row>
    <row r="915" spans="1:14">
      <c r="A915" s="1" t="s">
        <v>1159</v>
      </c>
      <c r="B915" s="2" t="s">
        <v>3</v>
      </c>
      <c r="C915" s="2" t="s">
        <v>330</v>
      </c>
      <c r="D915" s="2" t="s">
        <v>1160</v>
      </c>
      <c r="E915" s="7" t="str">
        <f t="shared" si="77"/>
        <v>GFI</v>
      </c>
      <c r="F915" s="7" t="str">
        <f t="shared" si="96"/>
        <v>MEN</v>
      </c>
      <c r="G915" s="7" t="str">
        <f t="shared" si="97"/>
        <v>SHS</v>
      </c>
      <c r="H915" s="7" t="str">
        <f t="shared" si="98"/>
        <v>EBT</v>
      </c>
      <c r="I915" s="7" t="str">
        <f t="shared" si="99"/>
        <v>GSP</v>
      </c>
      <c r="J915" s="7" t="str">
        <f t="shared" si="100"/>
        <v>NAV</v>
      </c>
      <c r="K915" s="7" t="str">
        <f t="shared" si="101"/>
        <v>S</v>
      </c>
      <c r="L915" s="7" t="s">
        <v>2752</v>
      </c>
      <c r="M915" s="7" t="s">
        <v>4463</v>
      </c>
      <c r="N915" s="7">
        <f>_xlfn.XLOOKUP(A915,[1]SKU!$A:$A,[1]SKU!$Z:$Z)</f>
        <v>1050000</v>
      </c>
    </row>
    <row r="916" spans="1:14">
      <c r="A916" s="1" t="s">
        <v>5605</v>
      </c>
      <c r="B916" s="2" t="s">
        <v>4472</v>
      </c>
      <c r="C916" s="2" t="s">
        <v>5606</v>
      </c>
      <c r="D916" s="2" t="s">
        <v>5607</v>
      </c>
      <c r="E916" s="7" t="str">
        <f t="shared" si="77"/>
        <v>EDE</v>
      </c>
      <c r="F916" s="7" t="str">
        <f t="shared" si="96"/>
        <v>UNI</v>
      </c>
      <c r="G916" s="7" t="str">
        <f t="shared" si="97"/>
        <v>HDR</v>
      </c>
      <c r="H916" s="7" t="str">
        <f t="shared" si="98"/>
        <v>CUS</v>
      </c>
      <c r="I916" s="7" t="str">
        <f t="shared" si="99"/>
        <v>DUN</v>
      </c>
      <c r="J916" s="7" t="str">
        <f t="shared" si="100"/>
        <v>WHI</v>
      </c>
      <c r="K916" s="7" t="str">
        <f t="shared" si="101"/>
        <v>0</v>
      </c>
      <c r="L916" s="7">
        <v>0</v>
      </c>
      <c r="M916" s="7" t="s">
        <v>2609</v>
      </c>
      <c r="N916" s="7">
        <f>_xlfn.XLOOKUP(A916,[1]SKU!$A:$A,[1]SKU!$Z:$Z)</f>
        <v>480000</v>
      </c>
    </row>
    <row r="917" spans="1:14">
      <c r="A917" s="1" t="s">
        <v>5608</v>
      </c>
      <c r="B917" s="2" t="s">
        <v>4472</v>
      </c>
      <c r="C917" s="2" t="s">
        <v>72</v>
      </c>
      <c r="D917" s="2" t="s">
        <v>5609</v>
      </c>
      <c r="E917" s="7" t="str">
        <f t="shared" si="77"/>
        <v>DSP</v>
      </c>
      <c r="F917" s="7" t="str">
        <f t="shared" si="96"/>
        <v>UNI</v>
      </c>
      <c r="G917" s="7" t="str">
        <f t="shared" si="97"/>
        <v>FWR</v>
      </c>
      <c r="H917" s="7" t="str">
        <f t="shared" si="98"/>
        <v>LES</v>
      </c>
      <c r="I917" s="7" t="str">
        <f t="shared" si="99"/>
        <v>BL1</v>
      </c>
      <c r="J917" s="7" t="str">
        <f t="shared" si="100"/>
        <v>TES</v>
      </c>
      <c r="K917" s="7" t="str">
        <f t="shared" si="101"/>
        <v>38</v>
      </c>
      <c r="L917" s="7">
        <v>0</v>
      </c>
      <c r="M917" s="7" t="s">
        <v>2609</v>
      </c>
      <c r="N917" s="7">
        <f>_xlfn.XLOOKUP(A917,[1]SKU!$A:$A,[1]SKU!$Z:$Z)</f>
        <v>5800000</v>
      </c>
    </row>
    <row r="918" spans="1:14">
      <c r="A918" s="1" t="s">
        <v>1161</v>
      </c>
      <c r="B918" s="2" t="s">
        <v>3</v>
      </c>
      <c r="C918" s="2" t="s">
        <v>642</v>
      </c>
      <c r="D918" s="2" t="s">
        <v>1162</v>
      </c>
      <c r="E918" s="7" t="str">
        <f t="shared" si="77"/>
        <v>GSP</v>
      </c>
      <c r="F918" s="7" t="str">
        <f t="shared" si="96"/>
        <v>WOM</v>
      </c>
      <c r="G918" s="7" t="str">
        <f t="shared" si="97"/>
        <v>SKS</v>
      </c>
      <c r="H918" s="7" t="str">
        <f t="shared" si="98"/>
        <v>EBT</v>
      </c>
      <c r="I918" s="7" t="str">
        <f t="shared" si="99"/>
        <v>NNE</v>
      </c>
      <c r="J918" s="7" t="str">
        <f t="shared" si="100"/>
        <v>BLK</v>
      </c>
      <c r="K918" s="7" t="str">
        <f t="shared" si="101"/>
        <v>XL</v>
      </c>
      <c r="L918" s="7" t="s">
        <v>2794</v>
      </c>
      <c r="M918" s="7" t="s">
        <v>4470</v>
      </c>
      <c r="N918" s="7">
        <f>_xlfn.XLOOKUP(A918,[1]SKU!$A:$A,[1]SKU!$Z:$Z)</f>
        <v>810000</v>
      </c>
    </row>
    <row r="919" spans="1:14">
      <c r="A919" s="1" t="s">
        <v>5610</v>
      </c>
      <c r="B919" s="2" t="s">
        <v>4472</v>
      </c>
      <c r="C919" s="2" t="s">
        <v>855</v>
      </c>
      <c r="D919" s="2" t="s">
        <v>5611</v>
      </c>
      <c r="E919" s="7" t="str">
        <f t="shared" si="77"/>
        <v>DSP</v>
      </c>
      <c r="F919" s="7" t="str">
        <f t="shared" si="96"/>
        <v>UNI</v>
      </c>
      <c r="G919" s="7" t="str">
        <f t="shared" si="97"/>
        <v>BAG</v>
      </c>
      <c r="H919" s="7" t="str">
        <f t="shared" si="98"/>
        <v>CLU</v>
      </c>
      <c r="I919" s="7" t="str">
        <f t="shared" si="99"/>
        <v>FOU</v>
      </c>
      <c r="J919" s="7" t="str">
        <f t="shared" si="100"/>
        <v>BLK</v>
      </c>
      <c r="K919" s="7" t="str">
        <f t="shared" si="101"/>
        <v>0</v>
      </c>
      <c r="L919" s="7">
        <v>0</v>
      </c>
      <c r="M919" s="7" t="s">
        <v>2609</v>
      </c>
      <c r="N919" s="7">
        <f>_xlfn.XLOOKUP(A919,[1]SKU!$A:$A,[1]SKU!$Z:$Z)</f>
        <v>1500000</v>
      </c>
    </row>
    <row r="920" spans="1:14">
      <c r="A920" s="1" t="s">
        <v>5612</v>
      </c>
      <c r="B920" s="2" t="s">
        <v>4472</v>
      </c>
      <c r="C920" s="2" t="s">
        <v>141</v>
      </c>
      <c r="D920" s="2" t="s">
        <v>5613</v>
      </c>
      <c r="E920" s="7" t="str">
        <f t="shared" si="77"/>
        <v>DSP</v>
      </c>
      <c r="F920" s="7" t="str">
        <f t="shared" si="96"/>
        <v>UNI</v>
      </c>
      <c r="G920" s="7" t="str">
        <f t="shared" si="97"/>
        <v>BAG</v>
      </c>
      <c r="H920" s="7" t="str">
        <f t="shared" si="98"/>
        <v>CLU</v>
      </c>
      <c r="I920" s="7" t="str">
        <f t="shared" si="99"/>
        <v>CEZ</v>
      </c>
      <c r="J920" s="7" t="str">
        <f t="shared" si="100"/>
        <v>WOE</v>
      </c>
      <c r="K920" s="7" t="str">
        <f t="shared" si="101"/>
        <v>0</v>
      </c>
      <c r="L920" s="7">
        <v>0</v>
      </c>
      <c r="M920" s="7" t="s">
        <v>2609</v>
      </c>
      <c r="N920" s="7">
        <f>_xlfn.XLOOKUP(A920,[1]SKU!$A:$A,[1]SKU!$Z:$Z)</f>
        <v>2850000</v>
      </c>
    </row>
    <row r="921" spans="1:14">
      <c r="A921" s="1" t="s">
        <v>1163</v>
      </c>
      <c r="B921" s="2" t="s">
        <v>3</v>
      </c>
      <c r="C921" s="2" t="s">
        <v>92</v>
      </c>
      <c r="D921" s="2" t="s">
        <v>1164</v>
      </c>
      <c r="E921" s="7" t="str">
        <f t="shared" si="77"/>
        <v>GOR</v>
      </c>
      <c r="F921" s="7" t="str">
        <f t="shared" si="96"/>
        <v>MEN</v>
      </c>
      <c r="G921" s="7" t="str">
        <f t="shared" si="97"/>
        <v>TSS</v>
      </c>
      <c r="H921" s="7" t="str">
        <f t="shared" si="98"/>
        <v>ONE</v>
      </c>
      <c r="I921" s="7" t="str">
        <f t="shared" si="99"/>
        <v>SVR</v>
      </c>
      <c r="J921" s="7" t="str">
        <f t="shared" si="100"/>
        <v>WHI</v>
      </c>
      <c r="K921" s="7" t="str">
        <f t="shared" si="101"/>
        <v>XL</v>
      </c>
      <c r="L921" s="7" t="s">
        <v>2018</v>
      </c>
      <c r="M921" s="7" t="s">
        <v>4462</v>
      </c>
      <c r="N921" s="7">
        <f>_xlfn.XLOOKUP(A921,[1]SKU!$A:$A,[1]SKU!$Z:$Z)</f>
        <v>990000</v>
      </c>
    </row>
    <row r="922" spans="1:14">
      <c r="A922" s="1" t="s">
        <v>5614</v>
      </c>
      <c r="B922" s="2" t="s">
        <v>4472</v>
      </c>
      <c r="C922" s="2" t="s">
        <v>5615</v>
      </c>
      <c r="D922" s="2" t="s">
        <v>5616</v>
      </c>
      <c r="E922" s="7" t="str">
        <f t="shared" si="77"/>
        <v>EDE</v>
      </c>
      <c r="F922" s="7" t="str">
        <f t="shared" si="96"/>
        <v>UNI</v>
      </c>
      <c r="G922" s="7" t="str">
        <f t="shared" si="97"/>
        <v>BAG</v>
      </c>
      <c r="H922" s="7" t="str">
        <f t="shared" si="98"/>
        <v>CLU</v>
      </c>
      <c r="I922" s="7" t="str">
        <f t="shared" si="99"/>
        <v>FLO</v>
      </c>
      <c r="J922" s="7" t="str">
        <f t="shared" si="100"/>
        <v>MIX</v>
      </c>
      <c r="K922" s="7" t="str">
        <f t="shared" si="101"/>
        <v>L</v>
      </c>
      <c r="L922" s="7">
        <v>0</v>
      </c>
      <c r="M922" s="7" t="s">
        <v>2609</v>
      </c>
      <c r="N922" s="7">
        <f>_xlfn.XLOOKUP(A922,[1]SKU!$A:$A,[1]SKU!$Z:$Z)</f>
        <v>395000</v>
      </c>
    </row>
    <row r="923" spans="1:14">
      <c r="A923" s="1" t="s">
        <v>5617</v>
      </c>
      <c r="B923" s="2" t="s">
        <v>4472</v>
      </c>
      <c r="C923" s="2" t="s">
        <v>1165</v>
      </c>
      <c r="D923" s="2" t="s">
        <v>5618</v>
      </c>
      <c r="E923" s="7" t="str">
        <f t="shared" si="77"/>
        <v>TKC</v>
      </c>
      <c r="F923" s="7" t="str">
        <f t="shared" si="96"/>
        <v>UNI</v>
      </c>
      <c r="G923" s="7" t="str">
        <f t="shared" si="97"/>
        <v>FNB</v>
      </c>
      <c r="H923" s="7" t="str">
        <f t="shared" si="98"/>
        <v>CFB</v>
      </c>
      <c r="I923" s="7" t="str">
        <f t="shared" si="99"/>
        <v>ROB</v>
      </c>
      <c r="J923" s="7" t="str">
        <f t="shared" si="100"/>
        <v>NON</v>
      </c>
      <c r="K923" s="7" t="str">
        <f t="shared" si="101"/>
        <v>250g</v>
      </c>
      <c r="L923" s="7">
        <v>0</v>
      </c>
      <c r="M923" s="7" t="s">
        <v>2609</v>
      </c>
      <c r="N923" s="7">
        <f>_xlfn.XLOOKUP(A923,[1]SKU!$A:$A,[1]SKU!$Z:$Z)</f>
        <v>235000</v>
      </c>
    </row>
    <row r="924" spans="1:14">
      <c r="A924" s="1" t="s">
        <v>1166</v>
      </c>
      <c r="B924" s="2" t="s">
        <v>3</v>
      </c>
      <c r="C924" s="2" t="s">
        <v>113</v>
      </c>
      <c r="D924" s="2" t="s">
        <v>1167</v>
      </c>
      <c r="E924" s="7" t="str">
        <f t="shared" si="77"/>
        <v>GBA</v>
      </c>
      <c r="F924" s="7" t="str">
        <f t="shared" ref="F924:F987" si="102">_xlfn.TEXTBEFORE(_xlfn.TEXTAFTER(D924,"-",2),"-")</f>
        <v>WOM</v>
      </c>
      <c r="G924" s="7" t="str">
        <f t="shared" ref="G924:G987" si="103">_xlfn.TEXTBEFORE(_xlfn.TEXTAFTER(D924,"-",3),"-")</f>
        <v>CRO</v>
      </c>
      <c r="H924" s="7" t="str">
        <f t="shared" ref="H924:H987" si="104">_xlfn.TEXTBEFORE(_xlfn.TEXTAFTER(D924,"-",4),"-")</f>
        <v>ONE</v>
      </c>
      <c r="I924" s="7" t="str">
        <f t="shared" ref="I924:I987" si="105">_xlfn.TEXTBEFORE(_xlfn.TEXTAFTER(D924,"-",5),"-")</f>
        <v>TCS</v>
      </c>
      <c r="J924" s="7" t="str">
        <f t="shared" ref="J924:J987" si="106">_xlfn.TEXTBEFORE(_xlfn.TEXTAFTER(D924,"-",6),"-")</f>
        <v>BLK</v>
      </c>
      <c r="K924" s="7" t="str">
        <f t="shared" ref="K924:K987" si="107">_xlfn.TEXTAFTER(D924,"-",7)</f>
        <v>L</v>
      </c>
      <c r="L924" s="7" t="s">
        <v>2453</v>
      </c>
      <c r="M924" s="7" t="s">
        <v>4463</v>
      </c>
      <c r="N924" s="7">
        <f>_xlfn.XLOOKUP(A924,[1]SKU!$A:$A,[1]SKU!$Z:$Z)</f>
        <v>1190000</v>
      </c>
    </row>
    <row r="925" spans="1:14">
      <c r="A925" s="1" t="s">
        <v>5619</v>
      </c>
      <c r="B925" s="2" t="s">
        <v>4472</v>
      </c>
      <c r="C925" s="2" t="s">
        <v>172</v>
      </c>
      <c r="D925" s="2" t="s">
        <v>5620</v>
      </c>
      <c r="E925" s="7" t="str">
        <f t="shared" si="77"/>
        <v>DSP</v>
      </c>
      <c r="F925" s="7" t="str">
        <f t="shared" si="102"/>
        <v>UNI</v>
      </c>
      <c r="G925" s="7" t="str">
        <f t="shared" si="103"/>
        <v>FWR</v>
      </c>
      <c r="H925" s="7" t="str">
        <f t="shared" si="104"/>
        <v>LES</v>
      </c>
      <c r="I925" s="7" t="str">
        <f t="shared" si="105"/>
        <v>ALF</v>
      </c>
      <c r="J925" s="7" t="str">
        <f t="shared" si="106"/>
        <v>LEA</v>
      </c>
      <c r="K925" s="7" t="str">
        <f t="shared" si="107"/>
        <v>40</v>
      </c>
      <c r="L925" s="7">
        <v>0</v>
      </c>
      <c r="M925" s="7" t="s">
        <v>2609</v>
      </c>
      <c r="N925" s="7">
        <f>_xlfn.XLOOKUP(A925,[1]SKU!$A:$A,[1]SKU!$Z:$Z)</f>
        <v>7800000</v>
      </c>
    </row>
    <row r="926" spans="1:14">
      <c r="A926" s="1" t="s">
        <v>1168</v>
      </c>
      <c r="B926" s="2" t="s">
        <v>3</v>
      </c>
      <c r="C926" s="2" t="s">
        <v>38</v>
      </c>
      <c r="D926" s="2" t="s">
        <v>1169</v>
      </c>
      <c r="E926" s="7" t="str">
        <f t="shared" si="77"/>
        <v>GBA</v>
      </c>
      <c r="F926" s="7" t="str">
        <f t="shared" si="102"/>
        <v>MEN</v>
      </c>
      <c r="G926" s="7" t="str">
        <f t="shared" si="103"/>
        <v>TSS</v>
      </c>
      <c r="H926" s="7" t="str">
        <f t="shared" si="104"/>
        <v>ONE</v>
      </c>
      <c r="I926" s="7" t="str">
        <f t="shared" si="105"/>
        <v>LOG</v>
      </c>
      <c r="J926" s="7" t="str">
        <f t="shared" si="106"/>
        <v>JBG</v>
      </c>
      <c r="K926" s="7" t="str">
        <f t="shared" si="107"/>
        <v>M</v>
      </c>
      <c r="L926" s="7" t="s">
        <v>2018</v>
      </c>
      <c r="M926" s="7" t="s">
        <v>4462</v>
      </c>
      <c r="N926" s="7">
        <f>_xlfn.XLOOKUP(A926,[1]SKU!$A:$A,[1]SKU!$Z:$Z)</f>
        <v>710000</v>
      </c>
    </row>
    <row r="927" spans="1:14">
      <c r="A927" s="1" t="s">
        <v>5621</v>
      </c>
      <c r="B927" s="2" t="s">
        <v>4472</v>
      </c>
      <c r="C927" s="2" t="s">
        <v>5622</v>
      </c>
      <c r="D927" s="2" t="s">
        <v>5623</v>
      </c>
      <c r="E927" s="7" t="str">
        <f t="shared" si="77"/>
        <v>HAM</v>
      </c>
      <c r="F927" s="7" t="str">
        <f t="shared" si="102"/>
        <v>UNI</v>
      </c>
      <c r="G927" s="7" t="str">
        <f t="shared" si="103"/>
        <v>JEW</v>
      </c>
      <c r="H927" s="7" t="str">
        <f t="shared" si="104"/>
        <v>EAR</v>
      </c>
      <c r="I927" s="7" t="str">
        <f t="shared" si="105"/>
        <v>E50</v>
      </c>
      <c r="J927" s="7" t="str">
        <f t="shared" si="106"/>
        <v>MIX</v>
      </c>
      <c r="K927" s="7" t="str">
        <f t="shared" si="107"/>
        <v>0</v>
      </c>
      <c r="L927" s="7">
        <v>0</v>
      </c>
      <c r="M927" s="7" t="s">
        <v>2609</v>
      </c>
      <c r="N927" s="7">
        <f>_xlfn.XLOOKUP(A927,[1]SKU!$A:$A,[1]SKU!$Z:$Z)</f>
        <v>1200000</v>
      </c>
    </row>
    <row r="928" spans="1:14">
      <c r="A928" s="1" t="s">
        <v>5624</v>
      </c>
      <c r="B928" s="2" t="s">
        <v>4472</v>
      </c>
      <c r="C928" s="2" t="s">
        <v>5625</v>
      </c>
      <c r="D928" s="2" t="s">
        <v>5626</v>
      </c>
      <c r="E928" s="7" t="str">
        <f t="shared" si="77"/>
        <v>LAN</v>
      </c>
      <c r="F928" s="7" t="str">
        <f t="shared" si="102"/>
        <v>UNI</v>
      </c>
      <c r="G928" s="7" t="str">
        <f t="shared" si="103"/>
        <v>HWR</v>
      </c>
      <c r="H928" s="7" t="str">
        <f t="shared" si="104"/>
        <v>SC2</v>
      </c>
      <c r="I928" s="7" t="str">
        <f t="shared" si="105"/>
        <v>ATU</v>
      </c>
      <c r="J928" s="7" t="str">
        <f t="shared" si="106"/>
        <v>BLU</v>
      </c>
      <c r="K928" s="7" t="str">
        <f t="shared" si="107"/>
        <v>70x70</v>
      </c>
      <c r="L928" s="7">
        <v>0</v>
      </c>
      <c r="M928" s="7" t="s">
        <v>2609</v>
      </c>
      <c r="N928" s="7">
        <f>_xlfn.XLOOKUP(A928,[1]SKU!$A:$A,[1]SKU!$Z:$Z)</f>
        <v>749000</v>
      </c>
    </row>
    <row r="929" spans="1:14">
      <c r="A929" s="1" t="s">
        <v>5627</v>
      </c>
      <c r="B929" s="2" t="s">
        <v>4472</v>
      </c>
      <c r="C929" s="2" t="s">
        <v>1172</v>
      </c>
      <c r="D929" s="2" t="s">
        <v>5628</v>
      </c>
      <c r="E929" s="7" t="str">
        <f t="shared" si="77"/>
        <v>SHI</v>
      </c>
      <c r="F929" s="7" t="str">
        <f t="shared" si="102"/>
        <v>UNI</v>
      </c>
      <c r="G929" s="7" t="str">
        <f t="shared" si="103"/>
        <v>COS</v>
      </c>
      <c r="H929" s="7" t="str">
        <f t="shared" si="104"/>
        <v>BSB</v>
      </c>
      <c r="I929" s="7" t="str">
        <f t="shared" si="105"/>
        <v>BOC</v>
      </c>
      <c r="J929" s="7" t="str">
        <f t="shared" si="106"/>
        <v>BRO</v>
      </c>
      <c r="K929" s="7" t="str">
        <f t="shared" si="107"/>
        <v>PLJ</v>
      </c>
      <c r="L929" s="7">
        <v>0</v>
      </c>
      <c r="M929" s="7" t="s">
        <v>2609</v>
      </c>
      <c r="N929" s="7">
        <f>_xlfn.XLOOKUP(A929,[1]SKU!$A:$A,[1]SKU!$Z:$Z)</f>
        <v>120000</v>
      </c>
    </row>
    <row r="930" spans="1:14">
      <c r="A930" s="1" t="s">
        <v>1173</v>
      </c>
      <c r="B930" s="2" t="s">
        <v>3</v>
      </c>
      <c r="C930" s="2" t="s">
        <v>67</v>
      </c>
      <c r="D930" s="2" t="s">
        <v>1174</v>
      </c>
      <c r="E930" s="7" t="str">
        <f t="shared" si="77"/>
        <v>GOR</v>
      </c>
      <c r="F930" s="7" t="str">
        <f t="shared" si="102"/>
        <v>WOM</v>
      </c>
      <c r="G930" s="7" t="str">
        <f t="shared" si="103"/>
        <v>TTB</v>
      </c>
      <c r="H930" s="7" t="str">
        <f t="shared" si="104"/>
        <v>BNE</v>
      </c>
      <c r="I930" s="7" t="str">
        <f t="shared" si="105"/>
        <v>WOL</v>
      </c>
      <c r="J930" s="7" t="str">
        <f t="shared" si="106"/>
        <v>GRE</v>
      </c>
      <c r="K930" s="7" t="str">
        <f t="shared" si="107"/>
        <v>M</v>
      </c>
      <c r="L930" s="7" t="s">
        <v>2326</v>
      </c>
      <c r="M930" s="7" t="s">
        <v>4469</v>
      </c>
      <c r="N930" s="7">
        <f>_xlfn.XLOOKUP(A930,[1]SKU!$A:$A,[1]SKU!$Z:$Z)</f>
        <v>790000</v>
      </c>
    </row>
    <row r="931" spans="1:14">
      <c r="A931" s="1" t="s">
        <v>5629</v>
      </c>
      <c r="B931" s="2" t="s">
        <v>69</v>
      </c>
      <c r="C931" s="2" t="s">
        <v>1175</v>
      </c>
      <c r="D931" s="2" t="s">
        <v>5630</v>
      </c>
      <c r="E931" s="7" t="str">
        <f t="shared" si="77"/>
        <v>GCF</v>
      </c>
      <c r="F931" s="7" t="str">
        <f t="shared" si="102"/>
        <v>UNI</v>
      </c>
      <c r="G931" s="7" t="str">
        <f t="shared" si="103"/>
        <v>FNB</v>
      </c>
      <c r="H931" s="7" t="str">
        <f t="shared" si="104"/>
        <v>CFO</v>
      </c>
      <c r="I931" s="7" t="str">
        <f t="shared" si="105"/>
        <v>SAC</v>
      </c>
      <c r="J931" s="7" t="str">
        <f t="shared" si="106"/>
        <v>MIX</v>
      </c>
      <c r="K931" s="7" t="str">
        <f t="shared" si="107"/>
        <v>0</v>
      </c>
      <c r="L931" s="7">
        <v>0</v>
      </c>
      <c r="M931" s="7" t="s">
        <v>2609</v>
      </c>
      <c r="N931" s="7">
        <f>_xlfn.XLOOKUP(A931,[1]SKU!$A:$A,[1]SKU!$Z:$Z)</f>
        <v>75000</v>
      </c>
    </row>
    <row r="932" spans="1:14">
      <c r="A932" s="1" t="s">
        <v>1176</v>
      </c>
      <c r="B932" s="2" t="s">
        <v>3</v>
      </c>
      <c r="C932" s="2" t="s">
        <v>167</v>
      </c>
      <c r="D932" s="2" t="s">
        <v>1177</v>
      </c>
      <c r="E932" s="7" t="str">
        <f t="shared" si="77"/>
        <v>GSL</v>
      </c>
      <c r="F932" s="7" t="str">
        <f t="shared" si="102"/>
        <v>KID</v>
      </c>
      <c r="G932" s="7" t="str">
        <f t="shared" si="103"/>
        <v>TSS</v>
      </c>
      <c r="H932" s="7" t="str">
        <f t="shared" si="104"/>
        <v>ONE</v>
      </c>
      <c r="I932" s="7" t="str">
        <f t="shared" si="105"/>
        <v>TJM</v>
      </c>
      <c r="J932" s="7" t="str">
        <f t="shared" si="106"/>
        <v>GPE</v>
      </c>
      <c r="K932" s="7" t="str">
        <f t="shared" si="107"/>
        <v>12</v>
      </c>
      <c r="L932" s="7" t="s">
        <v>2018</v>
      </c>
      <c r="M932" s="7" t="s">
        <v>4462</v>
      </c>
      <c r="N932" s="7">
        <f>_xlfn.XLOOKUP(A932,[1]SKU!$A:$A,[1]SKU!$Z:$Z)</f>
        <v>550000</v>
      </c>
    </row>
    <row r="933" spans="1:14">
      <c r="A933" s="1" t="s">
        <v>1178</v>
      </c>
      <c r="B933" s="2" t="s">
        <v>3</v>
      </c>
      <c r="C933" s="2" t="s">
        <v>295</v>
      </c>
      <c r="D933" s="2" t="s">
        <v>1179</v>
      </c>
      <c r="E933" s="7" t="str">
        <f t="shared" si="77"/>
        <v>GOR</v>
      </c>
      <c r="F933" s="7" t="str">
        <f t="shared" si="102"/>
        <v>KID</v>
      </c>
      <c r="G933" s="7" t="str">
        <f t="shared" si="103"/>
        <v>TSS</v>
      </c>
      <c r="H933" s="7" t="str">
        <f t="shared" si="104"/>
        <v>ONE</v>
      </c>
      <c r="I933" s="7" t="str">
        <f t="shared" si="105"/>
        <v>WBO</v>
      </c>
      <c r="J933" s="7" t="str">
        <f t="shared" si="106"/>
        <v>JBG</v>
      </c>
      <c r="K933" s="7" t="str">
        <f t="shared" si="107"/>
        <v>12</v>
      </c>
      <c r="L933" s="7" t="s">
        <v>2018</v>
      </c>
      <c r="M933" s="7" t="s">
        <v>4462</v>
      </c>
      <c r="N933" s="7">
        <f>_xlfn.XLOOKUP(A933,[1]SKU!$A:$A,[1]SKU!$Z:$Z)</f>
        <v>590000</v>
      </c>
    </row>
    <row r="934" spans="1:14">
      <c r="A934" s="1" t="s">
        <v>5631</v>
      </c>
      <c r="B934" s="2" t="s">
        <v>4472</v>
      </c>
      <c r="C934" s="2" t="s">
        <v>1180</v>
      </c>
      <c r="D934" s="2" t="s">
        <v>5632</v>
      </c>
      <c r="E934" s="7" t="str">
        <f t="shared" si="77"/>
        <v>DSP</v>
      </c>
      <c r="F934" s="7" t="str">
        <f t="shared" si="102"/>
        <v>UNI</v>
      </c>
      <c r="G934" s="7" t="str">
        <f t="shared" si="103"/>
        <v>BAG</v>
      </c>
      <c r="H934" s="7" t="str">
        <f t="shared" si="104"/>
        <v>HDB</v>
      </c>
      <c r="I934" s="7" t="str">
        <f t="shared" si="105"/>
        <v>AUS</v>
      </c>
      <c r="J934" s="7" t="str">
        <f t="shared" si="106"/>
        <v>DPK</v>
      </c>
      <c r="K934" s="7" t="str">
        <f t="shared" si="107"/>
        <v>0</v>
      </c>
      <c r="L934" s="7">
        <v>0</v>
      </c>
      <c r="M934" s="7" t="s">
        <v>2609</v>
      </c>
      <c r="N934" s="7">
        <f>_xlfn.XLOOKUP(A934,[1]SKU!$A:$A,[1]SKU!$Z:$Z)</f>
        <v>15990000</v>
      </c>
    </row>
    <row r="935" spans="1:14">
      <c r="A935" s="1" t="s">
        <v>5633</v>
      </c>
      <c r="B935" s="2" t="s">
        <v>4472</v>
      </c>
      <c r="C935" s="2" t="s">
        <v>5634</v>
      </c>
      <c r="D935" s="2" t="s">
        <v>5635</v>
      </c>
      <c r="E935" s="7" t="str">
        <f t="shared" si="77"/>
        <v>LAN</v>
      </c>
      <c r="F935" s="7" t="str">
        <f t="shared" si="102"/>
        <v>UNI</v>
      </c>
      <c r="G935" s="7" t="str">
        <f t="shared" si="103"/>
        <v>HWR</v>
      </c>
      <c r="H935" s="7" t="str">
        <f t="shared" si="104"/>
        <v>SC2</v>
      </c>
      <c r="I935" s="7" t="str">
        <f t="shared" si="105"/>
        <v>MAC</v>
      </c>
      <c r="J935" s="7" t="str">
        <f t="shared" si="106"/>
        <v>RED</v>
      </c>
      <c r="K935" s="7" t="str">
        <f t="shared" si="107"/>
        <v>60x60</v>
      </c>
      <c r="L935" s="7">
        <v>0</v>
      </c>
      <c r="M935" s="7" t="s">
        <v>2609</v>
      </c>
      <c r="N935" s="7">
        <f>_xlfn.XLOOKUP(A935,[1]SKU!$A:$A,[1]SKU!$Z:$Z)</f>
        <v>549000</v>
      </c>
    </row>
    <row r="936" spans="1:14">
      <c r="A936" s="1" t="s">
        <v>5636</v>
      </c>
      <c r="B936" s="2" t="s">
        <v>4472</v>
      </c>
      <c r="C936" s="2" t="s">
        <v>5637</v>
      </c>
      <c r="D936" s="2" t="s">
        <v>5638</v>
      </c>
      <c r="E936" s="7" t="str">
        <f t="shared" si="77"/>
        <v>HAM</v>
      </c>
      <c r="F936" s="7" t="str">
        <f t="shared" si="102"/>
        <v>UNI</v>
      </c>
      <c r="G936" s="7" t="str">
        <f t="shared" si="103"/>
        <v>JEW</v>
      </c>
      <c r="H936" s="7" t="str">
        <f t="shared" si="104"/>
        <v>NEC</v>
      </c>
      <c r="I936" s="7" t="str">
        <f t="shared" si="105"/>
        <v>130</v>
      </c>
      <c r="J936" s="7" t="str">
        <f t="shared" si="106"/>
        <v>MIX</v>
      </c>
      <c r="K936" s="7" t="str">
        <f t="shared" si="107"/>
        <v>0</v>
      </c>
      <c r="L936" s="7">
        <v>0</v>
      </c>
      <c r="M936" s="7" t="s">
        <v>2609</v>
      </c>
      <c r="N936" s="7">
        <f>_xlfn.XLOOKUP(A936,[1]SKU!$A:$A,[1]SKU!$Z:$Z)</f>
        <v>4200000</v>
      </c>
    </row>
    <row r="937" spans="1:14">
      <c r="A937" s="1" t="s">
        <v>1181</v>
      </c>
      <c r="B937" s="2" t="s">
        <v>3</v>
      </c>
      <c r="C937" s="2" t="s">
        <v>509</v>
      </c>
      <c r="D937" s="2" t="s">
        <v>1182</v>
      </c>
      <c r="E937" s="7" t="str">
        <f t="shared" si="77"/>
        <v>GOR</v>
      </c>
      <c r="F937" s="7" t="str">
        <f t="shared" si="102"/>
        <v>MEN</v>
      </c>
      <c r="G937" s="7" t="str">
        <f t="shared" si="103"/>
        <v>TSS</v>
      </c>
      <c r="H937" s="7" t="str">
        <f t="shared" si="104"/>
        <v>HNE</v>
      </c>
      <c r="I937" s="7" t="str">
        <f t="shared" si="105"/>
        <v>FPC</v>
      </c>
      <c r="J937" s="7" t="str">
        <f t="shared" si="106"/>
        <v>OLI</v>
      </c>
      <c r="K937" s="7" t="str">
        <f t="shared" si="107"/>
        <v>L</v>
      </c>
      <c r="L937" s="7" t="s">
        <v>2018</v>
      </c>
      <c r="M937" s="7" t="s">
        <v>4462</v>
      </c>
      <c r="N937" s="7">
        <f>_xlfn.XLOOKUP(A937,[1]SKU!$A:$A,[1]SKU!$Z:$Z)</f>
        <v>1190000</v>
      </c>
    </row>
    <row r="938" spans="1:14">
      <c r="A938" s="1" t="s">
        <v>1183</v>
      </c>
      <c r="B938" s="2" t="s">
        <v>3</v>
      </c>
      <c r="C938" s="2" t="s">
        <v>236</v>
      </c>
      <c r="D938" s="2" t="s">
        <v>1184</v>
      </c>
      <c r="E938" s="7" t="str">
        <f t="shared" si="77"/>
        <v>GOR</v>
      </c>
      <c r="F938" s="7" t="str">
        <f t="shared" si="102"/>
        <v>MEN</v>
      </c>
      <c r="G938" s="7" t="str">
        <f t="shared" si="103"/>
        <v>TSS</v>
      </c>
      <c r="H938" s="7" t="str">
        <f t="shared" si="104"/>
        <v>ONE</v>
      </c>
      <c r="I938" s="7" t="str">
        <f t="shared" si="105"/>
        <v>STA</v>
      </c>
      <c r="J938" s="7" t="str">
        <f t="shared" si="106"/>
        <v>RED</v>
      </c>
      <c r="K938" s="7" t="str">
        <f t="shared" si="107"/>
        <v>XXL</v>
      </c>
      <c r="L938" s="7" t="s">
        <v>2018</v>
      </c>
      <c r="M938" s="7" t="s">
        <v>4462</v>
      </c>
      <c r="N938" s="7">
        <f>_xlfn.XLOOKUP(A938,[1]SKU!$A:$A,[1]SKU!$Z:$Z)</f>
        <v>790000</v>
      </c>
    </row>
    <row r="939" spans="1:14">
      <c r="A939" s="1" t="s">
        <v>5639</v>
      </c>
      <c r="B939" s="2" t="s">
        <v>4472</v>
      </c>
      <c r="C939" s="2" t="s">
        <v>1185</v>
      </c>
      <c r="D939" s="2" t="s">
        <v>5640</v>
      </c>
      <c r="E939" s="7" t="str">
        <f t="shared" si="77"/>
        <v>DSP</v>
      </c>
      <c r="F939" s="7" t="str">
        <f t="shared" si="102"/>
        <v>UNI</v>
      </c>
      <c r="G939" s="7" t="str">
        <f t="shared" si="103"/>
        <v>FWR</v>
      </c>
      <c r="H939" s="7" t="str">
        <f t="shared" si="104"/>
        <v>LES</v>
      </c>
      <c r="I939" s="7" t="str">
        <f t="shared" si="105"/>
        <v>EL2</v>
      </c>
      <c r="J939" s="7" t="str">
        <f t="shared" si="106"/>
        <v>BRO</v>
      </c>
      <c r="K939" s="7" t="str">
        <f t="shared" si="107"/>
        <v>39</v>
      </c>
      <c r="L939" s="7">
        <v>0</v>
      </c>
      <c r="M939" s="7" t="s">
        <v>2609</v>
      </c>
      <c r="N939" s="7">
        <f>_xlfn.XLOOKUP(A939,[1]SKU!$A:$A,[1]SKU!$Z:$Z)</f>
        <v>6200000</v>
      </c>
    </row>
    <row r="940" spans="1:14">
      <c r="A940" s="1" t="s">
        <v>1186</v>
      </c>
      <c r="B940" s="2" t="s">
        <v>3</v>
      </c>
      <c r="C940" s="2" t="s">
        <v>23</v>
      </c>
      <c r="D940" s="2" t="s">
        <v>1187</v>
      </c>
      <c r="E940" s="7" t="str">
        <f t="shared" si="77"/>
        <v>GSL</v>
      </c>
      <c r="F940" s="7" t="str">
        <f t="shared" si="102"/>
        <v>MEN</v>
      </c>
      <c r="G940" s="7" t="str">
        <f t="shared" si="103"/>
        <v>TTS</v>
      </c>
      <c r="H940" s="7" t="str">
        <f t="shared" si="104"/>
        <v>ONE</v>
      </c>
      <c r="I940" s="7" t="str">
        <f t="shared" si="105"/>
        <v>URB</v>
      </c>
      <c r="J940" s="7" t="str">
        <f t="shared" si="106"/>
        <v>WHI</v>
      </c>
      <c r="K940" s="7" t="str">
        <f t="shared" si="107"/>
        <v>S</v>
      </c>
      <c r="L940" s="7" t="s">
        <v>2310</v>
      </c>
      <c r="M940" s="7" t="s">
        <v>4469</v>
      </c>
      <c r="N940" s="7">
        <f>_xlfn.XLOOKUP(A940,[1]SKU!$A:$A,[1]SKU!$Z:$Z)</f>
        <v>750000</v>
      </c>
    </row>
    <row r="941" spans="1:14">
      <c r="A941" s="1" t="s">
        <v>1188</v>
      </c>
      <c r="B941" s="2" t="s">
        <v>3</v>
      </c>
      <c r="C941" s="2" t="s">
        <v>1189</v>
      </c>
      <c r="D941" s="2" t="s">
        <v>1190</v>
      </c>
      <c r="E941" s="7" t="str">
        <f t="shared" si="77"/>
        <v>GBA</v>
      </c>
      <c r="F941" s="7" t="str">
        <f t="shared" si="102"/>
        <v>MEN</v>
      </c>
      <c r="G941" s="7" t="str">
        <f t="shared" si="103"/>
        <v>TSS</v>
      </c>
      <c r="H941" s="7" t="str">
        <f t="shared" si="104"/>
        <v>ONE</v>
      </c>
      <c r="I941" s="7" t="str">
        <f t="shared" si="105"/>
        <v>NBP</v>
      </c>
      <c r="J941" s="7" t="str">
        <f t="shared" si="106"/>
        <v>WHI</v>
      </c>
      <c r="K941" s="7" t="str">
        <f t="shared" si="107"/>
        <v>S</v>
      </c>
      <c r="L941" s="7" t="s">
        <v>2018</v>
      </c>
      <c r="M941" s="7" t="s">
        <v>4462</v>
      </c>
      <c r="N941" s="7">
        <f>_xlfn.XLOOKUP(A941,[1]SKU!$A:$A,[1]SKU!$Z:$Z)</f>
        <v>1650000</v>
      </c>
    </row>
    <row r="942" spans="1:14">
      <c r="A942" s="1" t="s">
        <v>1191</v>
      </c>
      <c r="B942" s="2" t="s">
        <v>3</v>
      </c>
      <c r="C942" s="2" t="s">
        <v>113</v>
      </c>
      <c r="D942" s="2" t="s">
        <v>1192</v>
      </c>
      <c r="E942" s="7" t="str">
        <f t="shared" si="77"/>
        <v>GBA</v>
      </c>
      <c r="F942" s="7" t="str">
        <f t="shared" si="102"/>
        <v>MEN</v>
      </c>
      <c r="G942" s="7" t="str">
        <f t="shared" si="103"/>
        <v>TSO</v>
      </c>
      <c r="H942" s="7" t="str">
        <f t="shared" si="104"/>
        <v>ONE</v>
      </c>
      <c r="I942" s="7" t="str">
        <f t="shared" si="105"/>
        <v>TCS</v>
      </c>
      <c r="J942" s="7" t="str">
        <f t="shared" si="106"/>
        <v>BLK</v>
      </c>
      <c r="K942" s="7" t="str">
        <f t="shared" si="107"/>
        <v>XS</v>
      </c>
      <c r="L942" s="7" t="s">
        <v>2071</v>
      </c>
      <c r="M942" s="7" t="s">
        <v>4462</v>
      </c>
      <c r="N942" s="7">
        <f>_xlfn.XLOOKUP(A942,[1]SKU!$A:$A,[1]SKU!$Z:$Z)</f>
        <v>1390000</v>
      </c>
    </row>
    <row r="943" spans="1:14">
      <c r="A943" s="1" t="s">
        <v>1193</v>
      </c>
      <c r="B943" s="2" t="s">
        <v>19</v>
      </c>
      <c r="C943" s="2" t="s">
        <v>1194</v>
      </c>
      <c r="D943" s="2" t="s">
        <v>1195</v>
      </c>
      <c r="E943" s="7" t="str">
        <f t="shared" si="77"/>
        <v>OTH</v>
      </c>
      <c r="F943" s="7" t="str">
        <f t="shared" si="102"/>
        <v>UNI</v>
      </c>
      <c r="G943" s="7" t="str">
        <f t="shared" si="103"/>
        <v>BAG</v>
      </c>
      <c r="H943" s="7" t="str">
        <f t="shared" si="104"/>
        <v>TTB</v>
      </c>
      <c r="I943" s="7" t="str">
        <f t="shared" si="105"/>
        <v>GCD</v>
      </c>
      <c r="J943" s="7" t="str">
        <f t="shared" si="106"/>
        <v>CRE</v>
      </c>
      <c r="K943" s="7" t="str">
        <f t="shared" si="107"/>
        <v>0</v>
      </c>
      <c r="L943" s="7">
        <v>0</v>
      </c>
      <c r="M943" s="7" t="s">
        <v>2609</v>
      </c>
      <c r="N943" s="7">
        <f>_xlfn.XLOOKUP(A943,[1]SKU!$A:$A,[1]SKU!$Z:$Z)</f>
        <v>280000</v>
      </c>
    </row>
    <row r="944" spans="1:14">
      <c r="A944" s="1" t="s">
        <v>5641</v>
      </c>
      <c r="B944" s="2" t="s">
        <v>4472</v>
      </c>
      <c r="C944" s="2" t="s">
        <v>133</v>
      </c>
      <c r="D944" s="2" t="s">
        <v>5642</v>
      </c>
      <c r="E944" s="7" t="str">
        <f t="shared" si="77"/>
        <v>SHI</v>
      </c>
      <c r="F944" s="7" t="str">
        <f t="shared" si="102"/>
        <v>UNI</v>
      </c>
      <c r="G944" s="7" t="str">
        <f t="shared" si="103"/>
        <v>FNB</v>
      </c>
      <c r="H944" s="7" t="str">
        <f t="shared" si="104"/>
        <v>CFP</v>
      </c>
      <c r="I944" s="7" t="str">
        <f t="shared" si="105"/>
        <v>SLB</v>
      </c>
      <c r="J944" s="7" t="str">
        <f t="shared" si="106"/>
        <v>WHI</v>
      </c>
      <c r="K944" s="7" t="str">
        <f t="shared" si="107"/>
        <v>CAN</v>
      </c>
      <c r="L944" s="7">
        <v>0</v>
      </c>
      <c r="M944" s="7" t="s">
        <v>2609</v>
      </c>
      <c r="N944" s="7">
        <f>_xlfn.XLOOKUP(A944,[1]SKU!$A:$A,[1]SKU!$Z:$Z)</f>
        <v>180000</v>
      </c>
    </row>
    <row r="945" spans="1:14">
      <c r="A945" s="1" t="s">
        <v>1196</v>
      </c>
      <c r="B945" s="2" t="s">
        <v>3</v>
      </c>
      <c r="C945" s="2" t="s">
        <v>532</v>
      </c>
      <c r="D945" s="2" t="s">
        <v>1197</v>
      </c>
      <c r="E945" s="7" t="str">
        <f t="shared" si="77"/>
        <v>GBA</v>
      </c>
      <c r="F945" s="7" t="str">
        <f t="shared" si="102"/>
        <v>MEN</v>
      </c>
      <c r="G945" s="7" t="str">
        <f t="shared" si="103"/>
        <v>TSS</v>
      </c>
      <c r="H945" s="7" t="str">
        <f t="shared" si="104"/>
        <v>ONE</v>
      </c>
      <c r="I945" s="7" t="str">
        <f t="shared" si="105"/>
        <v>SCR</v>
      </c>
      <c r="J945" s="7" t="str">
        <f t="shared" si="106"/>
        <v>WHI</v>
      </c>
      <c r="K945" s="7" t="str">
        <f t="shared" si="107"/>
        <v>XXL</v>
      </c>
      <c r="L945" s="7" t="s">
        <v>2018</v>
      </c>
      <c r="M945" s="7" t="s">
        <v>4462</v>
      </c>
      <c r="N945" s="7">
        <f>_xlfn.XLOOKUP(A945,[1]SKU!$A:$A,[1]SKU!$Z:$Z)</f>
        <v>950000</v>
      </c>
    </row>
    <row r="946" spans="1:14">
      <c r="A946" s="1" t="s">
        <v>5643</v>
      </c>
      <c r="B946" s="2" t="s">
        <v>4472</v>
      </c>
      <c r="C946" s="2" t="s">
        <v>51</v>
      </c>
      <c r="D946" s="2" t="s">
        <v>5644</v>
      </c>
      <c r="E946" s="7" t="str">
        <f t="shared" si="77"/>
        <v>DSP</v>
      </c>
      <c r="F946" s="7" t="str">
        <f t="shared" si="102"/>
        <v>UNI</v>
      </c>
      <c r="G946" s="7" t="str">
        <f t="shared" si="103"/>
        <v>BAG</v>
      </c>
      <c r="H946" s="7" t="str">
        <f t="shared" si="104"/>
        <v>CHR</v>
      </c>
      <c r="I946" s="7" t="str">
        <f t="shared" si="105"/>
        <v>SCH</v>
      </c>
      <c r="J946" s="7" t="str">
        <f t="shared" si="106"/>
        <v>ORA</v>
      </c>
      <c r="K946" s="7" t="str">
        <f t="shared" si="107"/>
        <v>0</v>
      </c>
      <c r="L946" s="7">
        <v>0</v>
      </c>
      <c r="M946" s="7" t="s">
        <v>2609</v>
      </c>
      <c r="N946" s="7">
        <f>_xlfn.XLOOKUP(A946,[1]SKU!$A:$A,[1]SKU!$Z:$Z)</f>
        <v>1150000</v>
      </c>
    </row>
    <row r="947" spans="1:14">
      <c r="A947" s="1" t="s">
        <v>1198</v>
      </c>
      <c r="B947" s="2" t="s">
        <v>19</v>
      </c>
      <c r="C947" s="2" t="s">
        <v>33</v>
      </c>
      <c r="D947" s="2" t="s">
        <v>1199</v>
      </c>
      <c r="E947" s="7" t="str">
        <f t="shared" si="77"/>
        <v>OTH</v>
      </c>
      <c r="F947" s="7" t="str">
        <f t="shared" si="102"/>
        <v>UNI</v>
      </c>
      <c r="G947" s="7" t="str">
        <f t="shared" si="103"/>
        <v>FWR</v>
      </c>
      <c r="H947" s="7" t="str">
        <f t="shared" si="104"/>
        <v>SLI</v>
      </c>
      <c r="I947" s="7" t="str">
        <f t="shared" si="105"/>
        <v>VTM</v>
      </c>
      <c r="J947" s="7" t="str">
        <f t="shared" si="106"/>
        <v>BLK</v>
      </c>
      <c r="K947" s="7" t="str">
        <f t="shared" si="107"/>
        <v>38</v>
      </c>
      <c r="L947" s="7">
        <v>0</v>
      </c>
      <c r="M947" s="7" t="s">
        <v>2609</v>
      </c>
      <c r="N947" s="7">
        <f>_xlfn.XLOOKUP(A947,[1]SKU!$A:$A,[1]SKU!$Z:$Z)</f>
        <v>395000</v>
      </c>
    </row>
    <row r="948" spans="1:14">
      <c r="A948" s="1" t="s">
        <v>1200</v>
      </c>
      <c r="B948" s="2" t="s">
        <v>3</v>
      </c>
      <c r="C948" s="2" t="s">
        <v>1189</v>
      </c>
      <c r="D948" s="2" t="s">
        <v>1201</v>
      </c>
      <c r="E948" s="7" t="str">
        <f t="shared" si="77"/>
        <v>GBA</v>
      </c>
      <c r="F948" s="7" t="str">
        <f t="shared" si="102"/>
        <v>MEN</v>
      </c>
      <c r="G948" s="7" t="str">
        <f t="shared" si="103"/>
        <v>TSS</v>
      </c>
      <c r="H948" s="7" t="str">
        <f t="shared" si="104"/>
        <v>ONE</v>
      </c>
      <c r="I948" s="7" t="str">
        <f t="shared" si="105"/>
        <v>NBP</v>
      </c>
      <c r="J948" s="7" t="str">
        <f t="shared" si="106"/>
        <v>WHI</v>
      </c>
      <c r="K948" s="7" t="str">
        <f t="shared" si="107"/>
        <v>XL</v>
      </c>
      <c r="L948" s="7" t="s">
        <v>2018</v>
      </c>
      <c r="M948" s="7" t="s">
        <v>4462</v>
      </c>
      <c r="N948" s="7">
        <f>_xlfn.XLOOKUP(A948,[1]SKU!$A:$A,[1]SKU!$Z:$Z)</f>
        <v>1650000</v>
      </c>
    </row>
    <row r="949" spans="1:14">
      <c r="A949" s="1" t="s">
        <v>5645</v>
      </c>
      <c r="B949" s="2" t="s">
        <v>4472</v>
      </c>
      <c r="C949" s="2" t="s">
        <v>209</v>
      </c>
      <c r="D949" s="2" t="s">
        <v>5646</v>
      </c>
      <c r="E949" s="7" t="str">
        <f t="shared" si="77"/>
        <v>DSP</v>
      </c>
      <c r="F949" s="7" t="str">
        <f t="shared" si="102"/>
        <v>UNI</v>
      </c>
      <c r="G949" s="7" t="str">
        <f t="shared" si="103"/>
        <v>BAG</v>
      </c>
      <c r="H949" s="7" t="str">
        <f t="shared" si="104"/>
        <v>CLU</v>
      </c>
      <c r="I949" s="7" t="str">
        <f t="shared" si="105"/>
        <v>CHA</v>
      </c>
      <c r="J949" s="7" t="str">
        <f t="shared" si="106"/>
        <v>CGN</v>
      </c>
      <c r="K949" s="7" t="str">
        <f t="shared" si="107"/>
        <v>0</v>
      </c>
      <c r="L949" s="7">
        <v>0</v>
      </c>
      <c r="M949" s="7" t="s">
        <v>2609</v>
      </c>
      <c r="N949" s="7">
        <f>_xlfn.XLOOKUP(A949,[1]SKU!$A:$A,[1]SKU!$Z:$Z)</f>
        <v>1300000</v>
      </c>
    </row>
    <row r="950" spans="1:14">
      <c r="A950" s="1" t="s">
        <v>5647</v>
      </c>
      <c r="B950" s="2" t="s">
        <v>4472</v>
      </c>
      <c r="C950" s="2" t="s">
        <v>4764</v>
      </c>
      <c r="D950" s="2" t="s">
        <v>5648</v>
      </c>
      <c r="E950" s="7" t="str">
        <f t="shared" si="77"/>
        <v>HAM</v>
      </c>
      <c r="F950" s="7" t="str">
        <f t="shared" si="102"/>
        <v>UNI</v>
      </c>
      <c r="G950" s="7" t="str">
        <f t="shared" si="103"/>
        <v>JEW</v>
      </c>
      <c r="H950" s="7" t="str">
        <f t="shared" si="104"/>
        <v>NEC</v>
      </c>
      <c r="I950" s="7" t="str">
        <f t="shared" si="105"/>
        <v>104</v>
      </c>
      <c r="J950" s="7" t="str">
        <f t="shared" si="106"/>
        <v>MIX</v>
      </c>
      <c r="K950" s="7" t="str">
        <f t="shared" si="107"/>
        <v>0</v>
      </c>
      <c r="L950" s="7">
        <v>0</v>
      </c>
      <c r="M950" s="7" t="s">
        <v>2609</v>
      </c>
      <c r="N950" s="7">
        <f>_xlfn.XLOOKUP(A950,[1]SKU!$A:$A,[1]SKU!$Z:$Z)</f>
        <v>2000000</v>
      </c>
    </row>
    <row r="951" spans="1:14">
      <c r="A951" s="1" t="s">
        <v>1203</v>
      </c>
      <c r="B951" s="2" t="s">
        <v>3</v>
      </c>
      <c r="C951" s="2" t="s">
        <v>236</v>
      </c>
      <c r="D951" s="2" t="s">
        <v>1204</v>
      </c>
      <c r="E951" s="7" t="str">
        <f t="shared" si="77"/>
        <v>GOR</v>
      </c>
      <c r="F951" s="7" t="str">
        <f t="shared" si="102"/>
        <v>MEN</v>
      </c>
      <c r="G951" s="7" t="str">
        <f t="shared" si="103"/>
        <v>TSS</v>
      </c>
      <c r="H951" s="7" t="str">
        <f t="shared" si="104"/>
        <v>ONE</v>
      </c>
      <c r="I951" s="7" t="str">
        <f t="shared" si="105"/>
        <v>STA</v>
      </c>
      <c r="J951" s="7" t="str">
        <f t="shared" si="106"/>
        <v>RED</v>
      </c>
      <c r="K951" s="7" t="str">
        <f t="shared" si="107"/>
        <v>S</v>
      </c>
      <c r="L951" s="7" t="s">
        <v>2018</v>
      </c>
      <c r="M951" s="7" t="s">
        <v>4462</v>
      </c>
      <c r="N951" s="7">
        <f>_xlfn.XLOOKUP(A951,[1]SKU!$A:$A,[1]SKU!$Z:$Z)</f>
        <v>790000</v>
      </c>
    </row>
    <row r="952" spans="1:14">
      <c r="A952" s="1" t="s">
        <v>5649</v>
      </c>
      <c r="B952" s="2" t="s">
        <v>4472</v>
      </c>
      <c r="C952" s="2" t="s">
        <v>388</v>
      </c>
      <c r="D952" s="2" t="s">
        <v>5650</v>
      </c>
      <c r="E952" s="7" t="str">
        <f t="shared" si="77"/>
        <v>DSP</v>
      </c>
      <c r="F952" s="7" t="str">
        <f t="shared" si="102"/>
        <v>UNI</v>
      </c>
      <c r="G952" s="7" t="str">
        <f t="shared" si="103"/>
        <v>FWR</v>
      </c>
      <c r="H952" s="7" t="str">
        <f t="shared" si="104"/>
        <v>LES</v>
      </c>
      <c r="I952" s="7" t="str">
        <f t="shared" si="105"/>
        <v>LAW</v>
      </c>
      <c r="J952" s="7" t="str">
        <f t="shared" si="106"/>
        <v>GWH</v>
      </c>
      <c r="K952" s="7" t="str">
        <f t="shared" si="107"/>
        <v>38</v>
      </c>
      <c r="L952" s="7">
        <v>0</v>
      </c>
      <c r="M952" s="7" t="s">
        <v>2609</v>
      </c>
      <c r="N952" s="7">
        <f>_xlfn.XLOOKUP(A952,[1]SKU!$A:$A,[1]SKU!$Z:$Z)</f>
        <v>8250000</v>
      </c>
    </row>
    <row r="953" spans="1:14">
      <c r="A953" s="1" t="s">
        <v>5651</v>
      </c>
      <c r="B953" s="2" t="s">
        <v>4472</v>
      </c>
      <c r="C953" s="2" t="s">
        <v>1205</v>
      </c>
      <c r="D953" s="2" t="s">
        <v>5652</v>
      </c>
      <c r="E953" s="7" t="str">
        <f t="shared" si="77"/>
        <v>RUN</v>
      </c>
      <c r="F953" s="7" t="str">
        <f t="shared" si="102"/>
        <v>UNI</v>
      </c>
      <c r="G953" s="7" t="str">
        <f t="shared" si="103"/>
        <v>HDR</v>
      </c>
      <c r="H953" s="7" t="str">
        <f t="shared" si="104"/>
        <v>FBA</v>
      </c>
      <c r="I953" s="7" t="str">
        <f t="shared" si="105"/>
        <v>LTA</v>
      </c>
      <c r="J953" s="7" t="str">
        <f t="shared" si="106"/>
        <v>MIX</v>
      </c>
      <c r="K953" s="7" t="str">
        <f t="shared" si="107"/>
        <v>0</v>
      </c>
      <c r="L953" s="7">
        <v>0</v>
      </c>
      <c r="M953" s="7" t="s">
        <v>2609</v>
      </c>
      <c r="N953" s="7">
        <f>_xlfn.XLOOKUP(A953,[1]SKU!$A:$A,[1]SKU!$Z:$Z)</f>
        <v>286000</v>
      </c>
    </row>
    <row r="954" spans="1:14">
      <c r="A954" s="1" t="s">
        <v>1206</v>
      </c>
      <c r="B954" s="2" t="s">
        <v>3</v>
      </c>
      <c r="C954" s="2" t="s">
        <v>236</v>
      </c>
      <c r="D954" s="2" t="s">
        <v>1207</v>
      </c>
      <c r="E954" s="7" t="str">
        <f t="shared" si="77"/>
        <v>GOR</v>
      </c>
      <c r="F954" s="7" t="str">
        <f t="shared" si="102"/>
        <v>MEN</v>
      </c>
      <c r="G954" s="7" t="str">
        <f t="shared" si="103"/>
        <v>TSS</v>
      </c>
      <c r="H954" s="7" t="str">
        <f t="shared" si="104"/>
        <v>ONE</v>
      </c>
      <c r="I954" s="7" t="str">
        <f t="shared" si="105"/>
        <v>STA</v>
      </c>
      <c r="J954" s="7" t="str">
        <f t="shared" si="106"/>
        <v>RED</v>
      </c>
      <c r="K954" s="7" t="str">
        <f t="shared" si="107"/>
        <v>L</v>
      </c>
      <c r="L954" s="7" t="s">
        <v>2018</v>
      </c>
      <c r="M954" s="7" t="s">
        <v>4462</v>
      </c>
      <c r="N954" s="7">
        <f>_xlfn.XLOOKUP(A954,[1]SKU!$A:$A,[1]SKU!$Z:$Z)</f>
        <v>790000</v>
      </c>
    </row>
    <row r="955" spans="1:14">
      <c r="A955" s="1" t="s">
        <v>1208</v>
      </c>
      <c r="B955" s="2" t="s">
        <v>3</v>
      </c>
      <c r="C955" s="2" t="s">
        <v>48</v>
      </c>
      <c r="D955" s="2" t="s">
        <v>1209</v>
      </c>
      <c r="E955" s="7" t="str">
        <f t="shared" si="77"/>
        <v>GOR</v>
      </c>
      <c r="F955" s="7" t="str">
        <f t="shared" si="102"/>
        <v>MEN</v>
      </c>
      <c r="G955" s="7" t="str">
        <f t="shared" si="103"/>
        <v>TSS</v>
      </c>
      <c r="H955" s="7" t="str">
        <f t="shared" si="104"/>
        <v>HNE</v>
      </c>
      <c r="I955" s="7" t="str">
        <f t="shared" si="105"/>
        <v>GAO</v>
      </c>
      <c r="J955" s="7" t="str">
        <f t="shared" si="106"/>
        <v>BLK</v>
      </c>
      <c r="K955" s="7" t="str">
        <f t="shared" si="107"/>
        <v>M</v>
      </c>
      <c r="L955" s="7" t="s">
        <v>2018</v>
      </c>
      <c r="M955" s="7" t="s">
        <v>4462</v>
      </c>
      <c r="N955" s="7">
        <f>_xlfn.XLOOKUP(A955,[1]SKU!$A:$A,[1]SKU!$Z:$Z)</f>
        <v>1650000</v>
      </c>
    </row>
    <row r="956" spans="1:14">
      <c r="A956" s="1" t="s">
        <v>1210</v>
      </c>
      <c r="B956" s="2" t="s">
        <v>3</v>
      </c>
      <c r="C956" s="2" t="s">
        <v>58</v>
      </c>
      <c r="D956" s="2" t="s">
        <v>1211</v>
      </c>
      <c r="E956" s="7" t="str">
        <f t="shared" si="77"/>
        <v>GLI</v>
      </c>
      <c r="F956" s="7" t="str">
        <f t="shared" si="102"/>
        <v>MEN</v>
      </c>
      <c r="G956" s="7" t="str">
        <f t="shared" si="103"/>
        <v>PAF</v>
      </c>
      <c r="H956" s="7" t="str">
        <f t="shared" si="104"/>
        <v>BBT</v>
      </c>
      <c r="I956" s="7" t="str">
        <f t="shared" si="105"/>
        <v>LIN</v>
      </c>
      <c r="J956" s="7" t="str">
        <f t="shared" si="106"/>
        <v>WHI</v>
      </c>
      <c r="K956" s="7" t="str">
        <f t="shared" si="107"/>
        <v>L</v>
      </c>
      <c r="L956" s="7" t="s">
        <v>2700</v>
      </c>
      <c r="M956" s="7" t="s">
        <v>4467</v>
      </c>
      <c r="N956" s="7">
        <f>_xlfn.XLOOKUP(A956,[1]SKU!$A:$A,[1]SKU!$Z:$Z)</f>
        <v>2690000</v>
      </c>
    </row>
    <row r="957" spans="1:14">
      <c r="A957" s="1" t="s">
        <v>5653</v>
      </c>
      <c r="B957" s="2" t="s">
        <v>4472</v>
      </c>
      <c r="C957" s="2" t="s">
        <v>4575</v>
      </c>
      <c r="D957" s="2" t="s">
        <v>5654</v>
      </c>
      <c r="E957" s="7" t="str">
        <f t="shared" si="77"/>
        <v>HAM</v>
      </c>
      <c r="F957" s="7" t="str">
        <f t="shared" si="102"/>
        <v>UNI</v>
      </c>
      <c r="G957" s="7" t="str">
        <f t="shared" si="103"/>
        <v>JEW</v>
      </c>
      <c r="H957" s="7" t="str">
        <f t="shared" si="104"/>
        <v>NEC</v>
      </c>
      <c r="I957" s="7" t="str">
        <f t="shared" si="105"/>
        <v>116</v>
      </c>
      <c r="J957" s="7" t="str">
        <f t="shared" si="106"/>
        <v>MIX</v>
      </c>
      <c r="K957" s="7" t="str">
        <f t="shared" si="107"/>
        <v>0</v>
      </c>
      <c r="L957" s="7">
        <v>0</v>
      </c>
      <c r="M957" s="7" t="s">
        <v>2609</v>
      </c>
      <c r="N957" s="7">
        <f>_xlfn.XLOOKUP(A957,[1]SKU!$A:$A,[1]SKU!$Z:$Z)</f>
        <v>2800000</v>
      </c>
    </row>
    <row r="958" spans="1:14">
      <c r="A958" s="1" t="s">
        <v>1213</v>
      </c>
      <c r="B958" s="2" t="s">
        <v>3</v>
      </c>
      <c r="C958" s="2" t="s">
        <v>815</v>
      </c>
      <c r="D958" s="2" t="s">
        <v>1214</v>
      </c>
      <c r="E958" s="7" t="str">
        <f t="shared" si="77"/>
        <v>GSP</v>
      </c>
      <c r="F958" s="7" t="str">
        <f t="shared" si="102"/>
        <v>MEN</v>
      </c>
      <c r="G958" s="7" t="str">
        <f t="shared" si="103"/>
        <v>POL</v>
      </c>
      <c r="H958" s="7" t="str">
        <f t="shared" si="104"/>
        <v>MAN</v>
      </c>
      <c r="I958" s="7" t="str">
        <f t="shared" si="105"/>
        <v>CHA</v>
      </c>
      <c r="J958" s="7" t="str">
        <f t="shared" si="106"/>
        <v>EMR</v>
      </c>
      <c r="K958" s="7" t="str">
        <f t="shared" si="107"/>
        <v>S</v>
      </c>
      <c r="L958" s="7" t="s">
        <v>1995</v>
      </c>
      <c r="M958" s="7" t="s">
        <v>4468</v>
      </c>
      <c r="N958" s="7">
        <f>_xlfn.XLOOKUP(A958,[1]SKU!$A:$A,[1]SKU!$Z:$Z)</f>
        <v>1090000</v>
      </c>
    </row>
    <row r="959" spans="1:14">
      <c r="A959" s="1" t="s">
        <v>1215</v>
      </c>
      <c r="B959" s="2" t="s">
        <v>3</v>
      </c>
      <c r="C959" s="2" t="s">
        <v>23</v>
      </c>
      <c r="D959" s="2" t="s">
        <v>1216</v>
      </c>
      <c r="E959" s="7" t="str">
        <f t="shared" si="77"/>
        <v>GCV</v>
      </c>
      <c r="F959" s="7" t="str">
        <f t="shared" si="102"/>
        <v>MEN</v>
      </c>
      <c r="G959" s="7" t="str">
        <f t="shared" si="103"/>
        <v>SIS</v>
      </c>
      <c r="H959" s="7" t="str">
        <f t="shared" si="104"/>
        <v>BUT</v>
      </c>
      <c r="I959" s="7" t="str">
        <f t="shared" si="105"/>
        <v>URB</v>
      </c>
      <c r="J959" s="7" t="str">
        <f t="shared" si="106"/>
        <v>WHI</v>
      </c>
      <c r="K959" s="7" t="str">
        <f t="shared" si="107"/>
        <v>XL</v>
      </c>
      <c r="L959" s="7" t="s">
        <v>2211</v>
      </c>
      <c r="M959" s="7" t="s">
        <v>4464</v>
      </c>
      <c r="N959" s="7">
        <f>_xlfn.XLOOKUP(A959,[1]SKU!$A:$A,[1]SKU!$Z:$Z)</f>
        <v>1790000</v>
      </c>
    </row>
    <row r="960" spans="1:14">
      <c r="A960" s="1" t="s">
        <v>5655</v>
      </c>
      <c r="B960" s="2" t="s">
        <v>4472</v>
      </c>
      <c r="C960" s="2" t="s">
        <v>4739</v>
      </c>
      <c r="D960" s="2" t="s">
        <v>5656</v>
      </c>
      <c r="E960" s="7" t="str">
        <f t="shared" si="77"/>
        <v>PSD</v>
      </c>
      <c r="F960" s="7" t="str">
        <f t="shared" si="102"/>
        <v>UNI</v>
      </c>
      <c r="G960" s="7" t="str">
        <f t="shared" si="103"/>
        <v>SOU</v>
      </c>
      <c r="H960" s="7" t="str">
        <f t="shared" si="104"/>
        <v>DEC</v>
      </c>
      <c r="I960" s="7" t="str">
        <f t="shared" si="105"/>
        <v>UNI</v>
      </c>
      <c r="J960" s="7" t="str">
        <f t="shared" si="106"/>
        <v>RED</v>
      </c>
      <c r="K960" s="7" t="str">
        <f t="shared" si="107"/>
        <v>S</v>
      </c>
      <c r="L960" s="7">
        <v>0</v>
      </c>
      <c r="M960" s="7" t="s">
        <v>2609</v>
      </c>
      <c r="N960" s="7">
        <f>_xlfn.XLOOKUP(A960,[1]SKU!$A:$A,[1]SKU!$Z:$Z)</f>
        <v>410000</v>
      </c>
    </row>
    <row r="961" spans="1:14">
      <c r="A961" s="1" t="s">
        <v>5657</v>
      </c>
      <c r="B961" s="2" t="s">
        <v>4472</v>
      </c>
      <c r="C961" s="2" t="s">
        <v>209</v>
      </c>
      <c r="D961" s="2" t="s">
        <v>5658</v>
      </c>
      <c r="E961" s="7" t="str">
        <f t="shared" si="77"/>
        <v>DSP</v>
      </c>
      <c r="F961" s="7" t="str">
        <f t="shared" si="102"/>
        <v>UNI</v>
      </c>
      <c r="G961" s="7" t="str">
        <f t="shared" si="103"/>
        <v>BAG</v>
      </c>
      <c r="H961" s="7" t="str">
        <f t="shared" si="104"/>
        <v>CLU</v>
      </c>
      <c r="I961" s="7" t="str">
        <f t="shared" si="105"/>
        <v>CHA</v>
      </c>
      <c r="J961" s="7" t="str">
        <f t="shared" si="106"/>
        <v>BUR</v>
      </c>
      <c r="K961" s="7" t="str">
        <f t="shared" si="107"/>
        <v>0</v>
      </c>
      <c r="L961" s="7">
        <v>0</v>
      </c>
      <c r="M961" s="7" t="s">
        <v>2609</v>
      </c>
      <c r="N961" s="7">
        <f>_xlfn.XLOOKUP(A961,[1]SKU!$A:$A,[1]SKU!$Z:$Z)</f>
        <v>1300000</v>
      </c>
    </row>
    <row r="962" spans="1:14">
      <c r="A962" s="1" t="s">
        <v>5659</v>
      </c>
      <c r="B962" s="2" t="s">
        <v>4481</v>
      </c>
      <c r="C962" s="2" t="s">
        <v>1217</v>
      </c>
      <c r="D962" s="2" t="s">
        <v>5660</v>
      </c>
      <c r="E962" s="7" t="str">
        <f t="shared" ref="E962:E1025" si="108">_xlfn.TEXTBEFORE(_xlfn.TEXTAFTER(D962,"-"),"-")</f>
        <v>PAS</v>
      </c>
      <c r="F962" s="7" t="str">
        <f t="shared" si="102"/>
        <v>UNI</v>
      </c>
      <c r="G962" s="7" t="str">
        <f t="shared" si="103"/>
        <v>ART</v>
      </c>
      <c r="H962" s="7" t="str">
        <f t="shared" si="104"/>
        <v>ART</v>
      </c>
      <c r="I962" s="7" t="str">
        <f t="shared" si="105"/>
        <v>WTB</v>
      </c>
      <c r="J962" s="7" t="str">
        <f t="shared" si="106"/>
        <v>MIX</v>
      </c>
      <c r="K962" s="7" t="str">
        <f t="shared" si="107"/>
        <v>A1</v>
      </c>
      <c r="L962" s="7">
        <v>0</v>
      </c>
      <c r="M962" s="7" t="s">
        <v>2609</v>
      </c>
      <c r="N962" s="7">
        <f>_xlfn.XLOOKUP(A962,[1]SKU!$A:$A,[1]SKU!$Z:$Z)</f>
        <v>7500000</v>
      </c>
    </row>
    <row r="963" spans="1:14">
      <c r="A963" s="1" t="s">
        <v>5661</v>
      </c>
      <c r="B963" s="2" t="s">
        <v>4472</v>
      </c>
      <c r="C963" s="2" t="s">
        <v>51</v>
      </c>
      <c r="D963" s="2" t="s">
        <v>5662</v>
      </c>
      <c r="E963" s="7" t="str">
        <f t="shared" si="108"/>
        <v>DSP</v>
      </c>
      <c r="F963" s="7" t="str">
        <f t="shared" si="102"/>
        <v>UNI</v>
      </c>
      <c r="G963" s="7" t="str">
        <f t="shared" si="103"/>
        <v>BAG</v>
      </c>
      <c r="H963" s="7" t="str">
        <f t="shared" si="104"/>
        <v>CHR</v>
      </c>
      <c r="I963" s="7" t="str">
        <f t="shared" si="105"/>
        <v>SCH</v>
      </c>
      <c r="J963" s="7" t="str">
        <f t="shared" si="106"/>
        <v>BPP</v>
      </c>
      <c r="K963" s="7" t="str">
        <f t="shared" si="107"/>
        <v>0</v>
      </c>
      <c r="L963" s="7">
        <v>0</v>
      </c>
      <c r="M963" s="7" t="s">
        <v>2609</v>
      </c>
      <c r="N963" s="7">
        <f>_xlfn.XLOOKUP(A963,[1]SKU!$A:$A,[1]SKU!$Z:$Z)</f>
        <v>1150000</v>
      </c>
    </row>
    <row r="964" spans="1:14">
      <c r="A964" s="1" t="s">
        <v>5663</v>
      </c>
      <c r="B964" s="2" t="s">
        <v>4472</v>
      </c>
      <c r="C964" s="2" t="s">
        <v>5664</v>
      </c>
      <c r="D964" s="2" t="s">
        <v>5665</v>
      </c>
      <c r="E964" s="7" t="str">
        <f t="shared" si="108"/>
        <v>HAM</v>
      </c>
      <c r="F964" s="7" t="str">
        <f t="shared" si="102"/>
        <v>UNI</v>
      </c>
      <c r="G964" s="7" t="str">
        <f t="shared" si="103"/>
        <v>JEW</v>
      </c>
      <c r="H964" s="7" t="str">
        <f t="shared" si="104"/>
        <v>EAR</v>
      </c>
      <c r="I964" s="7" t="str">
        <f t="shared" si="105"/>
        <v>E47</v>
      </c>
      <c r="J964" s="7" t="str">
        <f t="shared" si="106"/>
        <v>MIX</v>
      </c>
      <c r="K964" s="7" t="str">
        <f t="shared" si="107"/>
        <v>0</v>
      </c>
      <c r="L964" s="7">
        <v>0</v>
      </c>
      <c r="M964" s="7" t="s">
        <v>2609</v>
      </c>
      <c r="N964" s="7">
        <f>_xlfn.XLOOKUP(A964,[1]SKU!$A:$A,[1]SKU!$Z:$Z)</f>
        <v>800000</v>
      </c>
    </row>
    <row r="965" spans="1:14">
      <c r="A965" s="1" t="s">
        <v>5666</v>
      </c>
      <c r="B965" s="2" t="s">
        <v>4472</v>
      </c>
      <c r="C965" s="2" t="s">
        <v>94</v>
      </c>
      <c r="D965" s="2" t="s">
        <v>5667</v>
      </c>
      <c r="E965" s="7" t="str">
        <f t="shared" si="108"/>
        <v>NGO</v>
      </c>
      <c r="F965" s="7" t="str">
        <f t="shared" si="102"/>
        <v>UNI</v>
      </c>
      <c r="G965" s="7" t="str">
        <f t="shared" si="103"/>
        <v>FWR</v>
      </c>
      <c r="H965" s="7" t="str">
        <f t="shared" si="104"/>
        <v>SNE</v>
      </c>
      <c r="I965" s="7" t="str">
        <f t="shared" si="105"/>
        <v>SGS</v>
      </c>
      <c r="J965" s="7" t="str">
        <f t="shared" si="106"/>
        <v>SES</v>
      </c>
      <c r="K965" s="7" t="str">
        <f t="shared" si="107"/>
        <v>38</v>
      </c>
      <c r="L965" s="7">
        <v>0</v>
      </c>
      <c r="M965" s="7" t="s">
        <v>2609</v>
      </c>
      <c r="N965" s="7">
        <f>_xlfn.XLOOKUP(A965,[1]SKU!$A:$A,[1]SKU!$Z:$Z)</f>
        <v>3850000</v>
      </c>
    </row>
    <row r="966" spans="1:14">
      <c r="A966" s="1" t="s">
        <v>1219</v>
      </c>
      <c r="B966" s="2" t="s">
        <v>3</v>
      </c>
      <c r="C966" s="2" t="s">
        <v>268</v>
      </c>
      <c r="D966" s="2" t="s">
        <v>1220</v>
      </c>
      <c r="E966" s="7" t="str">
        <f t="shared" si="108"/>
        <v>GOR</v>
      </c>
      <c r="F966" s="7" t="str">
        <f t="shared" si="102"/>
        <v>MEN</v>
      </c>
      <c r="G966" s="7" t="str">
        <f t="shared" si="103"/>
        <v>TSP</v>
      </c>
      <c r="H966" s="7" t="str">
        <f t="shared" si="104"/>
        <v>ONE</v>
      </c>
      <c r="I966" s="7" t="str">
        <f t="shared" si="105"/>
        <v>SSY</v>
      </c>
      <c r="J966" s="7" t="str">
        <f t="shared" si="106"/>
        <v>GRE</v>
      </c>
      <c r="K966" s="7" t="str">
        <f t="shared" si="107"/>
        <v>XL</v>
      </c>
      <c r="L966" s="7" t="s">
        <v>2085</v>
      </c>
      <c r="M966" s="7" t="s">
        <v>4462</v>
      </c>
      <c r="N966" s="7">
        <f>_xlfn.XLOOKUP(A966,[1]SKU!$A:$A,[1]SKU!$Z:$Z)</f>
        <v>790000</v>
      </c>
    </row>
    <row r="967" spans="1:14">
      <c r="A967" s="1" t="s">
        <v>5668</v>
      </c>
      <c r="B967" s="2" t="s">
        <v>4472</v>
      </c>
      <c r="C967" s="2" t="s">
        <v>5669</v>
      </c>
      <c r="D967" s="2" t="s">
        <v>5670</v>
      </c>
      <c r="E967" s="7" t="str">
        <f t="shared" si="108"/>
        <v>LAN</v>
      </c>
      <c r="F967" s="7" t="str">
        <f t="shared" si="102"/>
        <v>UNI</v>
      </c>
      <c r="G967" s="7" t="str">
        <f t="shared" si="103"/>
        <v>HWR</v>
      </c>
      <c r="H967" s="7" t="str">
        <f t="shared" si="104"/>
        <v>SC2</v>
      </c>
      <c r="I967" s="7" t="str">
        <f t="shared" si="105"/>
        <v>CBBD</v>
      </c>
      <c r="J967" s="7" t="str">
        <f t="shared" si="106"/>
        <v>PIN</v>
      </c>
      <c r="K967" s="7" t="str">
        <f t="shared" si="107"/>
        <v>6x130</v>
      </c>
      <c r="L967" s="7">
        <v>0</v>
      </c>
      <c r="M967" s="7" t="s">
        <v>2609</v>
      </c>
      <c r="N967" s="7">
        <f>_xlfn.XLOOKUP(A967,[1]SKU!$A:$A,[1]SKU!$Z:$Z)</f>
        <v>365000</v>
      </c>
    </row>
    <row r="968" spans="1:14">
      <c r="A968" s="1" t="s">
        <v>5671</v>
      </c>
      <c r="B968" s="2" t="s">
        <v>4472</v>
      </c>
      <c r="C968" s="2" t="s">
        <v>36</v>
      </c>
      <c r="D968" s="2" t="s">
        <v>5672</v>
      </c>
      <c r="E968" s="7" t="str">
        <f t="shared" si="108"/>
        <v>PSD</v>
      </c>
      <c r="F968" s="7" t="str">
        <f t="shared" si="102"/>
        <v>UNI</v>
      </c>
      <c r="G968" s="7" t="str">
        <f t="shared" si="103"/>
        <v>SOU</v>
      </c>
      <c r="H968" s="7" t="str">
        <f t="shared" si="104"/>
        <v>DEC</v>
      </c>
      <c r="I968" s="7" t="str">
        <f t="shared" si="105"/>
        <v>SIB</v>
      </c>
      <c r="J968" s="7" t="str">
        <f t="shared" si="106"/>
        <v>YEL</v>
      </c>
      <c r="K968" s="7" t="str">
        <f t="shared" si="107"/>
        <v>14</v>
      </c>
      <c r="L968" s="7">
        <v>0</v>
      </c>
      <c r="M968" s="7" t="s">
        <v>2609</v>
      </c>
      <c r="N968" s="7">
        <f>_xlfn.XLOOKUP(A968,[1]SKU!$A:$A,[1]SKU!$Z:$Z)</f>
        <v>550000</v>
      </c>
    </row>
    <row r="969" spans="1:14">
      <c r="A969" s="1" t="s">
        <v>1221</v>
      </c>
      <c r="B969" s="2" t="s">
        <v>3</v>
      </c>
      <c r="C969" s="2" t="s">
        <v>75</v>
      </c>
      <c r="D969" s="2" t="s">
        <v>1222</v>
      </c>
      <c r="E969" s="7" t="str">
        <f t="shared" si="108"/>
        <v>GSL</v>
      </c>
      <c r="F969" s="7" t="str">
        <f t="shared" si="102"/>
        <v>KID</v>
      </c>
      <c r="G969" s="7" t="str">
        <f t="shared" si="103"/>
        <v>APP</v>
      </c>
      <c r="H969" s="7" t="str">
        <f t="shared" si="104"/>
        <v>BNE</v>
      </c>
      <c r="I969" s="7" t="str">
        <f t="shared" si="105"/>
        <v>HOA</v>
      </c>
      <c r="J969" s="7" t="str">
        <f t="shared" si="106"/>
        <v>WHI</v>
      </c>
      <c r="K969" s="7" t="str">
        <f t="shared" si="107"/>
        <v>4</v>
      </c>
      <c r="L969" s="7" t="s">
        <v>2117</v>
      </c>
      <c r="M969" s="7" t="s">
        <v>2117</v>
      </c>
      <c r="N969" s="7">
        <f>_xlfn.XLOOKUP(A969,[1]SKU!$A:$A,[1]SKU!$Z:$Z)</f>
        <v>550000</v>
      </c>
    </row>
    <row r="970" spans="1:14">
      <c r="A970" s="1" t="s">
        <v>5673</v>
      </c>
      <c r="B970" s="2" t="s">
        <v>4472</v>
      </c>
      <c r="C970" s="2" t="s">
        <v>73</v>
      </c>
      <c r="D970" s="2" t="s">
        <v>5674</v>
      </c>
      <c r="E970" s="7" t="str">
        <f t="shared" si="108"/>
        <v>DSP</v>
      </c>
      <c r="F970" s="7" t="str">
        <f t="shared" si="102"/>
        <v>UNI</v>
      </c>
      <c r="G970" s="7" t="str">
        <f t="shared" si="103"/>
        <v>BAG</v>
      </c>
      <c r="H970" s="7" t="str">
        <f t="shared" si="104"/>
        <v>WAL</v>
      </c>
      <c r="I970" s="7" t="str">
        <f t="shared" si="105"/>
        <v>SEU</v>
      </c>
      <c r="J970" s="7" t="str">
        <f t="shared" si="106"/>
        <v>CMB</v>
      </c>
      <c r="K970" s="7" t="str">
        <f t="shared" si="107"/>
        <v>0</v>
      </c>
      <c r="L970" s="7">
        <v>0</v>
      </c>
      <c r="M970" s="7" t="s">
        <v>2609</v>
      </c>
      <c r="N970" s="7">
        <f>_xlfn.XLOOKUP(A970,[1]SKU!$A:$A,[1]SKU!$Z:$Z)</f>
        <v>2900000</v>
      </c>
    </row>
    <row r="971" spans="1:14">
      <c r="A971" s="1" t="s">
        <v>1223</v>
      </c>
      <c r="B971" s="2" t="s">
        <v>3</v>
      </c>
      <c r="C971" s="2" t="s">
        <v>563</v>
      </c>
      <c r="D971" s="2" t="s">
        <v>1224</v>
      </c>
      <c r="E971" s="7" t="str">
        <f t="shared" si="108"/>
        <v>GLI</v>
      </c>
      <c r="F971" s="7" t="str">
        <f t="shared" si="102"/>
        <v>MEN</v>
      </c>
      <c r="G971" s="7" t="str">
        <f t="shared" si="103"/>
        <v>SHS</v>
      </c>
      <c r="H971" s="7" t="str">
        <f t="shared" si="104"/>
        <v>BBT</v>
      </c>
      <c r="I971" s="7" t="str">
        <f t="shared" si="105"/>
        <v>LIN</v>
      </c>
      <c r="J971" s="7" t="str">
        <f t="shared" si="106"/>
        <v>NAV</v>
      </c>
      <c r="K971" s="7" t="str">
        <f t="shared" si="107"/>
        <v>S</v>
      </c>
      <c r="L971" s="7" t="s">
        <v>2752</v>
      </c>
      <c r="M971" s="7" t="s">
        <v>4463</v>
      </c>
      <c r="N971" s="7">
        <f>_xlfn.XLOOKUP(A971,[1]SKU!$A:$A,[1]SKU!$Z:$Z)</f>
        <v>2290000</v>
      </c>
    </row>
    <row r="972" spans="1:14">
      <c r="A972" s="1" t="s">
        <v>5675</v>
      </c>
      <c r="B972" s="2" t="s">
        <v>4472</v>
      </c>
      <c r="C972" s="2" t="s">
        <v>997</v>
      </c>
      <c r="D972" s="2" t="s">
        <v>5676</v>
      </c>
      <c r="E972" s="7" t="str">
        <f t="shared" si="108"/>
        <v>DSP</v>
      </c>
      <c r="F972" s="7" t="str">
        <f t="shared" si="102"/>
        <v>UNI</v>
      </c>
      <c r="G972" s="7" t="str">
        <f t="shared" si="103"/>
        <v>FWR</v>
      </c>
      <c r="H972" s="7" t="str">
        <f t="shared" si="104"/>
        <v>HDB</v>
      </c>
      <c r="I972" s="7" t="str">
        <f t="shared" si="105"/>
        <v>WEL</v>
      </c>
      <c r="J972" s="7" t="str">
        <f t="shared" si="106"/>
        <v>BLK</v>
      </c>
      <c r="K972" s="7" t="str">
        <f t="shared" si="107"/>
        <v>39</v>
      </c>
      <c r="L972" s="7">
        <v>0</v>
      </c>
      <c r="M972" s="7" t="s">
        <v>2609</v>
      </c>
      <c r="N972" s="7">
        <f>_xlfn.XLOOKUP(A972,[1]SKU!$A:$A,[1]SKU!$Z:$Z)</f>
        <v>6200000</v>
      </c>
    </row>
    <row r="973" spans="1:14">
      <c r="A973" s="1" t="s">
        <v>1225</v>
      </c>
      <c r="B973" s="2" t="s">
        <v>19</v>
      </c>
      <c r="C973" s="2" t="s">
        <v>275</v>
      </c>
      <c r="D973" s="2" t="s">
        <v>1226</v>
      </c>
      <c r="E973" s="7" t="str">
        <f t="shared" si="108"/>
        <v>OTH</v>
      </c>
      <c r="F973" s="7" t="str">
        <f t="shared" si="102"/>
        <v>UNI</v>
      </c>
      <c r="G973" s="7" t="str">
        <f t="shared" si="103"/>
        <v>BAG</v>
      </c>
      <c r="H973" s="7" t="str">
        <f t="shared" si="104"/>
        <v>OTH</v>
      </c>
      <c r="I973" s="7" t="str">
        <f t="shared" si="105"/>
        <v>DBG</v>
      </c>
      <c r="J973" s="7" t="str">
        <f t="shared" si="106"/>
        <v>BLK</v>
      </c>
      <c r="K973" s="7" t="str">
        <f t="shared" si="107"/>
        <v>0</v>
      </c>
      <c r="L973" s="7">
        <v>0</v>
      </c>
      <c r="M973" s="7" t="s">
        <v>2609</v>
      </c>
      <c r="N973" s="7">
        <f>_xlfn.XLOOKUP(A973,[1]SKU!$A:$A,[1]SKU!$Z:$Z)</f>
        <v>790000</v>
      </c>
    </row>
    <row r="974" spans="1:14">
      <c r="A974" s="1" t="s">
        <v>1227</v>
      </c>
      <c r="B974" s="2" t="s">
        <v>3</v>
      </c>
      <c r="C974" s="2" t="s">
        <v>1228</v>
      </c>
      <c r="D974" s="2" t="s">
        <v>1229</v>
      </c>
      <c r="E974" s="7" t="str">
        <f t="shared" si="108"/>
        <v>GCL</v>
      </c>
      <c r="F974" s="7" t="str">
        <f t="shared" si="102"/>
        <v>WOM</v>
      </c>
      <c r="G974" s="7" t="str">
        <f t="shared" si="103"/>
        <v>CRO</v>
      </c>
      <c r="H974" s="7" t="str">
        <f t="shared" si="104"/>
        <v>ONE</v>
      </c>
      <c r="I974" s="7" t="str">
        <f t="shared" si="105"/>
        <v>LUA</v>
      </c>
      <c r="J974" s="7" t="str">
        <f t="shared" si="106"/>
        <v>RED</v>
      </c>
      <c r="K974" s="7" t="str">
        <f t="shared" si="107"/>
        <v>L</v>
      </c>
      <c r="L974" s="7" t="s">
        <v>2453</v>
      </c>
      <c r="M974" s="7" t="s">
        <v>4463</v>
      </c>
      <c r="N974" s="7">
        <f>_xlfn.XLOOKUP(A974,[1]SKU!$A:$A,[1]SKU!$Z:$Z)</f>
        <v>1590000</v>
      </c>
    </row>
    <row r="975" spans="1:14">
      <c r="A975" s="1" t="s">
        <v>1230</v>
      </c>
      <c r="B975" s="2" t="s">
        <v>3</v>
      </c>
      <c r="C975" s="2" t="s">
        <v>110</v>
      </c>
      <c r="D975" s="2" t="s">
        <v>1231</v>
      </c>
      <c r="E975" s="7" t="str">
        <f t="shared" si="108"/>
        <v>GBA</v>
      </c>
      <c r="F975" s="7" t="str">
        <f t="shared" si="102"/>
        <v>KID</v>
      </c>
      <c r="G975" s="7" t="str">
        <f t="shared" si="103"/>
        <v>TSS</v>
      </c>
      <c r="H975" s="7" t="str">
        <f t="shared" si="104"/>
        <v>ONE</v>
      </c>
      <c r="I975" s="7" t="str">
        <f t="shared" si="105"/>
        <v>TLT</v>
      </c>
      <c r="J975" s="7" t="str">
        <f t="shared" si="106"/>
        <v>BLK</v>
      </c>
      <c r="K975" s="7" t="str">
        <f t="shared" si="107"/>
        <v>4</v>
      </c>
      <c r="L975" s="7" t="s">
        <v>2018</v>
      </c>
      <c r="M975" s="7" t="s">
        <v>4462</v>
      </c>
      <c r="N975" s="7">
        <f>_xlfn.XLOOKUP(A975,[1]SKU!$A:$A,[1]SKU!$Z:$Z)</f>
        <v>550000</v>
      </c>
    </row>
    <row r="976" spans="1:14">
      <c r="A976" s="1" t="s">
        <v>5677</v>
      </c>
      <c r="B976" s="2" t="s">
        <v>4472</v>
      </c>
      <c r="C976" s="2" t="s">
        <v>5678</v>
      </c>
      <c r="D976" s="2" t="s">
        <v>5679</v>
      </c>
      <c r="E976" s="7" t="str">
        <f t="shared" si="108"/>
        <v>LAN</v>
      </c>
      <c r="F976" s="7" t="str">
        <f t="shared" si="102"/>
        <v>UNI</v>
      </c>
      <c r="G976" s="7" t="str">
        <f t="shared" si="103"/>
        <v>HWR</v>
      </c>
      <c r="H976" s="7" t="str">
        <f t="shared" si="104"/>
        <v>SC1</v>
      </c>
      <c r="I976" s="7" t="str">
        <f t="shared" si="105"/>
        <v>DTD</v>
      </c>
      <c r="J976" s="7" t="str">
        <f t="shared" si="106"/>
        <v>GRN</v>
      </c>
      <c r="K976" s="7" t="str">
        <f t="shared" si="107"/>
        <v>90x90</v>
      </c>
      <c r="L976" s="7">
        <v>0</v>
      </c>
      <c r="M976" s="7" t="s">
        <v>2609</v>
      </c>
      <c r="N976" s="7">
        <f>_xlfn.XLOOKUP(A976,[1]SKU!$A:$A,[1]SKU!$Z:$Z)</f>
        <v>849000</v>
      </c>
    </row>
    <row r="977" spans="1:14">
      <c r="A977" s="1" t="s">
        <v>5680</v>
      </c>
      <c r="B977" s="2" t="s">
        <v>4472</v>
      </c>
      <c r="C977" s="2" t="s">
        <v>1232</v>
      </c>
      <c r="D977" s="2" t="s">
        <v>5681</v>
      </c>
      <c r="E977" s="7" t="str">
        <f t="shared" si="108"/>
        <v>RUN</v>
      </c>
      <c r="F977" s="7" t="str">
        <f t="shared" si="102"/>
        <v>UNI</v>
      </c>
      <c r="G977" s="7" t="str">
        <f t="shared" si="103"/>
        <v>SOU</v>
      </c>
      <c r="H977" s="7" t="str">
        <f t="shared" si="104"/>
        <v>GAM</v>
      </c>
      <c r="I977" s="7" t="str">
        <f t="shared" si="105"/>
        <v>LTO</v>
      </c>
      <c r="J977" s="7" t="str">
        <f t="shared" si="106"/>
        <v>MIX</v>
      </c>
      <c r="K977" s="7" t="str">
        <f t="shared" si="107"/>
        <v>0</v>
      </c>
      <c r="L977" s="7">
        <v>0</v>
      </c>
      <c r="M977" s="7" t="s">
        <v>2609</v>
      </c>
      <c r="N977" s="7">
        <f>_xlfn.XLOOKUP(A977,[1]SKU!$A:$A,[1]SKU!$Z:$Z)</f>
        <v>1512000</v>
      </c>
    </row>
    <row r="978" spans="1:14">
      <c r="A978" s="1" t="s">
        <v>5682</v>
      </c>
      <c r="B978" s="2" t="s">
        <v>4472</v>
      </c>
      <c r="C978" s="2" t="s">
        <v>1233</v>
      </c>
      <c r="D978" s="2" t="s">
        <v>5683</v>
      </c>
      <c r="E978" s="7" t="str">
        <f t="shared" si="108"/>
        <v>DSP</v>
      </c>
      <c r="F978" s="7" t="str">
        <f t="shared" si="102"/>
        <v>UNI</v>
      </c>
      <c r="G978" s="7" t="str">
        <f t="shared" si="103"/>
        <v>ACC</v>
      </c>
      <c r="H978" s="7" t="str">
        <f t="shared" si="104"/>
        <v>KEY</v>
      </c>
      <c r="I978" s="7" t="str">
        <f t="shared" si="105"/>
        <v>DUC</v>
      </c>
      <c r="J978" s="7" t="str">
        <f t="shared" si="106"/>
        <v>DGN</v>
      </c>
      <c r="K978" s="7" t="str">
        <f t="shared" si="107"/>
        <v>0</v>
      </c>
      <c r="L978" s="7">
        <v>0</v>
      </c>
      <c r="M978" s="7" t="s">
        <v>2609</v>
      </c>
      <c r="N978" s="7">
        <f>_xlfn.XLOOKUP(A978,[1]SKU!$A:$A,[1]SKU!$Z:$Z)</f>
        <v>690000</v>
      </c>
    </row>
    <row r="979" spans="1:14">
      <c r="A979" s="1" t="s">
        <v>5684</v>
      </c>
      <c r="B979" s="2" t="s">
        <v>4472</v>
      </c>
      <c r="C979" s="2" t="s">
        <v>855</v>
      </c>
      <c r="D979" s="2" t="s">
        <v>5685</v>
      </c>
      <c r="E979" s="7" t="str">
        <f t="shared" si="108"/>
        <v>DSP</v>
      </c>
      <c r="F979" s="7" t="str">
        <f t="shared" si="102"/>
        <v>UNI</v>
      </c>
      <c r="G979" s="7" t="str">
        <f t="shared" si="103"/>
        <v>BAG</v>
      </c>
      <c r="H979" s="7" t="str">
        <f t="shared" si="104"/>
        <v>CLU</v>
      </c>
      <c r="I979" s="7" t="str">
        <f t="shared" si="105"/>
        <v>FOU</v>
      </c>
      <c r="J979" s="7" t="str">
        <f t="shared" si="106"/>
        <v>DBN</v>
      </c>
      <c r="K979" s="7" t="str">
        <f t="shared" si="107"/>
        <v>0</v>
      </c>
      <c r="L979" s="7">
        <v>0</v>
      </c>
      <c r="M979" s="7" t="s">
        <v>2609</v>
      </c>
      <c r="N979" s="7">
        <f>_xlfn.XLOOKUP(A979,[1]SKU!$A:$A,[1]SKU!$Z:$Z)</f>
        <v>1500000</v>
      </c>
    </row>
    <row r="980" spans="1:14">
      <c r="A980" s="1" t="s">
        <v>1234</v>
      </c>
      <c r="B980" s="2" t="s">
        <v>3</v>
      </c>
      <c r="C980" s="2" t="s">
        <v>38</v>
      </c>
      <c r="D980" s="2" t="s">
        <v>1235</v>
      </c>
      <c r="E980" s="7" t="str">
        <f t="shared" si="108"/>
        <v>GPI</v>
      </c>
      <c r="F980" s="7" t="str">
        <f t="shared" si="102"/>
        <v>MEN</v>
      </c>
      <c r="G980" s="7" t="str">
        <f t="shared" si="103"/>
        <v>POL</v>
      </c>
      <c r="H980" s="7" t="str">
        <f t="shared" si="104"/>
        <v>MAN</v>
      </c>
      <c r="I980" s="7" t="str">
        <f t="shared" si="105"/>
        <v>LOG</v>
      </c>
      <c r="J980" s="7" t="str">
        <f t="shared" si="106"/>
        <v>AGD</v>
      </c>
      <c r="K980" s="7" t="str">
        <f t="shared" si="107"/>
        <v>XL</v>
      </c>
      <c r="L980" s="7" t="s">
        <v>1995</v>
      </c>
      <c r="M980" s="7" t="s">
        <v>4468</v>
      </c>
      <c r="N980" s="7">
        <f>_xlfn.XLOOKUP(A980,[1]SKU!$A:$A,[1]SKU!$Z:$Z)</f>
        <v>1190000</v>
      </c>
    </row>
    <row r="981" spans="1:14">
      <c r="A981" s="1" t="s">
        <v>5686</v>
      </c>
      <c r="B981" s="2" t="s">
        <v>4472</v>
      </c>
      <c r="C981" s="2" t="s">
        <v>5687</v>
      </c>
      <c r="D981" s="2" t="s">
        <v>5688</v>
      </c>
      <c r="E981" s="7" t="str">
        <f t="shared" si="108"/>
        <v>NGO</v>
      </c>
      <c r="F981" s="7" t="str">
        <f t="shared" si="102"/>
        <v>UNI</v>
      </c>
      <c r="G981" s="7" t="str">
        <f t="shared" si="103"/>
        <v>FWR</v>
      </c>
      <c r="H981" s="7" t="str">
        <f t="shared" si="104"/>
        <v>SNE</v>
      </c>
      <c r="I981" s="7" t="str">
        <f t="shared" si="105"/>
        <v>HAI</v>
      </c>
      <c r="J981" s="7" t="str">
        <f t="shared" si="106"/>
        <v>GRB</v>
      </c>
      <c r="K981" s="7" t="str">
        <f t="shared" si="107"/>
        <v>40</v>
      </c>
      <c r="L981" s="7">
        <v>0</v>
      </c>
      <c r="M981" s="7" t="s">
        <v>2609</v>
      </c>
      <c r="N981" s="7">
        <f>_xlfn.XLOOKUP(A981,[1]SKU!$A:$A,[1]SKU!$Z:$Z)</f>
        <v>3990000</v>
      </c>
    </row>
    <row r="982" spans="1:14">
      <c r="A982" s="1" t="s">
        <v>5689</v>
      </c>
      <c r="B982" s="2" t="s">
        <v>4472</v>
      </c>
      <c r="C982" s="2" t="s">
        <v>141</v>
      </c>
      <c r="D982" s="2" t="s">
        <v>5690</v>
      </c>
      <c r="E982" s="7" t="str">
        <f t="shared" si="108"/>
        <v>DSP</v>
      </c>
      <c r="F982" s="7" t="str">
        <f t="shared" si="102"/>
        <v>UNI</v>
      </c>
      <c r="G982" s="7" t="str">
        <f t="shared" si="103"/>
        <v>BAG</v>
      </c>
      <c r="H982" s="7" t="str">
        <f t="shared" si="104"/>
        <v>CLU</v>
      </c>
      <c r="I982" s="7" t="str">
        <f t="shared" si="105"/>
        <v>CEZ</v>
      </c>
      <c r="J982" s="7" t="str">
        <f t="shared" si="106"/>
        <v>SLR</v>
      </c>
      <c r="K982" s="7" t="str">
        <f t="shared" si="107"/>
        <v>0</v>
      </c>
      <c r="L982" s="7">
        <v>0</v>
      </c>
      <c r="M982" s="7" t="s">
        <v>2609</v>
      </c>
      <c r="N982" s="7">
        <f>_xlfn.XLOOKUP(A982,[1]SKU!$A:$A,[1]SKU!$Z:$Z)</f>
        <v>2850000</v>
      </c>
    </row>
    <row r="983" spans="1:14">
      <c r="A983" s="1" t="s">
        <v>1236</v>
      </c>
      <c r="B983" s="2" t="s">
        <v>3</v>
      </c>
      <c r="C983" s="2" t="s">
        <v>26</v>
      </c>
      <c r="D983" s="2" t="s">
        <v>1237</v>
      </c>
      <c r="E983" s="7" t="str">
        <f t="shared" si="108"/>
        <v>GSL</v>
      </c>
      <c r="F983" s="7" t="str">
        <f t="shared" si="102"/>
        <v>KID</v>
      </c>
      <c r="G983" s="7" t="str">
        <f t="shared" si="103"/>
        <v>TSS</v>
      </c>
      <c r="H983" s="7" t="str">
        <f t="shared" si="104"/>
        <v>ONE</v>
      </c>
      <c r="I983" s="7" t="str">
        <f t="shared" si="105"/>
        <v>AUL</v>
      </c>
      <c r="J983" s="7" t="str">
        <f t="shared" si="106"/>
        <v>WHI</v>
      </c>
      <c r="K983" s="7" t="str">
        <f t="shared" si="107"/>
        <v>4</v>
      </c>
      <c r="L983" s="7" t="s">
        <v>2018</v>
      </c>
      <c r="M983" s="7" t="s">
        <v>4462</v>
      </c>
      <c r="N983" s="7">
        <f>_xlfn.XLOOKUP(A983,[1]SKU!$A:$A,[1]SKU!$Z:$Z)</f>
        <v>650000</v>
      </c>
    </row>
    <row r="984" spans="1:14">
      <c r="A984" s="1" t="s">
        <v>5691</v>
      </c>
      <c r="B984" s="2" t="s">
        <v>4472</v>
      </c>
      <c r="C984" s="2" t="s">
        <v>5692</v>
      </c>
      <c r="D984" s="2" t="s">
        <v>5693</v>
      </c>
      <c r="E984" s="7" t="str">
        <f t="shared" si="108"/>
        <v>EDE</v>
      </c>
      <c r="F984" s="7" t="str">
        <f t="shared" si="102"/>
        <v>UNI</v>
      </c>
      <c r="G984" s="7" t="str">
        <f t="shared" si="103"/>
        <v>BAG</v>
      </c>
      <c r="H984" s="7" t="str">
        <f t="shared" si="104"/>
        <v>TTB</v>
      </c>
      <c r="I984" s="7" t="str">
        <f t="shared" si="105"/>
        <v>THU</v>
      </c>
      <c r="J984" s="7" t="str">
        <f t="shared" si="106"/>
        <v>BLU</v>
      </c>
      <c r="K984" s="7" t="str">
        <f t="shared" si="107"/>
        <v>0</v>
      </c>
      <c r="L984" s="7">
        <v>0</v>
      </c>
      <c r="M984" s="7" t="s">
        <v>2609</v>
      </c>
      <c r="N984" s="7">
        <f>_xlfn.XLOOKUP(A984,[1]SKU!$A:$A,[1]SKU!$Z:$Z)</f>
        <v>470000</v>
      </c>
    </row>
    <row r="985" spans="1:14">
      <c r="A985" s="1" t="s">
        <v>1238</v>
      </c>
      <c r="B985" s="2" t="s">
        <v>3</v>
      </c>
      <c r="C985" s="2" t="s">
        <v>314</v>
      </c>
      <c r="D985" s="2" t="s">
        <v>1239</v>
      </c>
      <c r="E985" s="7" t="str">
        <f t="shared" si="108"/>
        <v>GBA</v>
      </c>
      <c r="F985" s="7" t="str">
        <f t="shared" si="102"/>
        <v>MEN</v>
      </c>
      <c r="G985" s="7" t="str">
        <f t="shared" si="103"/>
        <v>TSP</v>
      </c>
      <c r="H985" s="7" t="str">
        <f t="shared" si="104"/>
        <v>ONE</v>
      </c>
      <c r="I985" s="7" t="str">
        <f t="shared" si="105"/>
        <v>XLO</v>
      </c>
      <c r="J985" s="7" t="str">
        <f t="shared" si="106"/>
        <v>WHI</v>
      </c>
      <c r="K985" s="7" t="str">
        <f t="shared" si="107"/>
        <v>M</v>
      </c>
      <c r="L985" s="7" t="s">
        <v>2085</v>
      </c>
      <c r="M985" s="7" t="s">
        <v>4462</v>
      </c>
      <c r="N985" s="7">
        <f>_xlfn.XLOOKUP(A985,[1]SKU!$A:$A,[1]SKU!$Z:$Z)</f>
        <v>710000</v>
      </c>
    </row>
    <row r="986" spans="1:14">
      <c r="A986" s="1" t="s">
        <v>5694</v>
      </c>
      <c r="B986" s="2" t="s">
        <v>69</v>
      </c>
      <c r="C986" s="2" t="s">
        <v>1240</v>
      </c>
      <c r="D986" s="2" t="s">
        <v>5695</v>
      </c>
      <c r="E986" s="7" t="str">
        <f t="shared" si="108"/>
        <v>GCF</v>
      </c>
      <c r="F986" s="7" t="str">
        <f t="shared" si="102"/>
        <v>UNI</v>
      </c>
      <c r="G986" s="7" t="str">
        <f t="shared" si="103"/>
        <v>FNB</v>
      </c>
      <c r="H986" s="7" t="str">
        <f t="shared" si="104"/>
        <v>CFO</v>
      </c>
      <c r="I986" s="7" t="str">
        <f t="shared" si="105"/>
        <v>SPT</v>
      </c>
      <c r="J986" s="7" t="str">
        <f t="shared" si="106"/>
        <v>MIX</v>
      </c>
      <c r="K986" s="7" t="str">
        <f t="shared" si="107"/>
        <v>0</v>
      </c>
      <c r="L986" s="7">
        <v>0</v>
      </c>
      <c r="M986" s="7" t="s">
        <v>2609</v>
      </c>
      <c r="N986" s="7">
        <f>_xlfn.XLOOKUP(A986,[1]SKU!$A:$A,[1]SKU!$Z:$Z)</f>
        <v>75000</v>
      </c>
    </row>
    <row r="987" spans="1:14">
      <c r="A987" s="1" t="s">
        <v>1241</v>
      </c>
      <c r="B987" s="2" t="s">
        <v>3</v>
      </c>
      <c r="C987" s="2" t="s">
        <v>137</v>
      </c>
      <c r="D987" s="2" t="s">
        <v>1242</v>
      </c>
      <c r="E987" s="7" t="str">
        <f t="shared" si="108"/>
        <v>GBA</v>
      </c>
      <c r="F987" s="7" t="str">
        <f t="shared" si="102"/>
        <v>WOM</v>
      </c>
      <c r="G987" s="7" t="str">
        <f t="shared" si="103"/>
        <v>PZE</v>
      </c>
      <c r="H987" s="7" t="str">
        <f t="shared" si="104"/>
        <v>ONE</v>
      </c>
      <c r="I987" s="7" t="str">
        <f t="shared" si="105"/>
        <v>HHA</v>
      </c>
      <c r="J987" s="7" t="str">
        <f t="shared" si="106"/>
        <v>WHI</v>
      </c>
      <c r="K987" s="7" t="str">
        <f t="shared" si="107"/>
        <v>S</v>
      </c>
      <c r="L987" s="7" t="s">
        <v>2167</v>
      </c>
      <c r="M987" s="7" t="s">
        <v>2167</v>
      </c>
      <c r="N987" s="7">
        <f>_xlfn.XLOOKUP(A987,[1]SKU!$A:$A,[1]SKU!$Z:$Z)</f>
        <v>890000</v>
      </c>
    </row>
    <row r="988" spans="1:14">
      <c r="A988" s="1" t="s">
        <v>5696</v>
      </c>
      <c r="B988" s="2" t="s">
        <v>4472</v>
      </c>
      <c r="C988" s="2" t="s">
        <v>468</v>
      </c>
      <c r="D988" s="2" t="s">
        <v>5697</v>
      </c>
      <c r="E988" s="7" t="str">
        <f t="shared" si="108"/>
        <v>DSP</v>
      </c>
      <c r="F988" s="7" t="str">
        <f t="shared" ref="F988:F1051" si="109">_xlfn.TEXTBEFORE(_xlfn.TEXTAFTER(D988,"-",2),"-")</f>
        <v>UNI</v>
      </c>
      <c r="G988" s="7" t="str">
        <f t="shared" ref="G988:G1051" si="110">_xlfn.TEXTBEFORE(_xlfn.TEXTAFTER(D988,"-",3),"-")</f>
        <v>FWR</v>
      </c>
      <c r="H988" s="7" t="str">
        <f t="shared" ref="H988:H1051" si="111">_xlfn.TEXTBEFORE(_xlfn.TEXTAFTER(D988,"-",4),"-")</f>
        <v>LES</v>
      </c>
      <c r="I988" s="7" t="str">
        <f t="shared" ref="I988:I1051" si="112">_xlfn.TEXTBEFORE(_xlfn.TEXTAFTER(D988,"-",5),"-")</f>
        <v>BYR</v>
      </c>
      <c r="J988" s="7" t="str">
        <f t="shared" ref="J988:J1051" si="113">_xlfn.TEXTBEFORE(_xlfn.TEXTAFTER(D988,"-",6),"-")</f>
        <v>BLU</v>
      </c>
      <c r="K988" s="7" t="str">
        <f t="shared" ref="K988:K1051" si="114">_xlfn.TEXTAFTER(D988,"-",7)</f>
        <v>40</v>
      </c>
      <c r="L988" s="7">
        <v>0</v>
      </c>
      <c r="M988" s="7" t="s">
        <v>2609</v>
      </c>
      <c r="N988" s="7">
        <f>_xlfn.XLOOKUP(A988,[1]SKU!$A:$A,[1]SKU!$Z:$Z)</f>
        <v>8250000</v>
      </c>
    </row>
    <row r="989" spans="1:14">
      <c r="A989" s="1" t="s">
        <v>5698</v>
      </c>
      <c r="B989" s="2" t="s">
        <v>4472</v>
      </c>
      <c r="C989" s="2" t="s">
        <v>5019</v>
      </c>
      <c r="D989" s="2" t="s">
        <v>5699</v>
      </c>
      <c r="E989" s="7" t="str">
        <f t="shared" si="108"/>
        <v>HAM</v>
      </c>
      <c r="F989" s="7" t="str">
        <f t="shared" si="109"/>
        <v>UNI</v>
      </c>
      <c r="G989" s="7" t="str">
        <f t="shared" si="110"/>
        <v>JEW</v>
      </c>
      <c r="H989" s="7" t="str">
        <f t="shared" si="111"/>
        <v>NEC</v>
      </c>
      <c r="I989" s="7" t="str">
        <f t="shared" si="112"/>
        <v>098</v>
      </c>
      <c r="J989" s="7" t="str">
        <f t="shared" si="113"/>
        <v>MIX</v>
      </c>
      <c r="K989" s="7" t="str">
        <f t="shared" si="114"/>
        <v>0</v>
      </c>
      <c r="L989" s="7">
        <v>0</v>
      </c>
      <c r="M989" s="7" t="s">
        <v>2609</v>
      </c>
      <c r="N989" s="7">
        <f>_xlfn.XLOOKUP(A989,[1]SKU!$A:$A,[1]SKU!$Z:$Z)</f>
        <v>4400000</v>
      </c>
    </row>
    <row r="990" spans="1:14">
      <c r="A990" s="1" t="s">
        <v>1244</v>
      </c>
      <c r="B990" s="2" t="s">
        <v>3</v>
      </c>
      <c r="C990" s="2" t="s">
        <v>455</v>
      </c>
      <c r="D990" s="2" t="s">
        <v>1245</v>
      </c>
      <c r="E990" s="7" t="str">
        <f t="shared" si="108"/>
        <v>GOR</v>
      </c>
      <c r="F990" s="7" t="str">
        <f t="shared" si="109"/>
        <v>MEN</v>
      </c>
      <c r="G990" s="7" t="str">
        <f t="shared" si="110"/>
        <v>TSS</v>
      </c>
      <c r="H990" s="7" t="str">
        <f t="shared" si="111"/>
        <v>ONE</v>
      </c>
      <c r="I990" s="7" t="str">
        <f t="shared" si="112"/>
        <v>RTE</v>
      </c>
      <c r="J990" s="7" t="str">
        <f t="shared" si="113"/>
        <v>BLK</v>
      </c>
      <c r="K990" s="7" t="str">
        <f t="shared" si="114"/>
        <v>XXL</v>
      </c>
      <c r="L990" s="7" t="s">
        <v>2018</v>
      </c>
      <c r="M990" s="7" t="s">
        <v>4462</v>
      </c>
      <c r="N990" s="7">
        <f>_xlfn.XLOOKUP(A990,[1]SKU!$A:$A,[1]SKU!$Z:$Z)</f>
        <v>990000</v>
      </c>
    </row>
    <row r="991" spans="1:14">
      <c r="A991" s="1" t="s">
        <v>1246</v>
      </c>
      <c r="B991" s="2" t="s">
        <v>3</v>
      </c>
      <c r="C991" s="2" t="s">
        <v>38</v>
      </c>
      <c r="D991" s="2" t="s">
        <v>1247</v>
      </c>
      <c r="E991" s="7" t="str">
        <f t="shared" si="108"/>
        <v>GSP</v>
      </c>
      <c r="F991" s="7" t="str">
        <f t="shared" si="109"/>
        <v>MEN</v>
      </c>
      <c r="G991" s="7" t="str">
        <f t="shared" si="110"/>
        <v>POL</v>
      </c>
      <c r="H991" s="7" t="str">
        <f t="shared" si="111"/>
        <v>MAN</v>
      </c>
      <c r="I991" s="7" t="str">
        <f t="shared" si="112"/>
        <v>LOG</v>
      </c>
      <c r="J991" s="7" t="str">
        <f t="shared" si="113"/>
        <v>BLK</v>
      </c>
      <c r="K991" s="7" t="str">
        <f t="shared" si="114"/>
        <v>XXL</v>
      </c>
      <c r="L991" s="7" t="s">
        <v>1995</v>
      </c>
      <c r="M991" s="7" t="s">
        <v>4468</v>
      </c>
      <c r="N991" s="7">
        <f>_xlfn.XLOOKUP(A991,[1]SKU!$A:$A,[1]SKU!$Z:$Z)</f>
        <v>1090000</v>
      </c>
    </row>
    <row r="992" spans="1:14">
      <c r="A992" s="1" t="s">
        <v>5700</v>
      </c>
      <c r="B992" s="2" t="s">
        <v>4472</v>
      </c>
      <c r="C992" s="2" t="s">
        <v>1248</v>
      </c>
      <c r="D992" s="2" t="s">
        <v>5701</v>
      </c>
      <c r="E992" s="7" t="str">
        <f t="shared" si="108"/>
        <v>DSP</v>
      </c>
      <c r="F992" s="7" t="str">
        <f t="shared" si="109"/>
        <v>UNI</v>
      </c>
      <c r="G992" s="7" t="str">
        <f t="shared" si="110"/>
        <v>FWR</v>
      </c>
      <c r="H992" s="7" t="str">
        <f t="shared" si="111"/>
        <v>HDB</v>
      </c>
      <c r="I992" s="7" t="str">
        <f t="shared" si="112"/>
        <v>WAT</v>
      </c>
      <c r="J992" s="7" t="str">
        <f t="shared" si="113"/>
        <v>DBP</v>
      </c>
      <c r="K992" s="7" t="str">
        <f t="shared" si="114"/>
        <v>38</v>
      </c>
      <c r="L992" s="7">
        <v>0</v>
      </c>
      <c r="M992" s="7" t="s">
        <v>2609</v>
      </c>
      <c r="N992" s="7">
        <f>_xlfn.XLOOKUP(A992,[1]SKU!$A:$A,[1]SKU!$Z:$Z)</f>
        <v>7500000</v>
      </c>
    </row>
    <row r="993" spans="1:14">
      <c r="A993" s="1" t="s">
        <v>5702</v>
      </c>
      <c r="B993" s="2" t="s">
        <v>4472</v>
      </c>
      <c r="C993" s="2" t="s">
        <v>1249</v>
      </c>
      <c r="D993" s="2" t="s">
        <v>5703</v>
      </c>
      <c r="E993" s="7" t="str">
        <f t="shared" si="108"/>
        <v>ODE</v>
      </c>
      <c r="F993" s="7" t="str">
        <f t="shared" si="109"/>
        <v>UNI</v>
      </c>
      <c r="G993" s="7" t="str">
        <f t="shared" si="110"/>
        <v>COS</v>
      </c>
      <c r="H993" s="7" t="str">
        <f t="shared" si="111"/>
        <v>BCE</v>
      </c>
      <c r="I993" s="7" t="str">
        <f t="shared" si="112"/>
        <v>D04</v>
      </c>
      <c r="J993" s="7" t="str">
        <f t="shared" si="113"/>
        <v>NON</v>
      </c>
      <c r="K993" s="7" t="str">
        <f t="shared" si="114"/>
        <v>0</v>
      </c>
      <c r="L993" s="7">
        <v>0</v>
      </c>
      <c r="M993" s="7" t="s">
        <v>2609</v>
      </c>
      <c r="N993" s="7">
        <f>_xlfn.XLOOKUP(A993,[1]SKU!$A:$A,[1]SKU!$Z:$Z)</f>
        <v>215000</v>
      </c>
    </row>
    <row r="994" spans="1:14">
      <c r="A994" s="1" t="s">
        <v>5704</v>
      </c>
      <c r="B994" s="2" t="s">
        <v>4472</v>
      </c>
      <c r="C994" s="2" t="s">
        <v>1250</v>
      </c>
      <c r="D994" s="2" t="s">
        <v>5705</v>
      </c>
      <c r="E994" s="7" t="str">
        <f t="shared" si="108"/>
        <v>TKC</v>
      </c>
      <c r="F994" s="7" t="str">
        <f t="shared" si="109"/>
        <v>UNI</v>
      </c>
      <c r="G994" s="7" t="str">
        <f t="shared" si="110"/>
        <v>FNB</v>
      </c>
      <c r="H994" s="7" t="str">
        <f t="shared" si="111"/>
        <v>CFP</v>
      </c>
      <c r="I994" s="7" t="str">
        <f t="shared" si="112"/>
        <v>ROB</v>
      </c>
      <c r="J994" s="7" t="str">
        <f t="shared" si="113"/>
        <v>NON</v>
      </c>
      <c r="K994" s="7" t="str">
        <f t="shared" si="114"/>
        <v>250g</v>
      </c>
      <c r="L994" s="7">
        <v>0</v>
      </c>
      <c r="M994" s="7" t="s">
        <v>2609</v>
      </c>
      <c r="N994" s="7">
        <f>_xlfn.XLOOKUP(A994,[1]SKU!$A:$A,[1]SKU!$Z:$Z)</f>
        <v>235000</v>
      </c>
    </row>
    <row r="995" spans="1:14">
      <c r="A995" s="1" t="s">
        <v>1251</v>
      </c>
      <c r="B995" s="2" t="s">
        <v>3</v>
      </c>
      <c r="C995" s="2" t="s">
        <v>358</v>
      </c>
      <c r="D995" s="2" t="s">
        <v>1252</v>
      </c>
      <c r="E995" s="7" t="str">
        <f t="shared" si="108"/>
        <v>GOR</v>
      </c>
      <c r="F995" s="7" t="str">
        <f t="shared" si="109"/>
        <v>MEN</v>
      </c>
      <c r="G995" s="7" t="str">
        <f t="shared" si="110"/>
        <v>TSS</v>
      </c>
      <c r="H995" s="7" t="str">
        <f t="shared" si="111"/>
        <v>HNE</v>
      </c>
      <c r="I995" s="7" t="str">
        <f t="shared" si="112"/>
        <v>THB</v>
      </c>
      <c r="J995" s="7" t="str">
        <f t="shared" si="113"/>
        <v>WHI</v>
      </c>
      <c r="K995" s="7" t="str">
        <f t="shared" si="114"/>
        <v>M</v>
      </c>
      <c r="L995" s="7" t="s">
        <v>2018</v>
      </c>
      <c r="M995" s="7" t="s">
        <v>4462</v>
      </c>
      <c r="N995" s="7">
        <f>_xlfn.XLOOKUP(A995,[1]SKU!$A:$A,[1]SKU!$Z:$Z)</f>
        <v>1190000</v>
      </c>
    </row>
    <row r="996" spans="1:14">
      <c r="A996" s="1" t="s">
        <v>5706</v>
      </c>
      <c r="B996" s="2" t="s">
        <v>4472</v>
      </c>
      <c r="C996" s="2" t="s">
        <v>5707</v>
      </c>
      <c r="D996" s="2" t="s">
        <v>5708</v>
      </c>
      <c r="E996" s="7" t="str">
        <f t="shared" si="108"/>
        <v>HAM</v>
      </c>
      <c r="F996" s="7" t="str">
        <f t="shared" si="109"/>
        <v>UNI</v>
      </c>
      <c r="G996" s="7" t="str">
        <f t="shared" si="110"/>
        <v>JEW</v>
      </c>
      <c r="H996" s="7" t="str">
        <f t="shared" si="111"/>
        <v>NEC</v>
      </c>
      <c r="I996" s="7" t="str">
        <f t="shared" si="112"/>
        <v>A43</v>
      </c>
      <c r="J996" s="7" t="str">
        <f t="shared" si="113"/>
        <v>MIX</v>
      </c>
      <c r="K996" s="7" t="str">
        <f t="shared" si="114"/>
        <v>0</v>
      </c>
      <c r="L996" s="7">
        <v>0</v>
      </c>
      <c r="M996" s="7" t="s">
        <v>2609</v>
      </c>
      <c r="N996" s="7">
        <f>_xlfn.XLOOKUP(A996,[1]SKU!$A:$A,[1]SKU!$Z:$Z)</f>
        <v>3000000</v>
      </c>
    </row>
    <row r="997" spans="1:14">
      <c r="A997" s="1" t="s">
        <v>1254</v>
      </c>
      <c r="B997" s="2" t="s">
        <v>3</v>
      </c>
      <c r="C997" s="2" t="s">
        <v>236</v>
      </c>
      <c r="D997" s="2" t="s">
        <v>1255</v>
      </c>
      <c r="E997" s="7" t="str">
        <f t="shared" si="108"/>
        <v>GOR</v>
      </c>
      <c r="F997" s="7" t="str">
        <f t="shared" si="109"/>
        <v>MEN</v>
      </c>
      <c r="G997" s="7" t="str">
        <f t="shared" si="110"/>
        <v>TSS</v>
      </c>
      <c r="H997" s="7" t="str">
        <f t="shared" si="111"/>
        <v>ONE</v>
      </c>
      <c r="I997" s="7" t="str">
        <f t="shared" si="112"/>
        <v>STA</v>
      </c>
      <c r="J997" s="7" t="str">
        <f t="shared" si="113"/>
        <v>RED</v>
      </c>
      <c r="K997" s="7" t="str">
        <f t="shared" si="114"/>
        <v>M</v>
      </c>
      <c r="L997" s="7" t="s">
        <v>2018</v>
      </c>
      <c r="M997" s="7" t="s">
        <v>4462</v>
      </c>
      <c r="N997" s="7">
        <f>_xlfn.XLOOKUP(A997,[1]SKU!$A:$A,[1]SKU!$Z:$Z)</f>
        <v>790000</v>
      </c>
    </row>
    <row r="998" spans="1:14">
      <c r="A998" s="1" t="s">
        <v>5709</v>
      </c>
      <c r="B998" s="2" t="s">
        <v>4481</v>
      </c>
      <c r="C998" s="2" t="s">
        <v>1256</v>
      </c>
      <c r="D998" s="2" t="s">
        <v>5710</v>
      </c>
      <c r="E998" s="7" t="str">
        <f t="shared" si="108"/>
        <v>PAS</v>
      </c>
      <c r="F998" s="7" t="str">
        <f t="shared" si="109"/>
        <v>UNI</v>
      </c>
      <c r="G998" s="7" t="str">
        <f t="shared" si="110"/>
        <v>ART</v>
      </c>
      <c r="H998" s="7" t="str">
        <f t="shared" si="111"/>
        <v>ART</v>
      </c>
      <c r="I998" s="7" t="str">
        <f t="shared" si="112"/>
        <v>RTT</v>
      </c>
      <c r="J998" s="7" t="str">
        <f t="shared" si="113"/>
        <v>MIX</v>
      </c>
      <c r="K998" s="7" t="str">
        <f t="shared" si="114"/>
        <v>A5</v>
      </c>
      <c r="L998" s="7">
        <v>0</v>
      </c>
      <c r="M998" s="7" t="s">
        <v>2609</v>
      </c>
      <c r="N998" s="7">
        <f>_xlfn.XLOOKUP(A998,[1]SKU!$A:$A,[1]SKU!$Z:$Z)</f>
        <v>1800000</v>
      </c>
    </row>
    <row r="999" spans="1:14">
      <c r="A999" s="1" t="s">
        <v>5711</v>
      </c>
      <c r="B999" s="2" t="s">
        <v>4472</v>
      </c>
      <c r="C999" s="2" t="s">
        <v>51</v>
      </c>
      <c r="D999" s="2" t="s">
        <v>5712</v>
      </c>
      <c r="E999" s="7" t="str">
        <f t="shared" si="108"/>
        <v>DSP</v>
      </c>
      <c r="F999" s="7" t="str">
        <f t="shared" si="109"/>
        <v>UNI</v>
      </c>
      <c r="G999" s="7" t="str">
        <f t="shared" si="110"/>
        <v>BAG</v>
      </c>
      <c r="H999" s="7" t="str">
        <f t="shared" si="111"/>
        <v>CHR</v>
      </c>
      <c r="I999" s="7" t="str">
        <f t="shared" si="112"/>
        <v>SCH</v>
      </c>
      <c r="J999" s="7" t="str">
        <f t="shared" si="113"/>
        <v>GPA</v>
      </c>
      <c r="K999" s="7" t="str">
        <f t="shared" si="114"/>
        <v>0</v>
      </c>
      <c r="L999" s="7">
        <v>0</v>
      </c>
      <c r="M999" s="7" t="s">
        <v>2609</v>
      </c>
      <c r="N999" s="7">
        <f>_xlfn.XLOOKUP(A999,[1]SKU!$A:$A,[1]SKU!$Z:$Z)</f>
        <v>1150000</v>
      </c>
    </row>
    <row r="1000" spans="1:14">
      <c r="A1000" s="1" t="s">
        <v>1257</v>
      </c>
      <c r="B1000" s="2" t="s">
        <v>19</v>
      </c>
      <c r="C1000" s="2" t="s">
        <v>33</v>
      </c>
      <c r="D1000" s="2" t="s">
        <v>1258</v>
      </c>
      <c r="E1000" s="7" t="str">
        <f t="shared" si="108"/>
        <v>OTH</v>
      </c>
      <c r="F1000" s="7" t="str">
        <f t="shared" si="109"/>
        <v>UNI</v>
      </c>
      <c r="G1000" s="7" t="str">
        <f t="shared" si="110"/>
        <v>HDR</v>
      </c>
      <c r="H1000" s="7" t="str">
        <f t="shared" si="111"/>
        <v>COA</v>
      </c>
      <c r="I1000" s="7" t="str">
        <f t="shared" si="112"/>
        <v>VTM</v>
      </c>
      <c r="J1000" s="7" t="str">
        <f t="shared" si="113"/>
        <v>WHI</v>
      </c>
      <c r="K1000" s="7" t="str">
        <f t="shared" si="114"/>
        <v>0</v>
      </c>
      <c r="L1000" s="7">
        <v>0</v>
      </c>
      <c r="M1000" s="7" t="s">
        <v>2609</v>
      </c>
      <c r="N1000" s="7">
        <f>_xlfn.XLOOKUP(A1000,[1]SKU!$A:$A,[1]SKU!$Z:$Z)</f>
        <v>380000</v>
      </c>
    </row>
    <row r="1001" spans="1:14">
      <c r="A1001" s="1" t="s">
        <v>1259</v>
      </c>
      <c r="B1001" s="2" t="s">
        <v>3</v>
      </c>
      <c r="C1001" s="2" t="s">
        <v>233</v>
      </c>
      <c r="D1001" s="2" t="s">
        <v>1260</v>
      </c>
      <c r="E1001" s="7" t="str">
        <f t="shared" si="108"/>
        <v>GBA</v>
      </c>
      <c r="F1001" s="7" t="str">
        <f t="shared" si="109"/>
        <v>MEN</v>
      </c>
      <c r="G1001" s="7" t="str">
        <f t="shared" si="110"/>
        <v>TSS</v>
      </c>
      <c r="H1001" s="7" t="str">
        <f t="shared" si="111"/>
        <v>ONE</v>
      </c>
      <c r="I1001" s="7" t="str">
        <f t="shared" si="112"/>
        <v>SMR</v>
      </c>
      <c r="J1001" s="7" t="str">
        <f t="shared" si="113"/>
        <v>WHI</v>
      </c>
      <c r="K1001" s="7" t="str">
        <f t="shared" si="114"/>
        <v>M</v>
      </c>
      <c r="L1001" s="7" t="s">
        <v>2018</v>
      </c>
      <c r="M1001" s="7" t="s">
        <v>4462</v>
      </c>
      <c r="N1001" s="7">
        <f>_xlfn.XLOOKUP(A1001,[1]SKU!$A:$A,[1]SKU!$Z:$Z)</f>
        <v>710000</v>
      </c>
    </row>
    <row r="1002" spans="1:14">
      <c r="A1002" s="1" t="s">
        <v>5713</v>
      </c>
      <c r="B1002" s="2" t="s">
        <v>4472</v>
      </c>
      <c r="C1002" s="2" t="s">
        <v>5714</v>
      </c>
      <c r="D1002" s="2" t="s">
        <v>5715</v>
      </c>
      <c r="E1002" s="7" t="str">
        <f t="shared" si="108"/>
        <v>TOH</v>
      </c>
      <c r="F1002" s="7" t="str">
        <f t="shared" si="109"/>
        <v>UNI</v>
      </c>
      <c r="G1002" s="7" t="str">
        <f t="shared" si="110"/>
        <v>BAG</v>
      </c>
      <c r="H1002" s="7" t="str">
        <f t="shared" si="111"/>
        <v>DRB</v>
      </c>
      <c r="I1002" s="7" t="str">
        <f t="shared" si="112"/>
        <v>AB2</v>
      </c>
      <c r="J1002" s="7" t="str">
        <f t="shared" si="113"/>
        <v>MIX</v>
      </c>
      <c r="K1002" s="7" t="str">
        <f t="shared" si="114"/>
        <v>S</v>
      </c>
      <c r="L1002" s="7">
        <v>0</v>
      </c>
      <c r="M1002" s="7" t="s">
        <v>2609</v>
      </c>
      <c r="N1002" s="7">
        <f>_xlfn.XLOOKUP(A1002,[1]SKU!$A:$A,[1]SKU!$Z:$Z)</f>
        <v>240000</v>
      </c>
    </row>
    <row r="1003" spans="1:14">
      <c r="A1003" s="1" t="s">
        <v>5716</v>
      </c>
      <c r="B1003" s="2" t="s">
        <v>4472</v>
      </c>
      <c r="C1003" s="2" t="s">
        <v>4507</v>
      </c>
      <c r="D1003" s="2" t="s">
        <v>5717</v>
      </c>
      <c r="E1003" s="7" t="str">
        <f t="shared" si="108"/>
        <v>HAM</v>
      </c>
      <c r="F1003" s="7" t="str">
        <f t="shared" si="109"/>
        <v>UNI</v>
      </c>
      <c r="G1003" s="7" t="str">
        <f t="shared" si="110"/>
        <v>JEW</v>
      </c>
      <c r="H1003" s="7" t="str">
        <f t="shared" si="111"/>
        <v>NEC</v>
      </c>
      <c r="I1003" s="7" t="str">
        <f t="shared" si="112"/>
        <v>L31</v>
      </c>
      <c r="J1003" s="7" t="str">
        <f t="shared" si="113"/>
        <v>MIX</v>
      </c>
      <c r="K1003" s="7" t="str">
        <f t="shared" si="114"/>
        <v>0</v>
      </c>
      <c r="L1003" s="7">
        <v>0</v>
      </c>
      <c r="M1003" s="7" t="s">
        <v>2609</v>
      </c>
      <c r="N1003" s="7">
        <f>_xlfn.XLOOKUP(A1003,[1]SKU!$A:$A,[1]SKU!$Z:$Z)</f>
        <v>1800000</v>
      </c>
    </row>
    <row r="1004" spans="1:14">
      <c r="A1004" s="1" t="s">
        <v>5718</v>
      </c>
      <c r="B1004" s="2" t="s">
        <v>4472</v>
      </c>
      <c r="C1004" s="2" t="s">
        <v>827</v>
      </c>
      <c r="D1004" s="2" t="s">
        <v>5719</v>
      </c>
      <c r="E1004" s="7" t="str">
        <f t="shared" si="108"/>
        <v>DSP</v>
      </c>
      <c r="F1004" s="7" t="str">
        <f t="shared" si="109"/>
        <v>UNI</v>
      </c>
      <c r="G1004" s="7" t="str">
        <f t="shared" si="110"/>
        <v>BAG</v>
      </c>
      <c r="H1004" s="7" t="str">
        <f t="shared" si="111"/>
        <v>CHR</v>
      </c>
      <c r="I1004" s="7" t="str">
        <f t="shared" si="112"/>
        <v>BRE</v>
      </c>
      <c r="J1004" s="7" t="str">
        <f t="shared" si="113"/>
        <v>SLR</v>
      </c>
      <c r="K1004" s="7" t="str">
        <f t="shared" si="114"/>
        <v>0</v>
      </c>
      <c r="L1004" s="7">
        <v>0</v>
      </c>
      <c r="M1004" s="7" t="s">
        <v>2609</v>
      </c>
      <c r="N1004" s="7">
        <f>_xlfn.XLOOKUP(A1004,[1]SKU!$A:$A,[1]SKU!$Z:$Z)</f>
        <v>1500000</v>
      </c>
    </row>
    <row r="1005" spans="1:14">
      <c r="A1005" s="1" t="s">
        <v>1262</v>
      </c>
      <c r="B1005" s="2" t="s">
        <v>3</v>
      </c>
      <c r="C1005" s="2" t="s">
        <v>262</v>
      </c>
      <c r="D1005" s="2" t="s">
        <v>1263</v>
      </c>
      <c r="E1005" s="7" t="str">
        <f t="shared" si="108"/>
        <v>GBA</v>
      </c>
      <c r="F1005" s="7" t="str">
        <f t="shared" si="109"/>
        <v>MEN</v>
      </c>
      <c r="G1005" s="7" t="str">
        <f t="shared" si="110"/>
        <v>TSS</v>
      </c>
      <c r="H1005" s="7" t="str">
        <f t="shared" si="111"/>
        <v>ONE</v>
      </c>
      <c r="I1005" s="7" t="str">
        <f t="shared" si="112"/>
        <v>XLO</v>
      </c>
      <c r="J1005" s="7" t="str">
        <f t="shared" si="113"/>
        <v>BLK</v>
      </c>
      <c r="K1005" s="7" t="str">
        <f t="shared" si="114"/>
        <v>M</v>
      </c>
      <c r="L1005" s="7" t="s">
        <v>2018</v>
      </c>
      <c r="M1005" s="7" t="s">
        <v>4462</v>
      </c>
      <c r="N1005" s="7">
        <f>_xlfn.XLOOKUP(A1005,[1]SKU!$A:$A,[1]SKU!$Z:$Z)</f>
        <v>710000</v>
      </c>
    </row>
    <row r="1006" spans="1:14">
      <c r="A1006" s="1" t="s">
        <v>1264</v>
      </c>
      <c r="B1006" s="2" t="s">
        <v>3</v>
      </c>
      <c r="C1006" s="2" t="s">
        <v>119</v>
      </c>
      <c r="D1006" s="2" t="s">
        <v>1265</v>
      </c>
      <c r="E1006" s="7" t="str">
        <f t="shared" si="108"/>
        <v>GBA</v>
      </c>
      <c r="F1006" s="7" t="str">
        <f t="shared" si="109"/>
        <v>MEN</v>
      </c>
      <c r="G1006" s="7" t="str">
        <f t="shared" si="110"/>
        <v>TSS</v>
      </c>
      <c r="H1006" s="7" t="str">
        <f t="shared" si="111"/>
        <v>ONE</v>
      </c>
      <c r="I1006" s="7" t="str">
        <f t="shared" si="112"/>
        <v>VNW</v>
      </c>
      <c r="J1006" s="7" t="str">
        <f t="shared" si="113"/>
        <v>WHI</v>
      </c>
      <c r="K1006" s="7" t="str">
        <f t="shared" si="114"/>
        <v>L</v>
      </c>
      <c r="L1006" s="7" t="s">
        <v>2018</v>
      </c>
      <c r="M1006" s="7" t="s">
        <v>4462</v>
      </c>
      <c r="N1006" s="7">
        <f>_xlfn.XLOOKUP(A1006,[1]SKU!$A:$A,[1]SKU!$Z:$Z)</f>
        <v>1590000</v>
      </c>
    </row>
    <row r="1007" spans="1:14">
      <c r="A1007" s="1" t="s">
        <v>1266</v>
      </c>
      <c r="B1007" s="2" t="s">
        <v>3</v>
      </c>
      <c r="C1007" s="2" t="s">
        <v>311</v>
      </c>
      <c r="D1007" s="2" t="s">
        <v>1267</v>
      </c>
      <c r="E1007" s="7" t="str">
        <f t="shared" si="108"/>
        <v>GSL</v>
      </c>
      <c r="F1007" s="7" t="str">
        <f t="shared" si="109"/>
        <v>WOM</v>
      </c>
      <c r="G1007" s="7" t="str">
        <f t="shared" si="110"/>
        <v>APP</v>
      </c>
      <c r="H1007" s="7" t="str">
        <f t="shared" si="111"/>
        <v>BNE</v>
      </c>
      <c r="I1007" s="7" t="str">
        <f t="shared" si="112"/>
        <v>GL2</v>
      </c>
      <c r="J1007" s="7" t="str">
        <f t="shared" si="113"/>
        <v>GPE</v>
      </c>
      <c r="K1007" s="7" t="str">
        <f t="shared" si="114"/>
        <v>XL</v>
      </c>
      <c r="L1007" s="7" t="s">
        <v>2117</v>
      </c>
      <c r="M1007" s="7" t="s">
        <v>2117</v>
      </c>
      <c r="N1007" s="7">
        <f>_xlfn.XLOOKUP(A1007,[1]SKU!$A:$A,[1]SKU!$Z:$Z)</f>
        <v>750000</v>
      </c>
    </row>
    <row r="1008" spans="1:14">
      <c r="A1008" s="1" t="s">
        <v>1268</v>
      </c>
      <c r="B1008" s="2" t="s">
        <v>3</v>
      </c>
      <c r="C1008" s="2" t="s">
        <v>81</v>
      </c>
      <c r="D1008" s="2" t="s">
        <v>1269</v>
      </c>
      <c r="E1008" s="7" t="str">
        <f t="shared" si="108"/>
        <v>GCV</v>
      </c>
      <c r="F1008" s="7" t="str">
        <f t="shared" si="109"/>
        <v>MEN</v>
      </c>
      <c r="G1008" s="7" t="str">
        <f t="shared" si="110"/>
        <v>SIS</v>
      </c>
      <c r="H1008" s="7" t="str">
        <f t="shared" si="111"/>
        <v>BUT</v>
      </c>
      <c r="I1008" s="7" t="str">
        <f t="shared" si="112"/>
        <v>JUN</v>
      </c>
      <c r="J1008" s="7" t="str">
        <f t="shared" si="113"/>
        <v>WHI</v>
      </c>
      <c r="K1008" s="7" t="str">
        <f t="shared" si="114"/>
        <v>S</v>
      </c>
      <c r="L1008" s="7" t="s">
        <v>2211</v>
      </c>
      <c r="M1008" s="7" t="s">
        <v>4464</v>
      </c>
      <c r="N1008" s="7">
        <f>_xlfn.XLOOKUP(A1008,[1]SKU!$A:$A,[1]SKU!$Z:$Z)</f>
        <v>1790000</v>
      </c>
    </row>
    <row r="1009" spans="1:14">
      <c r="A1009" s="1" t="s">
        <v>1270</v>
      </c>
      <c r="B1009" s="2" t="s">
        <v>3</v>
      </c>
      <c r="C1009" s="2" t="s">
        <v>311</v>
      </c>
      <c r="D1009" s="2" t="s">
        <v>1271</v>
      </c>
      <c r="E1009" s="7" t="str">
        <f t="shared" si="108"/>
        <v>GSL</v>
      </c>
      <c r="F1009" s="7" t="str">
        <f t="shared" si="109"/>
        <v>WOM</v>
      </c>
      <c r="G1009" s="7" t="str">
        <f t="shared" si="110"/>
        <v>APP</v>
      </c>
      <c r="H1009" s="7" t="str">
        <f t="shared" si="111"/>
        <v>BNE</v>
      </c>
      <c r="I1009" s="7" t="str">
        <f t="shared" si="112"/>
        <v>GL2</v>
      </c>
      <c r="J1009" s="7" t="str">
        <f t="shared" si="113"/>
        <v>GPE</v>
      </c>
      <c r="K1009" s="7" t="str">
        <f t="shared" si="114"/>
        <v>L</v>
      </c>
      <c r="L1009" s="7" t="s">
        <v>2117</v>
      </c>
      <c r="M1009" s="7" t="s">
        <v>2117</v>
      </c>
      <c r="N1009" s="7">
        <f>_xlfn.XLOOKUP(A1009,[1]SKU!$A:$A,[1]SKU!$Z:$Z)</f>
        <v>750000</v>
      </c>
    </row>
    <row r="1010" spans="1:14">
      <c r="A1010" s="1" t="s">
        <v>1272</v>
      </c>
      <c r="B1010" s="2" t="s">
        <v>3</v>
      </c>
      <c r="C1010" s="2" t="s">
        <v>1228</v>
      </c>
      <c r="D1010" s="2" t="s">
        <v>1273</v>
      </c>
      <c r="E1010" s="7" t="str">
        <f t="shared" si="108"/>
        <v>GCL</v>
      </c>
      <c r="F1010" s="7" t="str">
        <f t="shared" si="109"/>
        <v>WOM</v>
      </c>
      <c r="G1010" s="7" t="str">
        <f t="shared" si="110"/>
        <v>CRO</v>
      </c>
      <c r="H1010" s="7" t="str">
        <f t="shared" si="111"/>
        <v>ONE</v>
      </c>
      <c r="I1010" s="7" t="str">
        <f t="shared" si="112"/>
        <v>LUA</v>
      </c>
      <c r="J1010" s="7" t="str">
        <f t="shared" si="113"/>
        <v>RED</v>
      </c>
      <c r="K1010" s="7" t="str">
        <f t="shared" si="114"/>
        <v>M</v>
      </c>
      <c r="L1010" s="7" t="s">
        <v>2453</v>
      </c>
      <c r="M1010" s="7" t="s">
        <v>4463</v>
      </c>
      <c r="N1010" s="7">
        <f>_xlfn.XLOOKUP(A1010,[1]SKU!$A:$A,[1]SKU!$Z:$Z)</f>
        <v>1590000</v>
      </c>
    </row>
    <row r="1011" spans="1:14">
      <c r="A1011" s="1" t="s">
        <v>5720</v>
      </c>
      <c r="B1011" s="2" t="s">
        <v>4472</v>
      </c>
      <c r="C1011" s="2" t="s">
        <v>5721</v>
      </c>
      <c r="D1011" s="2" t="s">
        <v>5722</v>
      </c>
      <c r="E1011" s="7" t="str">
        <f t="shared" si="108"/>
        <v>DSP</v>
      </c>
      <c r="F1011" s="7" t="str">
        <f t="shared" si="109"/>
        <v>UNI</v>
      </c>
      <c r="G1011" s="7" t="str">
        <f t="shared" si="110"/>
        <v>BAG</v>
      </c>
      <c r="H1011" s="7" t="str">
        <f t="shared" si="111"/>
        <v>CLU</v>
      </c>
      <c r="I1011" s="7" t="str">
        <f t="shared" si="112"/>
        <v>AP0</v>
      </c>
      <c r="J1011" s="7" t="str">
        <f t="shared" si="113"/>
        <v>LGN</v>
      </c>
      <c r="K1011" s="7" t="str">
        <f t="shared" si="114"/>
        <v>0</v>
      </c>
      <c r="L1011" s="7">
        <v>0</v>
      </c>
      <c r="M1011" s="7" t="s">
        <v>2609</v>
      </c>
      <c r="N1011" s="7">
        <f>_xlfn.XLOOKUP(A1011,[1]SKU!$A:$A,[1]SKU!$Z:$Z)</f>
        <v>3300000</v>
      </c>
    </row>
    <row r="1012" spans="1:14">
      <c r="A1012" s="1" t="s">
        <v>5723</v>
      </c>
      <c r="B1012" s="2" t="s">
        <v>4472</v>
      </c>
      <c r="C1012" s="2" t="s">
        <v>5724</v>
      </c>
      <c r="D1012" s="2" t="s">
        <v>5725</v>
      </c>
      <c r="E1012" s="7" t="str">
        <f t="shared" si="108"/>
        <v>DSP</v>
      </c>
      <c r="F1012" s="7" t="str">
        <f t="shared" si="109"/>
        <v>UNI</v>
      </c>
      <c r="G1012" s="7" t="str">
        <f t="shared" si="110"/>
        <v>FWR</v>
      </c>
      <c r="H1012" s="7" t="str">
        <f t="shared" si="111"/>
        <v>LES</v>
      </c>
      <c r="I1012" s="7" t="str">
        <f t="shared" si="112"/>
        <v>WIL</v>
      </c>
      <c r="J1012" s="7" t="str">
        <f t="shared" si="113"/>
        <v>MBE</v>
      </c>
      <c r="K1012" s="7" t="str">
        <f t="shared" si="114"/>
        <v>43</v>
      </c>
      <c r="L1012" s="7">
        <v>0</v>
      </c>
      <c r="M1012" s="7" t="s">
        <v>2609</v>
      </c>
      <c r="N1012" s="7">
        <f>_xlfn.XLOOKUP(A1012,[1]SKU!$A:$A,[1]SKU!$Z:$Z)</f>
        <v>8250000</v>
      </c>
    </row>
    <row r="1013" spans="1:14">
      <c r="A1013" s="1" t="s">
        <v>5726</v>
      </c>
      <c r="B1013" s="2" t="s">
        <v>4472</v>
      </c>
      <c r="C1013" s="2" t="s">
        <v>100</v>
      </c>
      <c r="D1013" s="2" t="s">
        <v>5727</v>
      </c>
      <c r="E1013" s="7" t="str">
        <f t="shared" si="108"/>
        <v>PSD</v>
      </c>
      <c r="F1013" s="7" t="str">
        <f t="shared" si="109"/>
        <v>UNI</v>
      </c>
      <c r="G1013" s="7" t="str">
        <f t="shared" si="110"/>
        <v>SOU</v>
      </c>
      <c r="H1013" s="7" t="str">
        <f t="shared" si="111"/>
        <v>DEC</v>
      </c>
      <c r="I1013" s="7" t="str">
        <f t="shared" si="112"/>
        <v>LBA</v>
      </c>
      <c r="J1013" s="7" t="str">
        <f t="shared" si="113"/>
        <v>RED</v>
      </c>
      <c r="K1013" s="7" t="str">
        <f t="shared" si="114"/>
        <v>8</v>
      </c>
      <c r="L1013" s="7">
        <v>0</v>
      </c>
      <c r="M1013" s="7" t="s">
        <v>2609</v>
      </c>
      <c r="N1013" s="7">
        <f>_xlfn.XLOOKUP(A1013,[1]SKU!$A:$A,[1]SKU!$Z:$Z)</f>
        <v>290000</v>
      </c>
    </row>
    <row r="1014" spans="1:14">
      <c r="A1014" s="1" t="s">
        <v>5728</v>
      </c>
      <c r="B1014" s="2" t="s">
        <v>4472</v>
      </c>
      <c r="C1014" s="2" t="s">
        <v>260</v>
      </c>
      <c r="D1014" s="2" t="s">
        <v>5729</v>
      </c>
      <c r="E1014" s="7" t="str">
        <f t="shared" si="108"/>
        <v>DSP</v>
      </c>
      <c r="F1014" s="7" t="str">
        <f t="shared" si="109"/>
        <v>UNI</v>
      </c>
      <c r="G1014" s="7" t="str">
        <f t="shared" si="110"/>
        <v>HDR</v>
      </c>
      <c r="H1014" s="7" t="str">
        <f t="shared" si="111"/>
        <v>LTK</v>
      </c>
      <c r="I1014" s="7" t="str">
        <f t="shared" si="112"/>
        <v>LTK</v>
      </c>
      <c r="J1014" s="7" t="str">
        <f t="shared" si="113"/>
        <v>CHE</v>
      </c>
      <c r="K1014" s="7" t="str">
        <f t="shared" si="114"/>
        <v>0</v>
      </c>
      <c r="L1014" s="7">
        <v>0</v>
      </c>
      <c r="M1014" s="7" t="s">
        <v>2609</v>
      </c>
      <c r="N1014" s="7">
        <f>_xlfn.XLOOKUP(A1014,[1]SKU!$A:$A,[1]SKU!$Z:$Z)</f>
        <v>2400000</v>
      </c>
    </row>
    <row r="1015" spans="1:14">
      <c r="A1015" s="1" t="s">
        <v>5730</v>
      </c>
      <c r="B1015" s="2" t="s">
        <v>4472</v>
      </c>
      <c r="C1015" s="2" t="s">
        <v>1274</v>
      </c>
      <c r="D1015" s="2" t="s">
        <v>5731</v>
      </c>
      <c r="E1015" s="7" t="str">
        <f t="shared" si="108"/>
        <v>GAR</v>
      </c>
      <c r="F1015" s="7" t="str">
        <f t="shared" si="109"/>
        <v>UNI</v>
      </c>
      <c r="G1015" s="7" t="str">
        <f t="shared" si="110"/>
        <v>SOU</v>
      </c>
      <c r="H1015" s="7" t="str">
        <f t="shared" si="111"/>
        <v>SOP</v>
      </c>
      <c r="I1015" s="7" t="str">
        <f t="shared" si="112"/>
        <v>GAS</v>
      </c>
      <c r="J1015" s="7" t="str">
        <f t="shared" si="113"/>
        <v>MIX</v>
      </c>
      <c r="K1015" s="7" t="str">
        <f t="shared" si="114"/>
        <v>0</v>
      </c>
      <c r="L1015" s="7">
        <v>0</v>
      </c>
      <c r="M1015" s="7" t="s">
        <v>2609</v>
      </c>
      <c r="N1015" s="7">
        <f>_xlfn.XLOOKUP(A1015,[1]SKU!$A:$A,[1]SKU!$Z:$Z)</f>
        <v>115000</v>
      </c>
    </row>
    <row r="1016" spans="1:14">
      <c r="A1016" s="1" t="s">
        <v>5732</v>
      </c>
      <c r="B1016" s="2" t="s">
        <v>4472</v>
      </c>
      <c r="C1016" s="2" t="s">
        <v>209</v>
      </c>
      <c r="D1016" s="2" t="s">
        <v>5733</v>
      </c>
      <c r="E1016" s="7" t="str">
        <f t="shared" si="108"/>
        <v>DSP</v>
      </c>
      <c r="F1016" s="7" t="str">
        <f t="shared" si="109"/>
        <v>UNI</v>
      </c>
      <c r="G1016" s="7" t="str">
        <f t="shared" si="110"/>
        <v>BAG</v>
      </c>
      <c r="H1016" s="7" t="str">
        <f t="shared" si="111"/>
        <v>CLU</v>
      </c>
      <c r="I1016" s="7" t="str">
        <f t="shared" si="112"/>
        <v>CHA</v>
      </c>
      <c r="J1016" s="7" t="str">
        <f t="shared" si="113"/>
        <v>LEA</v>
      </c>
      <c r="K1016" s="7" t="str">
        <f t="shared" si="114"/>
        <v>0</v>
      </c>
      <c r="L1016" s="7">
        <v>0</v>
      </c>
      <c r="M1016" s="7" t="s">
        <v>2609</v>
      </c>
      <c r="N1016" s="7">
        <f>_xlfn.XLOOKUP(A1016,[1]SKU!$A:$A,[1]SKU!$Z:$Z)</f>
        <v>1300000</v>
      </c>
    </row>
    <row r="1017" spans="1:14">
      <c r="A1017" s="1" t="s">
        <v>1275</v>
      </c>
      <c r="B1017" s="2" t="s">
        <v>3</v>
      </c>
      <c r="C1017" s="2" t="s">
        <v>113</v>
      </c>
      <c r="D1017" s="2" t="s">
        <v>1276</v>
      </c>
      <c r="E1017" s="7" t="str">
        <f t="shared" si="108"/>
        <v>GOR</v>
      </c>
      <c r="F1017" s="7" t="str">
        <f t="shared" si="109"/>
        <v>MEN</v>
      </c>
      <c r="G1017" s="7" t="str">
        <f t="shared" si="110"/>
        <v>TSS</v>
      </c>
      <c r="H1017" s="7" t="str">
        <f t="shared" si="111"/>
        <v>HNE</v>
      </c>
      <c r="I1017" s="7" t="str">
        <f t="shared" si="112"/>
        <v>TCS</v>
      </c>
      <c r="J1017" s="7" t="str">
        <f t="shared" si="113"/>
        <v>WHI</v>
      </c>
      <c r="K1017" s="7" t="str">
        <f t="shared" si="114"/>
        <v>M</v>
      </c>
      <c r="L1017" s="7" t="s">
        <v>2018</v>
      </c>
      <c r="M1017" s="7" t="s">
        <v>4462</v>
      </c>
      <c r="N1017" s="7">
        <f>_xlfn.XLOOKUP(A1017,[1]SKU!$A:$A,[1]SKU!$Z:$Z)</f>
        <v>1390000</v>
      </c>
    </row>
    <row r="1018" spans="1:14">
      <c r="A1018" s="1" t="s">
        <v>1277</v>
      </c>
      <c r="B1018" s="2" t="s">
        <v>19</v>
      </c>
      <c r="C1018" s="2" t="s">
        <v>455</v>
      </c>
      <c r="D1018" s="2" t="s">
        <v>1278</v>
      </c>
      <c r="E1018" s="7" t="str">
        <f t="shared" si="108"/>
        <v>OTH</v>
      </c>
      <c r="F1018" s="7" t="str">
        <f t="shared" si="109"/>
        <v>UNI</v>
      </c>
      <c r="G1018" s="7" t="str">
        <f t="shared" si="110"/>
        <v>SOU</v>
      </c>
      <c r="H1018" s="7" t="str">
        <f t="shared" si="111"/>
        <v>NBS</v>
      </c>
      <c r="I1018" s="7" t="str">
        <f t="shared" si="112"/>
        <v>RTE</v>
      </c>
      <c r="J1018" s="7" t="str">
        <f t="shared" si="113"/>
        <v>GRN</v>
      </c>
      <c r="K1018" s="7" t="str">
        <f t="shared" si="114"/>
        <v>A6</v>
      </c>
      <c r="L1018" s="7">
        <v>0</v>
      </c>
      <c r="M1018" s="7" t="s">
        <v>2609</v>
      </c>
      <c r="N1018" s="7">
        <f>_xlfn.XLOOKUP(A1018,[1]SKU!$A:$A,[1]SKU!$Z:$Z)</f>
        <v>65000</v>
      </c>
    </row>
    <row r="1019" spans="1:14">
      <c r="A1019" s="1" t="s">
        <v>1279</v>
      </c>
      <c r="B1019" s="2" t="s">
        <v>3</v>
      </c>
      <c r="C1019" s="2" t="s">
        <v>146</v>
      </c>
      <c r="D1019" s="2" t="s">
        <v>1280</v>
      </c>
      <c r="E1019" s="7" t="str">
        <f t="shared" si="108"/>
        <v>GOR</v>
      </c>
      <c r="F1019" s="7" t="str">
        <f t="shared" si="109"/>
        <v>MEN</v>
      </c>
      <c r="G1019" s="7" t="str">
        <f t="shared" si="110"/>
        <v>TSS</v>
      </c>
      <c r="H1019" s="7" t="str">
        <f t="shared" si="111"/>
        <v>ONE</v>
      </c>
      <c r="I1019" s="7" t="str">
        <f t="shared" si="112"/>
        <v>BPP</v>
      </c>
      <c r="J1019" s="7" t="str">
        <f t="shared" si="113"/>
        <v>BLK</v>
      </c>
      <c r="K1019" s="7" t="str">
        <f t="shared" si="114"/>
        <v>XXL</v>
      </c>
      <c r="L1019" s="7" t="s">
        <v>2018</v>
      </c>
      <c r="M1019" s="7" t="s">
        <v>4462</v>
      </c>
      <c r="N1019" s="7">
        <f>_xlfn.XLOOKUP(A1019,[1]SKU!$A:$A,[1]SKU!$Z:$Z)</f>
        <v>810000</v>
      </c>
    </row>
    <row r="1020" spans="1:14">
      <c r="A1020" s="1" t="s">
        <v>1281</v>
      </c>
      <c r="B1020" s="2" t="s">
        <v>19</v>
      </c>
      <c r="C1020" s="2" t="s">
        <v>107</v>
      </c>
      <c r="D1020" s="2" t="s">
        <v>1282</v>
      </c>
      <c r="E1020" s="7" t="str">
        <f t="shared" si="108"/>
        <v>OTH</v>
      </c>
      <c r="F1020" s="7" t="str">
        <f t="shared" si="109"/>
        <v>UNI</v>
      </c>
      <c r="G1020" s="7" t="str">
        <f t="shared" si="110"/>
        <v>BAG</v>
      </c>
      <c r="H1020" s="7" t="str">
        <f t="shared" si="111"/>
        <v>CRB</v>
      </c>
      <c r="I1020" s="7" t="str">
        <f t="shared" si="112"/>
        <v>LOG</v>
      </c>
      <c r="J1020" s="7" t="str">
        <f t="shared" si="113"/>
        <v>WHI</v>
      </c>
      <c r="K1020" s="7" t="str">
        <f t="shared" si="114"/>
        <v>0</v>
      </c>
      <c r="L1020" s="7">
        <v>0</v>
      </c>
      <c r="M1020" s="7" t="s">
        <v>2609</v>
      </c>
      <c r="N1020" s="7">
        <f>_xlfn.XLOOKUP(A1020,[1]SKU!$A:$A,[1]SKU!$Z:$Z)</f>
        <v>3650000</v>
      </c>
    </row>
    <row r="1021" spans="1:14">
      <c r="A1021" s="1" t="s">
        <v>5734</v>
      </c>
      <c r="B1021" s="2" t="s">
        <v>4472</v>
      </c>
      <c r="C1021" s="2" t="s">
        <v>477</v>
      </c>
      <c r="D1021" s="2" t="s">
        <v>5735</v>
      </c>
      <c r="E1021" s="7" t="str">
        <f t="shared" si="108"/>
        <v>SHI</v>
      </c>
      <c r="F1021" s="7" t="str">
        <f t="shared" si="109"/>
        <v>UNI</v>
      </c>
      <c r="G1021" s="7" t="str">
        <f t="shared" si="110"/>
        <v>FNB</v>
      </c>
      <c r="H1021" s="7" t="str">
        <f t="shared" si="111"/>
        <v>CFB</v>
      </c>
      <c r="I1021" s="7" t="str">
        <f t="shared" si="112"/>
        <v>DLB</v>
      </c>
      <c r="J1021" s="7" t="str">
        <f t="shared" si="113"/>
        <v>WHI</v>
      </c>
      <c r="K1021" s="7" t="str">
        <f t="shared" si="114"/>
        <v>CAN</v>
      </c>
      <c r="L1021" s="7">
        <v>0</v>
      </c>
      <c r="M1021" s="7" t="s">
        <v>2609</v>
      </c>
      <c r="N1021" s="7">
        <f>_xlfn.XLOOKUP(A1021,[1]SKU!$A:$A,[1]SKU!$Z:$Z)</f>
        <v>250000</v>
      </c>
    </row>
    <row r="1022" spans="1:14">
      <c r="A1022" s="1" t="s">
        <v>5736</v>
      </c>
      <c r="B1022" s="2" t="s">
        <v>4472</v>
      </c>
      <c r="C1022" s="2" t="s">
        <v>1283</v>
      </c>
      <c r="D1022" s="2" t="s">
        <v>5737</v>
      </c>
      <c r="E1022" s="7" t="str">
        <f t="shared" si="108"/>
        <v>ODE</v>
      </c>
      <c r="F1022" s="7" t="str">
        <f t="shared" si="109"/>
        <v>UNI</v>
      </c>
      <c r="G1022" s="7" t="str">
        <f t="shared" si="110"/>
        <v>COS</v>
      </c>
      <c r="H1022" s="7" t="str">
        <f t="shared" si="111"/>
        <v>BSB</v>
      </c>
      <c r="I1022" s="7" t="str">
        <f t="shared" si="112"/>
        <v>MO1</v>
      </c>
      <c r="J1022" s="7" t="str">
        <f t="shared" si="113"/>
        <v>NON</v>
      </c>
      <c r="K1022" s="7" t="str">
        <f t="shared" si="114"/>
        <v>0</v>
      </c>
      <c r="L1022" s="7">
        <v>0</v>
      </c>
      <c r="M1022" s="7" t="s">
        <v>2609</v>
      </c>
      <c r="N1022" s="7">
        <f>_xlfn.XLOOKUP(A1022,[1]SKU!$A:$A,[1]SKU!$Z:$Z)</f>
        <v>215000</v>
      </c>
    </row>
    <row r="1023" spans="1:14">
      <c r="A1023" s="1" t="s">
        <v>5738</v>
      </c>
      <c r="B1023" s="2" t="s">
        <v>4472</v>
      </c>
      <c r="C1023" s="2" t="s">
        <v>5739</v>
      </c>
      <c r="D1023" s="2" t="s">
        <v>5740</v>
      </c>
      <c r="E1023" s="7" t="str">
        <f t="shared" si="108"/>
        <v>TOH</v>
      </c>
      <c r="F1023" s="7" t="str">
        <f t="shared" si="109"/>
        <v>UNI</v>
      </c>
      <c r="G1023" s="7" t="str">
        <f t="shared" si="110"/>
        <v>ACC</v>
      </c>
      <c r="H1023" s="7" t="str">
        <f t="shared" si="111"/>
        <v>WAL</v>
      </c>
      <c r="I1023" s="7" t="str">
        <f t="shared" si="112"/>
        <v>ACP</v>
      </c>
      <c r="J1023" s="7" t="str">
        <f t="shared" si="113"/>
        <v>MIX</v>
      </c>
      <c r="K1023" s="7" t="str">
        <f t="shared" si="114"/>
        <v>0</v>
      </c>
      <c r="L1023" s="7">
        <v>0</v>
      </c>
      <c r="M1023" s="7" t="s">
        <v>2609</v>
      </c>
      <c r="N1023" s="7">
        <f>_xlfn.XLOOKUP(A1023,[1]SKU!$A:$A,[1]SKU!$Z:$Z)</f>
        <v>155000</v>
      </c>
    </row>
    <row r="1024" spans="1:14">
      <c r="A1024" s="1" t="s">
        <v>5741</v>
      </c>
      <c r="B1024" s="2" t="s">
        <v>4472</v>
      </c>
      <c r="C1024" s="2" t="s">
        <v>5742</v>
      </c>
      <c r="D1024" s="2" t="s">
        <v>5743</v>
      </c>
      <c r="E1024" s="7" t="str">
        <f t="shared" si="108"/>
        <v>LAN</v>
      </c>
      <c r="F1024" s="7" t="str">
        <f t="shared" si="109"/>
        <v>UNI</v>
      </c>
      <c r="G1024" s="7" t="str">
        <f t="shared" si="110"/>
        <v>HWR</v>
      </c>
      <c r="H1024" s="7" t="str">
        <f t="shared" si="111"/>
        <v>SC2</v>
      </c>
      <c r="I1024" s="7" t="str">
        <f t="shared" si="112"/>
        <v>DDL</v>
      </c>
      <c r="J1024" s="7" t="str">
        <f t="shared" si="113"/>
        <v>BLU</v>
      </c>
      <c r="K1024" s="7" t="str">
        <f t="shared" si="114"/>
        <v>60x60</v>
      </c>
      <c r="L1024" s="7">
        <v>0</v>
      </c>
      <c r="M1024" s="7" t="s">
        <v>2609</v>
      </c>
      <c r="N1024" s="7">
        <f>_xlfn.XLOOKUP(A1024,[1]SKU!$A:$A,[1]SKU!$Z:$Z)</f>
        <v>549000</v>
      </c>
    </row>
    <row r="1025" spans="1:14">
      <c r="A1025" s="1" t="s">
        <v>1284</v>
      </c>
      <c r="B1025" s="2" t="s">
        <v>3</v>
      </c>
      <c r="C1025" s="2" t="s">
        <v>167</v>
      </c>
      <c r="D1025" s="2" t="s">
        <v>1285</v>
      </c>
      <c r="E1025" s="7" t="str">
        <f t="shared" si="108"/>
        <v>GKK</v>
      </c>
      <c r="F1025" s="7" t="str">
        <f t="shared" si="109"/>
        <v>WOM</v>
      </c>
      <c r="G1025" s="7" t="str">
        <f t="shared" si="110"/>
        <v>SHH</v>
      </c>
      <c r="H1025" s="7" t="str">
        <f t="shared" si="111"/>
        <v>FBT</v>
      </c>
      <c r="I1025" s="7" t="str">
        <f t="shared" si="112"/>
        <v>TJM</v>
      </c>
      <c r="J1025" s="7" t="str">
        <f t="shared" si="113"/>
        <v>BLK</v>
      </c>
      <c r="K1025" s="7" t="str">
        <f t="shared" si="114"/>
        <v>S</v>
      </c>
      <c r="L1025" s="7" t="s">
        <v>2784</v>
      </c>
      <c r="M1025" s="7" t="s">
        <v>4463</v>
      </c>
      <c r="N1025" s="7">
        <f>_xlfn.XLOOKUP(A1025,[1]SKU!$A:$A,[1]SKU!$Z:$Z)</f>
        <v>1550000</v>
      </c>
    </row>
    <row r="1026" spans="1:14">
      <c r="A1026" s="1" t="s">
        <v>5744</v>
      </c>
      <c r="B1026" s="2" t="s">
        <v>4472</v>
      </c>
      <c r="C1026" s="2" t="s">
        <v>172</v>
      </c>
      <c r="D1026" s="2" t="s">
        <v>5745</v>
      </c>
      <c r="E1026" s="7" t="str">
        <f t="shared" ref="E1026:E1089" si="115">_xlfn.TEXTBEFORE(_xlfn.TEXTAFTER(D1026,"-"),"-")</f>
        <v>DSP</v>
      </c>
      <c r="F1026" s="7" t="str">
        <f t="shared" si="109"/>
        <v>UNI</v>
      </c>
      <c r="G1026" s="7" t="str">
        <f t="shared" si="110"/>
        <v>FWR</v>
      </c>
      <c r="H1026" s="7" t="str">
        <f t="shared" si="111"/>
        <v>LES</v>
      </c>
      <c r="I1026" s="7" t="str">
        <f t="shared" si="112"/>
        <v>ALF</v>
      </c>
      <c r="J1026" s="7" t="str">
        <f t="shared" si="113"/>
        <v>CPA</v>
      </c>
      <c r="K1026" s="7" t="str">
        <f t="shared" si="114"/>
        <v>36</v>
      </c>
      <c r="L1026" s="7">
        <v>0</v>
      </c>
      <c r="M1026" s="7" t="s">
        <v>2609</v>
      </c>
      <c r="N1026" s="7">
        <f>_xlfn.XLOOKUP(A1026,[1]SKU!$A:$A,[1]SKU!$Z:$Z)</f>
        <v>7800000</v>
      </c>
    </row>
    <row r="1027" spans="1:14">
      <c r="A1027" s="1" t="s">
        <v>5746</v>
      </c>
      <c r="B1027" s="2" t="s">
        <v>4472</v>
      </c>
      <c r="C1027" s="2" t="s">
        <v>5747</v>
      </c>
      <c r="D1027" s="2" t="s">
        <v>5748</v>
      </c>
      <c r="E1027" s="7" t="str">
        <f t="shared" si="115"/>
        <v>LAN</v>
      </c>
      <c r="F1027" s="7" t="str">
        <f t="shared" si="109"/>
        <v>UNI</v>
      </c>
      <c r="G1027" s="7" t="str">
        <f t="shared" si="110"/>
        <v>HWR</v>
      </c>
      <c r="H1027" s="7" t="str">
        <f t="shared" si="111"/>
        <v>SC2</v>
      </c>
      <c r="I1027" s="7" t="str">
        <f t="shared" si="112"/>
        <v>DVN</v>
      </c>
      <c r="J1027" s="7" t="str">
        <f t="shared" si="113"/>
        <v>YEL</v>
      </c>
      <c r="K1027" s="7" t="str">
        <f t="shared" si="114"/>
        <v>6x130</v>
      </c>
      <c r="L1027" s="7">
        <v>0</v>
      </c>
      <c r="M1027" s="7" t="s">
        <v>2609</v>
      </c>
      <c r="N1027" s="7">
        <f>_xlfn.XLOOKUP(A1027,[1]SKU!$A:$A,[1]SKU!$Z:$Z)</f>
        <v>365000</v>
      </c>
    </row>
    <row r="1028" spans="1:14">
      <c r="A1028" s="1" t="s">
        <v>1286</v>
      </c>
      <c r="B1028" s="2" t="s">
        <v>3</v>
      </c>
      <c r="C1028" s="2" t="s">
        <v>38</v>
      </c>
      <c r="D1028" s="2" t="s">
        <v>1287</v>
      </c>
      <c r="E1028" s="7" t="str">
        <f t="shared" si="115"/>
        <v>GLI</v>
      </c>
      <c r="F1028" s="7" t="str">
        <f t="shared" si="109"/>
        <v>MEN</v>
      </c>
      <c r="G1028" s="7" t="str">
        <f t="shared" si="110"/>
        <v>SIS</v>
      </c>
      <c r="H1028" s="7" t="str">
        <f t="shared" si="111"/>
        <v>CLA</v>
      </c>
      <c r="I1028" s="7" t="str">
        <f t="shared" si="112"/>
        <v>LOG</v>
      </c>
      <c r="J1028" s="7" t="str">
        <f t="shared" si="113"/>
        <v>CAM</v>
      </c>
      <c r="K1028" s="7" t="str">
        <f t="shared" si="114"/>
        <v>XL</v>
      </c>
      <c r="L1028" s="7" t="s">
        <v>2211</v>
      </c>
      <c r="M1028" s="7" t="s">
        <v>4464</v>
      </c>
      <c r="N1028" s="7">
        <f>_xlfn.XLOOKUP(A1028,[1]SKU!$A:$A,[1]SKU!$Z:$Z)</f>
        <v>2590000</v>
      </c>
    </row>
    <row r="1029" spans="1:14">
      <c r="A1029" s="1" t="s">
        <v>5749</v>
      </c>
      <c r="B1029" s="2" t="s">
        <v>4472</v>
      </c>
      <c r="C1029" s="2" t="s">
        <v>1288</v>
      </c>
      <c r="D1029" s="2" t="s">
        <v>5750</v>
      </c>
      <c r="E1029" s="7" t="str">
        <f t="shared" si="115"/>
        <v>DSP</v>
      </c>
      <c r="F1029" s="7" t="str">
        <f t="shared" si="109"/>
        <v>UNI</v>
      </c>
      <c r="G1029" s="7" t="str">
        <f t="shared" si="110"/>
        <v>FWR</v>
      </c>
      <c r="H1029" s="7" t="str">
        <f t="shared" si="111"/>
        <v>FLA</v>
      </c>
      <c r="I1029" s="7" t="str">
        <f t="shared" si="112"/>
        <v>CO0</v>
      </c>
      <c r="J1029" s="7" t="str">
        <f t="shared" si="113"/>
        <v>HBK</v>
      </c>
      <c r="K1029" s="7" t="str">
        <f t="shared" si="114"/>
        <v>37</v>
      </c>
      <c r="L1029" s="7">
        <v>0</v>
      </c>
      <c r="M1029" s="7" t="s">
        <v>2609</v>
      </c>
      <c r="N1029" s="7">
        <f>_xlfn.XLOOKUP(A1029,[1]SKU!$A:$A,[1]SKU!$Z:$Z)</f>
        <v>5950000</v>
      </c>
    </row>
    <row r="1030" spans="1:14">
      <c r="A1030" s="1" t="s">
        <v>1289</v>
      </c>
      <c r="B1030" s="2" t="s">
        <v>3</v>
      </c>
      <c r="C1030" s="2" t="s">
        <v>300</v>
      </c>
      <c r="D1030" s="2" t="s">
        <v>1290</v>
      </c>
      <c r="E1030" s="7" t="str">
        <f t="shared" si="115"/>
        <v>GSL</v>
      </c>
      <c r="F1030" s="7" t="str">
        <f t="shared" si="109"/>
        <v>WOM</v>
      </c>
      <c r="G1030" s="7" t="str">
        <f t="shared" si="110"/>
        <v>FZE</v>
      </c>
      <c r="H1030" s="7" t="str">
        <f t="shared" si="111"/>
        <v>BNE</v>
      </c>
      <c r="I1030" s="7" t="str">
        <f t="shared" si="112"/>
        <v>SMP</v>
      </c>
      <c r="J1030" s="7" t="str">
        <f t="shared" si="113"/>
        <v>BLK</v>
      </c>
      <c r="K1030" s="7" t="str">
        <f t="shared" si="114"/>
        <v>L</v>
      </c>
      <c r="L1030" s="7" t="s">
        <v>2131</v>
      </c>
      <c r="M1030" s="7" t="s">
        <v>2131</v>
      </c>
      <c r="N1030" s="7">
        <f>_xlfn.XLOOKUP(A1030,[1]SKU!$A:$A,[1]SKU!$Z:$Z)</f>
        <v>750000</v>
      </c>
    </row>
    <row r="1031" spans="1:14">
      <c r="A1031" s="1" t="s">
        <v>5751</v>
      </c>
      <c r="B1031" s="2" t="s">
        <v>4472</v>
      </c>
      <c r="C1031" s="2" t="s">
        <v>5752</v>
      </c>
      <c r="D1031" s="2" t="s">
        <v>5753</v>
      </c>
      <c r="E1031" s="7" t="str">
        <f t="shared" si="115"/>
        <v>LAN</v>
      </c>
      <c r="F1031" s="7" t="str">
        <f t="shared" si="109"/>
        <v>UNI</v>
      </c>
      <c r="G1031" s="7" t="str">
        <f t="shared" si="110"/>
        <v>HWR</v>
      </c>
      <c r="H1031" s="7" t="str">
        <f t="shared" si="111"/>
        <v>SC1</v>
      </c>
      <c r="I1031" s="7" t="str">
        <f t="shared" si="112"/>
        <v>DBN</v>
      </c>
      <c r="J1031" s="7" t="str">
        <f t="shared" si="113"/>
        <v>BLU</v>
      </c>
      <c r="K1031" s="7" t="str">
        <f t="shared" si="114"/>
        <v>90x90</v>
      </c>
      <c r="L1031" s="7">
        <v>0</v>
      </c>
      <c r="M1031" s="7" t="s">
        <v>2609</v>
      </c>
      <c r="N1031" s="7">
        <f>_xlfn.XLOOKUP(A1031,[1]SKU!$A:$A,[1]SKU!$Z:$Z)</f>
        <v>849000</v>
      </c>
    </row>
    <row r="1032" spans="1:14">
      <c r="A1032" s="1" t="s">
        <v>5754</v>
      </c>
      <c r="B1032" s="2" t="s">
        <v>4472</v>
      </c>
      <c r="C1032" s="2" t="s">
        <v>4876</v>
      </c>
      <c r="D1032" s="2" t="s">
        <v>5755</v>
      </c>
      <c r="E1032" s="7" t="str">
        <f t="shared" si="115"/>
        <v>HAM</v>
      </c>
      <c r="F1032" s="7" t="str">
        <f t="shared" si="109"/>
        <v>UNI</v>
      </c>
      <c r="G1032" s="7" t="str">
        <f t="shared" si="110"/>
        <v>JEW</v>
      </c>
      <c r="H1032" s="7" t="str">
        <f t="shared" si="111"/>
        <v>NEC</v>
      </c>
      <c r="I1032" s="7" t="str">
        <f t="shared" si="112"/>
        <v>132</v>
      </c>
      <c r="J1032" s="7" t="str">
        <f t="shared" si="113"/>
        <v>MIX</v>
      </c>
      <c r="K1032" s="7" t="str">
        <f t="shared" si="114"/>
        <v>0</v>
      </c>
      <c r="L1032" s="7">
        <v>0</v>
      </c>
      <c r="M1032" s="7" t="s">
        <v>2609</v>
      </c>
      <c r="N1032" s="7">
        <f>_xlfn.XLOOKUP(A1032,[1]SKU!$A:$A,[1]SKU!$Z:$Z)</f>
        <v>1800000</v>
      </c>
    </row>
    <row r="1033" spans="1:14">
      <c r="A1033" s="1" t="s">
        <v>1291</v>
      </c>
      <c r="B1033" s="2" t="s">
        <v>3</v>
      </c>
      <c r="C1033" s="2" t="s">
        <v>787</v>
      </c>
      <c r="D1033" s="2" t="s">
        <v>1292</v>
      </c>
      <c r="E1033" s="7" t="str">
        <f t="shared" si="115"/>
        <v>GOR</v>
      </c>
      <c r="F1033" s="7" t="str">
        <f t="shared" si="109"/>
        <v>MEN</v>
      </c>
      <c r="G1033" s="7" t="str">
        <f t="shared" si="110"/>
        <v>TSS</v>
      </c>
      <c r="H1033" s="7" t="str">
        <f t="shared" si="111"/>
        <v>ONE</v>
      </c>
      <c r="I1033" s="7" t="str">
        <f t="shared" si="112"/>
        <v>LLY</v>
      </c>
      <c r="J1033" s="7" t="str">
        <f t="shared" si="113"/>
        <v>BOR</v>
      </c>
      <c r="K1033" s="7" t="str">
        <f t="shared" si="114"/>
        <v>L</v>
      </c>
      <c r="L1033" s="7" t="s">
        <v>2018</v>
      </c>
      <c r="M1033" s="7" t="s">
        <v>4462</v>
      </c>
      <c r="N1033" s="7">
        <f>_xlfn.XLOOKUP(A1033,[1]SKU!$A:$A,[1]SKU!$Z:$Z)</f>
        <v>990000</v>
      </c>
    </row>
    <row r="1034" spans="1:14">
      <c r="A1034" s="1" t="s">
        <v>5756</v>
      </c>
      <c r="B1034" s="2" t="s">
        <v>4472</v>
      </c>
      <c r="C1034" s="2" t="s">
        <v>5757</v>
      </c>
      <c r="D1034" s="2" t="s">
        <v>5758</v>
      </c>
      <c r="E1034" s="7" t="str">
        <f t="shared" si="115"/>
        <v>TOH</v>
      </c>
      <c r="F1034" s="7" t="str">
        <f t="shared" si="109"/>
        <v>UNI</v>
      </c>
      <c r="G1034" s="7" t="str">
        <f t="shared" si="110"/>
        <v>ACC</v>
      </c>
      <c r="H1034" s="7" t="str">
        <f t="shared" si="111"/>
        <v>WAL</v>
      </c>
      <c r="I1034" s="7" t="str">
        <f t="shared" si="112"/>
        <v>APS</v>
      </c>
      <c r="J1034" s="7" t="str">
        <f t="shared" si="113"/>
        <v>MIX</v>
      </c>
      <c r="K1034" s="7" t="str">
        <f t="shared" si="114"/>
        <v>0</v>
      </c>
      <c r="L1034" s="7">
        <v>0</v>
      </c>
      <c r="M1034" s="7" t="s">
        <v>2609</v>
      </c>
      <c r="N1034" s="7">
        <f>_xlfn.XLOOKUP(A1034,[1]SKU!$A:$A,[1]SKU!$Z:$Z)</f>
        <v>135000</v>
      </c>
    </row>
    <row r="1035" spans="1:14">
      <c r="A1035" s="1" t="s">
        <v>5759</v>
      </c>
      <c r="B1035" s="2" t="s">
        <v>4472</v>
      </c>
      <c r="C1035" s="2" t="s">
        <v>5187</v>
      </c>
      <c r="D1035" s="2" t="s">
        <v>5760</v>
      </c>
      <c r="E1035" s="7" t="str">
        <f t="shared" si="115"/>
        <v>HAM</v>
      </c>
      <c r="F1035" s="7" t="str">
        <f t="shared" si="109"/>
        <v>UNI</v>
      </c>
      <c r="G1035" s="7" t="str">
        <f t="shared" si="110"/>
        <v>JEW</v>
      </c>
      <c r="H1035" s="7" t="str">
        <f t="shared" si="111"/>
        <v>NEC</v>
      </c>
      <c r="I1035" s="7" t="str">
        <f t="shared" si="112"/>
        <v>L30</v>
      </c>
      <c r="J1035" s="7" t="str">
        <f t="shared" si="113"/>
        <v>MIX</v>
      </c>
      <c r="K1035" s="7" t="str">
        <f t="shared" si="114"/>
        <v>0</v>
      </c>
      <c r="L1035" s="7">
        <v>0</v>
      </c>
      <c r="M1035" s="7" t="s">
        <v>2609</v>
      </c>
      <c r="N1035" s="7">
        <f>_xlfn.XLOOKUP(A1035,[1]SKU!$A:$A,[1]SKU!$Z:$Z)</f>
        <v>2800000</v>
      </c>
    </row>
    <row r="1036" spans="1:14">
      <c r="A1036" s="1" t="s">
        <v>5761</v>
      </c>
      <c r="B1036" s="2" t="s">
        <v>4472</v>
      </c>
      <c r="C1036" s="2" t="s">
        <v>115</v>
      </c>
      <c r="D1036" s="2" t="s">
        <v>5762</v>
      </c>
      <c r="E1036" s="7" t="str">
        <f t="shared" si="115"/>
        <v>DSP</v>
      </c>
      <c r="F1036" s="7" t="str">
        <f t="shared" si="109"/>
        <v>UNI</v>
      </c>
      <c r="G1036" s="7" t="str">
        <f t="shared" si="110"/>
        <v>BAG</v>
      </c>
      <c r="H1036" s="7" t="str">
        <f t="shared" si="111"/>
        <v>HDB</v>
      </c>
      <c r="I1036" s="7" t="str">
        <f t="shared" si="112"/>
        <v>GA1</v>
      </c>
      <c r="J1036" s="7" t="str">
        <f t="shared" si="113"/>
        <v>ORA</v>
      </c>
      <c r="K1036" s="7" t="str">
        <f t="shared" si="114"/>
        <v>0</v>
      </c>
      <c r="L1036" s="7">
        <v>0</v>
      </c>
      <c r="M1036" s="7" t="s">
        <v>2609</v>
      </c>
      <c r="N1036" s="7">
        <f>_xlfn.XLOOKUP(A1036,[1]SKU!$A:$A,[1]SKU!$Z:$Z)</f>
        <v>8690000</v>
      </c>
    </row>
    <row r="1037" spans="1:14">
      <c r="A1037" s="1" t="s">
        <v>5763</v>
      </c>
      <c r="B1037" s="2" t="s">
        <v>4472</v>
      </c>
      <c r="C1037" s="2" t="s">
        <v>4744</v>
      </c>
      <c r="D1037" s="2" t="s">
        <v>5764</v>
      </c>
      <c r="E1037" s="7" t="str">
        <f t="shared" si="115"/>
        <v>HAM</v>
      </c>
      <c r="F1037" s="7" t="str">
        <f t="shared" si="109"/>
        <v>UNI</v>
      </c>
      <c r="G1037" s="7" t="str">
        <f t="shared" si="110"/>
        <v>JEW</v>
      </c>
      <c r="H1037" s="7" t="str">
        <f t="shared" si="111"/>
        <v>NEC</v>
      </c>
      <c r="I1037" s="7" t="str">
        <f t="shared" si="112"/>
        <v>D69</v>
      </c>
      <c r="J1037" s="7" t="str">
        <f t="shared" si="113"/>
        <v>MIX</v>
      </c>
      <c r="K1037" s="7" t="str">
        <f t="shared" si="114"/>
        <v>0</v>
      </c>
      <c r="L1037" s="7">
        <v>0</v>
      </c>
      <c r="M1037" s="7" t="s">
        <v>2609</v>
      </c>
      <c r="N1037" s="7">
        <f>_xlfn.XLOOKUP(A1037,[1]SKU!$A:$A,[1]SKU!$Z:$Z)</f>
        <v>1800000</v>
      </c>
    </row>
    <row r="1038" spans="1:14">
      <c r="A1038" s="1" t="s">
        <v>5765</v>
      </c>
      <c r="B1038" s="2" t="s">
        <v>4472</v>
      </c>
      <c r="C1038" s="2" t="s">
        <v>5766</v>
      </c>
      <c r="D1038" s="2" t="s">
        <v>5767</v>
      </c>
      <c r="E1038" s="7" t="str">
        <f t="shared" si="115"/>
        <v>LAN</v>
      </c>
      <c r="F1038" s="7" t="str">
        <f t="shared" si="109"/>
        <v>UNI</v>
      </c>
      <c r="G1038" s="7" t="str">
        <f t="shared" si="110"/>
        <v>HWR</v>
      </c>
      <c r="H1038" s="7" t="str">
        <f t="shared" si="111"/>
        <v>SC2</v>
      </c>
      <c r="I1038" s="7" t="str">
        <f t="shared" si="112"/>
        <v>TAN</v>
      </c>
      <c r="J1038" s="7" t="str">
        <f t="shared" si="113"/>
        <v>PIN</v>
      </c>
      <c r="K1038" s="7" t="str">
        <f t="shared" si="114"/>
        <v>70x70</v>
      </c>
      <c r="L1038" s="7">
        <v>0</v>
      </c>
      <c r="M1038" s="7" t="s">
        <v>2609</v>
      </c>
      <c r="N1038" s="7">
        <f>_xlfn.XLOOKUP(A1038,[1]SKU!$A:$A,[1]SKU!$Z:$Z)</f>
        <v>749000</v>
      </c>
    </row>
    <row r="1039" spans="1:14">
      <c r="A1039" s="1" t="s">
        <v>5768</v>
      </c>
      <c r="B1039" s="2" t="s">
        <v>4472</v>
      </c>
      <c r="C1039" s="2" t="s">
        <v>4516</v>
      </c>
      <c r="D1039" s="2" t="s">
        <v>5769</v>
      </c>
      <c r="E1039" s="7" t="str">
        <f t="shared" si="115"/>
        <v>DSP</v>
      </c>
      <c r="F1039" s="7" t="str">
        <f t="shared" si="109"/>
        <v>UNI</v>
      </c>
      <c r="G1039" s="7" t="str">
        <f t="shared" si="110"/>
        <v>BAG</v>
      </c>
      <c r="H1039" s="7" t="str">
        <f t="shared" si="111"/>
        <v>HDB</v>
      </c>
      <c r="I1039" s="7" t="str">
        <f t="shared" si="112"/>
        <v>ABG</v>
      </c>
      <c r="J1039" s="7" t="str">
        <f t="shared" si="113"/>
        <v>OLP</v>
      </c>
      <c r="K1039" s="7" t="str">
        <f t="shared" si="114"/>
        <v>L</v>
      </c>
      <c r="L1039" s="7">
        <v>0</v>
      </c>
      <c r="M1039" s="7" t="s">
        <v>2609</v>
      </c>
      <c r="N1039" s="7">
        <f>_xlfn.XLOOKUP(A1039,[1]SKU!$A:$A,[1]SKU!$Z:$Z)</f>
        <v>4800000</v>
      </c>
    </row>
    <row r="1040" spans="1:14">
      <c r="A1040" s="1" t="s">
        <v>5770</v>
      </c>
      <c r="B1040" s="2" t="s">
        <v>4472</v>
      </c>
      <c r="C1040" s="2" t="s">
        <v>72</v>
      </c>
      <c r="D1040" s="2" t="s">
        <v>5771</v>
      </c>
      <c r="E1040" s="7" t="str">
        <f t="shared" si="115"/>
        <v>DSP</v>
      </c>
      <c r="F1040" s="7" t="str">
        <f t="shared" si="109"/>
        <v>UNI</v>
      </c>
      <c r="G1040" s="7" t="str">
        <f t="shared" si="110"/>
        <v>FWR</v>
      </c>
      <c r="H1040" s="7" t="str">
        <f t="shared" si="111"/>
        <v>LES</v>
      </c>
      <c r="I1040" s="7" t="str">
        <f t="shared" si="112"/>
        <v>BL1</v>
      </c>
      <c r="J1040" s="7" t="str">
        <f t="shared" si="113"/>
        <v>BLK</v>
      </c>
      <c r="K1040" s="7" t="str">
        <f t="shared" si="114"/>
        <v>38</v>
      </c>
      <c r="L1040" s="7">
        <v>0</v>
      </c>
      <c r="M1040" s="7" t="s">
        <v>2609</v>
      </c>
      <c r="N1040" s="7">
        <f>_xlfn.XLOOKUP(A1040,[1]SKU!$A:$A,[1]SKU!$Z:$Z)</f>
        <v>5800000</v>
      </c>
    </row>
    <row r="1041" spans="1:14">
      <c r="A1041" s="1" t="s">
        <v>5772</v>
      </c>
      <c r="B1041" s="2" t="s">
        <v>4472</v>
      </c>
      <c r="C1041" s="2" t="s">
        <v>5773</v>
      </c>
      <c r="D1041" s="2" t="s">
        <v>5774</v>
      </c>
      <c r="E1041" s="7" t="str">
        <f t="shared" si="115"/>
        <v>EDE</v>
      </c>
      <c r="F1041" s="7" t="str">
        <f t="shared" si="109"/>
        <v>UNI</v>
      </c>
      <c r="G1041" s="7" t="str">
        <f t="shared" si="110"/>
        <v>BAG</v>
      </c>
      <c r="H1041" s="7" t="str">
        <f t="shared" si="111"/>
        <v>ETB</v>
      </c>
      <c r="I1041" s="7" t="str">
        <f t="shared" si="112"/>
        <v>EN0</v>
      </c>
      <c r="J1041" s="7" t="str">
        <f t="shared" si="113"/>
        <v>MIX</v>
      </c>
      <c r="K1041" s="7" t="str">
        <f t="shared" si="114"/>
        <v>0</v>
      </c>
      <c r="L1041" s="7">
        <v>0</v>
      </c>
      <c r="M1041" s="7" t="s">
        <v>2609</v>
      </c>
      <c r="N1041" s="7">
        <f>_xlfn.XLOOKUP(A1041,[1]SKU!$A:$A,[1]SKU!$Z:$Z)</f>
        <v>495000</v>
      </c>
    </row>
    <row r="1042" spans="1:14">
      <c r="A1042" s="1" t="s">
        <v>5775</v>
      </c>
      <c r="B1042" s="2" t="s">
        <v>4472</v>
      </c>
      <c r="C1042" s="2" t="s">
        <v>460</v>
      </c>
      <c r="D1042" s="2" t="s">
        <v>5776</v>
      </c>
      <c r="E1042" s="7" t="str">
        <f t="shared" si="115"/>
        <v>SHI</v>
      </c>
      <c r="F1042" s="7" t="str">
        <f t="shared" si="109"/>
        <v>UNI</v>
      </c>
      <c r="G1042" s="7" t="str">
        <f t="shared" si="110"/>
        <v>FNB</v>
      </c>
      <c r="H1042" s="7" t="str">
        <f t="shared" si="111"/>
        <v>CFP</v>
      </c>
      <c r="I1042" s="7" t="str">
        <f t="shared" si="112"/>
        <v>PBO</v>
      </c>
      <c r="J1042" s="7" t="str">
        <f t="shared" si="113"/>
        <v>WHI</v>
      </c>
      <c r="K1042" s="7" t="str">
        <f t="shared" si="114"/>
        <v>BAG</v>
      </c>
      <c r="L1042" s="7">
        <v>0</v>
      </c>
      <c r="M1042" s="7" t="s">
        <v>2609</v>
      </c>
      <c r="N1042" s="7">
        <f>_xlfn.XLOOKUP(A1042,[1]SKU!$A:$A,[1]SKU!$Z:$Z)</f>
        <v>150000</v>
      </c>
    </row>
    <row r="1043" spans="1:14">
      <c r="A1043" s="1" t="s">
        <v>1296</v>
      </c>
      <c r="B1043" s="2" t="s">
        <v>3</v>
      </c>
      <c r="C1043" s="2" t="s">
        <v>326</v>
      </c>
      <c r="D1043" s="2" t="s">
        <v>1297</v>
      </c>
      <c r="E1043" s="7" t="str">
        <f t="shared" si="115"/>
        <v>GCL</v>
      </c>
      <c r="F1043" s="7" t="str">
        <f t="shared" si="109"/>
        <v>WOM</v>
      </c>
      <c r="G1043" s="7" t="str">
        <f t="shared" si="110"/>
        <v>CRO</v>
      </c>
      <c r="H1043" s="7" t="str">
        <f t="shared" si="111"/>
        <v>ONE</v>
      </c>
      <c r="I1043" s="7" t="str">
        <f t="shared" si="112"/>
        <v>TMG</v>
      </c>
      <c r="J1043" s="7" t="str">
        <f t="shared" si="113"/>
        <v>RED</v>
      </c>
      <c r="K1043" s="7" t="str">
        <f t="shared" si="114"/>
        <v>L</v>
      </c>
      <c r="L1043" s="7" t="s">
        <v>2453</v>
      </c>
      <c r="M1043" s="7" t="s">
        <v>4463</v>
      </c>
      <c r="N1043" s="7">
        <f>_xlfn.XLOOKUP(A1043,[1]SKU!$A:$A,[1]SKU!$Z:$Z)</f>
        <v>1190000</v>
      </c>
    </row>
    <row r="1044" spans="1:14">
      <c r="A1044" s="1" t="s">
        <v>5777</v>
      </c>
      <c r="B1044" s="2" t="s">
        <v>4472</v>
      </c>
      <c r="C1044" s="2" t="s">
        <v>5778</v>
      </c>
      <c r="D1044" s="2" t="s">
        <v>5779</v>
      </c>
      <c r="E1044" s="7" t="str">
        <f t="shared" si="115"/>
        <v>EDE</v>
      </c>
      <c r="F1044" s="7" t="str">
        <f t="shared" si="109"/>
        <v>UNI</v>
      </c>
      <c r="G1044" s="7" t="str">
        <f t="shared" si="110"/>
        <v>BAG</v>
      </c>
      <c r="H1044" s="7" t="str">
        <f t="shared" si="111"/>
        <v>CLU</v>
      </c>
      <c r="I1044" s="7" t="str">
        <f t="shared" si="112"/>
        <v>GRE</v>
      </c>
      <c r="J1044" s="7" t="str">
        <f t="shared" si="113"/>
        <v>MIX</v>
      </c>
      <c r="K1044" s="7" t="str">
        <f t="shared" si="114"/>
        <v>0</v>
      </c>
      <c r="L1044" s="7">
        <v>0</v>
      </c>
      <c r="M1044" s="7" t="s">
        <v>2609</v>
      </c>
      <c r="N1044" s="7">
        <f>_xlfn.XLOOKUP(A1044,[1]SKU!$A:$A,[1]SKU!$Z:$Z)</f>
        <v>310000</v>
      </c>
    </row>
    <row r="1045" spans="1:14">
      <c r="A1045" s="1" t="s">
        <v>5780</v>
      </c>
      <c r="B1045" s="2" t="s">
        <v>4472</v>
      </c>
      <c r="C1045" s="2" t="s">
        <v>141</v>
      </c>
      <c r="D1045" s="2" t="s">
        <v>5781</v>
      </c>
      <c r="E1045" s="7" t="str">
        <f t="shared" si="115"/>
        <v>DSP</v>
      </c>
      <c r="F1045" s="7" t="str">
        <f t="shared" si="109"/>
        <v>UNI</v>
      </c>
      <c r="G1045" s="7" t="str">
        <f t="shared" si="110"/>
        <v>BAG</v>
      </c>
      <c r="H1045" s="7" t="str">
        <f t="shared" si="111"/>
        <v>CLU</v>
      </c>
      <c r="I1045" s="7" t="str">
        <f t="shared" si="112"/>
        <v>CEZ</v>
      </c>
      <c r="J1045" s="7" t="str">
        <f t="shared" si="113"/>
        <v>GPA</v>
      </c>
      <c r="K1045" s="7" t="str">
        <f t="shared" si="114"/>
        <v>0</v>
      </c>
      <c r="L1045" s="7">
        <v>0</v>
      </c>
      <c r="M1045" s="7" t="s">
        <v>2609</v>
      </c>
      <c r="N1045" s="7">
        <f>_xlfn.XLOOKUP(A1045,[1]SKU!$A:$A,[1]SKU!$Z:$Z)</f>
        <v>2850000</v>
      </c>
    </row>
    <row r="1046" spans="1:14">
      <c r="A1046" s="1" t="s">
        <v>5782</v>
      </c>
      <c r="B1046" s="2" t="s">
        <v>4472</v>
      </c>
      <c r="C1046" s="2" t="s">
        <v>5783</v>
      </c>
      <c r="D1046" s="2" t="s">
        <v>5784</v>
      </c>
      <c r="E1046" s="7" t="str">
        <f t="shared" si="115"/>
        <v>EDE</v>
      </c>
      <c r="F1046" s="7" t="str">
        <f t="shared" si="109"/>
        <v>UNI</v>
      </c>
      <c r="G1046" s="7" t="str">
        <f t="shared" si="110"/>
        <v>HDR</v>
      </c>
      <c r="H1046" s="7" t="str">
        <f t="shared" si="111"/>
        <v>CUS</v>
      </c>
      <c r="I1046" s="7" t="str">
        <f t="shared" si="112"/>
        <v>LAM</v>
      </c>
      <c r="J1046" s="7" t="str">
        <f t="shared" si="113"/>
        <v>GRE</v>
      </c>
      <c r="K1046" s="7" t="str">
        <f t="shared" si="114"/>
        <v>0</v>
      </c>
      <c r="L1046" s="7">
        <v>0</v>
      </c>
      <c r="M1046" s="7" t="s">
        <v>2609</v>
      </c>
      <c r="N1046" s="7">
        <f>_xlfn.XLOOKUP(A1046,[1]SKU!$A:$A,[1]SKU!$Z:$Z)</f>
        <v>480000</v>
      </c>
    </row>
    <row r="1047" spans="1:14">
      <c r="A1047" s="1" t="s">
        <v>5785</v>
      </c>
      <c r="B1047" s="2" t="s">
        <v>4472</v>
      </c>
      <c r="C1047" s="2" t="s">
        <v>1299</v>
      </c>
      <c r="D1047" s="2" t="s">
        <v>5786</v>
      </c>
      <c r="E1047" s="7" t="str">
        <f t="shared" si="115"/>
        <v>SHI</v>
      </c>
      <c r="F1047" s="7" t="str">
        <f t="shared" si="109"/>
        <v>UNI</v>
      </c>
      <c r="G1047" s="7" t="str">
        <f t="shared" si="110"/>
        <v>FNB</v>
      </c>
      <c r="H1047" s="7" t="str">
        <f t="shared" si="111"/>
        <v>CFD</v>
      </c>
      <c r="I1047" s="7" t="str">
        <f t="shared" si="112"/>
        <v>VNM</v>
      </c>
      <c r="J1047" s="7" t="str">
        <f t="shared" si="113"/>
        <v>RED</v>
      </c>
      <c r="K1047" s="7" t="str">
        <f t="shared" si="114"/>
        <v>BOX</v>
      </c>
      <c r="L1047" s="7">
        <v>0</v>
      </c>
      <c r="M1047" s="7" t="s">
        <v>2609</v>
      </c>
      <c r="N1047" s="7">
        <f>_xlfn.XLOOKUP(A1047,[1]SKU!$A:$A,[1]SKU!$Z:$Z)</f>
        <v>75000</v>
      </c>
    </row>
    <row r="1048" spans="1:14">
      <c r="A1048" s="1" t="s">
        <v>1300</v>
      </c>
      <c r="B1048" s="2" t="s">
        <v>3</v>
      </c>
      <c r="C1048" s="2" t="s">
        <v>38</v>
      </c>
      <c r="D1048" s="2" t="s">
        <v>1301</v>
      </c>
      <c r="E1048" s="7" t="str">
        <f t="shared" si="115"/>
        <v>GPI</v>
      </c>
      <c r="F1048" s="7" t="str">
        <f t="shared" si="109"/>
        <v>MEN</v>
      </c>
      <c r="G1048" s="7" t="str">
        <f t="shared" si="110"/>
        <v>POL</v>
      </c>
      <c r="H1048" s="7" t="str">
        <f t="shared" si="111"/>
        <v>RIB</v>
      </c>
      <c r="I1048" s="7" t="str">
        <f t="shared" si="112"/>
        <v>LOG</v>
      </c>
      <c r="J1048" s="7" t="str">
        <f t="shared" si="113"/>
        <v>OLI</v>
      </c>
      <c r="K1048" s="7" t="str">
        <f t="shared" si="114"/>
        <v>XXL</v>
      </c>
      <c r="L1048" s="7" t="s">
        <v>1995</v>
      </c>
      <c r="M1048" s="7" t="s">
        <v>4468</v>
      </c>
      <c r="N1048" s="7">
        <f>_xlfn.XLOOKUP(A1048,[1]SKU!$A:$A,[1]SKU!$Z:$Z)</f>
        <v>1390000</v>
      </c>
    </row>
    <row r="1049" spans="1:14">
      <c r="A1049" s="1" t="s">
        <v>1302</v>
      </c>
      <c r="B1049" s="2" t="s">
        <v>3</v>
      </c>
      <c r="C1049" s="2" t="s">
        <v>92</v>
      </c>
      <c r="D1049" s="2" t="s">
        <v>1303</v>
      </c>
      <c r="E1049" s="7" t="str">
        <f t="shared" si="115"/>
        <v>GOR</v>
      </c>
      <c r="F1049" s="7" t="str">
        <f t="shared" si="109"/>
        <v>MEN</v>
      </c>
      <c r="G1049" s="7" t="str">
        <f t="shared" si="110"/>
        <v>TSS</v>
      </c>
      <c r="H1049" s="7" t="str">
        <f t="shared" si="111"/>
        <v>ONE</v>
      </c>
      <c r="I1049" s="7" t="str">
        <f t="shared" si="112"/>
        <v>SVR</v>
      </c>
      <c r="J1049" s="7" t="str">
        <f t="shared" si="113"/>
        <v>WHI</v>
      </c>
      <c r="K1049" s="7" t="str">
        <f t="shared" si="114"/>
        <v>S</v>
      </c>
      <c r="L1049" s="7" t="s">
        <v>2018</v>
      </c>
      <c r="M1049" s="7" t="s">
        <v>4462</v>
      </c>
      <c r="N1049" s="7">
        <f>_xlfn.XLOOKUP(A1049,[1]SKU!$A:$A,[1]SKU!$Z:$Z)</f>
        <v>990000</v>
      </c>
    </row>
    <row r="1050" spans="1:14">
      <c r="A1050" s="1" t="s">
        <v>5787</v>
      </c>
      <c r="B1050" s="2" t="s">
        <v>4472</v>
      </c>
      <c r="C1050" s="2" t="s">
        <v>5788</v>
      </c>
      <c r="D1050" s="2" t="s">
        <v>5789</v>
      </c>
      <c r="E1050" s="7" t="str">
        <f t="shared" si="115"/>
        <v>EDE</v>
      </c>
      <c r="F1050" s="7" t="str">
        <f t="shared" si="109"/>
        <v>UNI</v>
      </c>
      <c r="G1050" s="7" t="str">
        <f t="shared" si="110"/>
        <v>HDR</v>
      </c>
      <c r="H1050" s="7" t="str">
        <f t="shared" si="111"/>
        <v>CUS</v>
      </c>
      <c r="I1050" s="7" t="str">
        <f t="shared" si="112"/>
        <v>HUE</v>
      </c>
      <c r="J1050" s="7" t="str">
        <f t="shared" si="113"/>
        <v>YEL</v>
      </c>
      <c r="K1050" s="7" t="str">
        <f t="shared" si="114"/>
        <v>0</v>
      </c>
      <c r="L1050" s="7">
        <v>0</v>
      </c>
      <c r="M1050" s="7" t="s">
        <v>2609</v>
      </c>
      <c r="N1050" s="7">
        <f>_xlfn.XLOOKUP(A1050,[1]SKU!$A:$A,[1]SKU!$Z:$Z)</f>
        <v>480000</v>
      </c>
    </row>
    <row r="1051" spans="1:14">
      <c r="A1051" s="1" t="s">
        <v>5790</v>
      </c>
      <c r="B1051" s="2" t="s">
        <v>4472</v>
      </c>
      <c r="C1051" s="2" t="s">
        <v>5791</v>
      </c>
      <c r="D1051" s="2" t="s">
        <v>5792</v>
      </c>
      <c r="E1051" s="7" t="str">
        <f t="shared" si="115"/>
        <v>HAM</v>
      </c>
      <c r="F1051" s="7" t="str">
        <f t="shared" si="109"/>
        <v>UNI</v>
      </c>
      <c r="G1051" s="7" t="str">
        <f t="shared" si="110"/>
        <v>JEW</v>
      </c>
      <c r="H1051" s="7" t="str">
        <f t="shared" si="111"/>
        <v>NEC</v>
      </c>
      <c r="I1051" s="7" t="str">
        <f t="shared" si="112"/>
        <v>N45</v>
      </c>
      <c r="J1051" s="7" t="str">
        <f t="shared" si="113"/>
        <v>MIX</v>
      </c>
      <c r="K1051" s="7" t="str">
        <f t="shared" si="114"/>
        <v>0</v>
      </c>
      <c r="L1051" s="7">
        <v>0</v>
      </c>
      <c r="M1051" s="7" t="s">
        <v>2609</v>
      </c>
      <c r="N1051" s="7">
        <f>_xlfn.XLOOKUP(A1051,[1]SKU!$A:$A,[1]SKU!$Z:$Z)</f>
        <v>1400000</v>
      </c>
    </row>
    <row r="1052" spans="1:14">
      <c r="A1052" s="1" t="s">
        <v>5793</v>
      </c>
      <c r="B1052" s="2" t="s">
        <v>4472</v>
      </c>
      <c r="C1052" s="2" t="s">
        <v>5791</v>
      </c>
      <c r="D1052" s="2" t="s">
        <v>5792</v>
      </c>
      <c r="E1052" s="7" t="str">
        <f t="shared" si="115"/>
        <v>HAM</v>
      </c>
      <c r="F1052" s="7" t="str">
        <f t="shared" ref="F1052:F1115" si="116">_xlfn.TEXTBEFORE(_xlfn.TEXTAFTER(D1052,"-",2),"-")</f>
        <v>UNI</v>
      </c>
      <c r="G1052" s="7" t="str">
        <f t="shared" ref="G1052:G1115" si="117">_xlfn.TEXTBEFORE(_xlfn.TEXTAFTER(D1052,"-",3),"-")</f>
        <v>JEW</v>
      </c>
      <c r="H1052" s="7" t="str">
        <f t="shared" ref="H1052:H1115" si="118">_xlfn.TEXTBEFORE(_xlfn.TEXTAFTER(D1052,"-",4),"-")</f>
        <v>NEC</v>
      </c>
      <c r="I1052" s="7" t="str">
        <f t="shared" ref="I1052:I1115" si="119">_xlfn.TEXTBEFORE(_xlfn.TEXTAFTER(D1052,"-",5),"-")</f>
        <v>N45</v>
      </c>
      <c r="J1052" s="7" t="str">
        <f t="shared" ref="J1052:J1115" si="120">_xlfn.TEXTBEFORE(_xlfn.TEXTAFTER(D1052,"-",6),"-")</f>
        <v>MIX</v>
      </c>
      <c r="K1052" s="7" t="str">
        <f t="shared" ref="K1052:K1115" si="121">_xlfn.TEXTAFTER(D1052,"-",7)</f>
        <v>0</v>
      </c>
      <c r="L1052" s="7">
        <v>0</v>
      </c>
      <c r="M1052" s="7" t="s">
        <v>2609</v>
      </c>
      <c r="N1052" s="7">
        <f>_xlfn.XLOOKUP(A1052,[1]SKU!$A:$A,[1]SKU!$Z:$Z)</f>
        <v>1400000</v>
      </c>
    </row>
    <row r="1053" spans="1:14">
      <c r="A1053" s="1" t="s">
        <v>1306</v>
      </c>
      <c r="B1053" s="2" t="s">
        <v>3</v>
      </c>
      <c r="C1053" s="2" t="s">
        <v>75</v>
      </c>
      <c r="D1053" s="2" t="s">
        <v>1307</v>
      </c>
      <c r="E1053" s="7" t="str">
        <f t="shared" si="115"/>
        <v>GSL</v>
      </c>
      <c r="F1053" s="7" t="str">
        <f t="shared" si="116"/>
        <v>KID</v>
      </c>
      <c r="G1053" s="7" t="str">
        <f t="shared" si="117"/>
        <v>APP</v>
      </c>
      <c r="H1053" s="7" t="str">
        <f t="shared" si="118"/>
        <v>BNE</v>
      </c>
      <c r="I1053" s="7" t="str">
        <f t="shared" si="119"/>
        <v>HOA</v>
      </c>
      <c r="J1053" s="7" t="str">
        <f t="shared" si="120"/>
        <v>WHI</v>
      </c>
      <c r="K1053" s="7" t="str">
        <f t="shared" si="121"/>
        <v>2</v>
      </c>
      <c r="L1053" s="7" t="s">
        <v>2117</v>
      </c>
      <c r="M1053" s="7" t="s">
        <v>2117</v>
      </c>
      <c r="N1053" s="7">
        <f>_xlfn.XLOOKUP(A1053,[1]SKU!$A:$A,[1]SKU!$Z:$Z)</f>
        <v>550000</v>
      </c>
    </row>
    <row r="1054" spans="1:14">
      <c r="A1054" s="1" t="s">
        <v>5794</v>
      </c>
      <c r="B1054" s="2" t="s">
        <v>4472</v>
      </c>
      <c r="C1054" s="2" t="s">
        <v>260</v>
      </c>
      <c r="D1054" s="2" t="s">
        <v>5795</v>
      </c>
      <c r="E1054" s="7" t="str">
        <f t="shared" si="115"/>
        <v>DSP</v>
      </c>
      <c r="F1054" s="7" t="str">
        <f t="shared" si="116"/>
        <v>UNI</v>
      </c>
      <c r="G1054" s="7" t="str">
        <f t="shared" si="117"/>
        <v>HDR</v>
      </c>
      <c r="H1054" s="7" t="str">
        <f t="shared" si="118"/>
        <v>LTK</v>
      </c>
      <c r="I1054" s="7" t="str">
        <f t="shared" si="119"/>
        <v>LTK</v>
      </c>
      <c r="J1054" s="7" t="str">
        <f t="shared" si="120"/>
        <v>DGN</v>
      </c>
      <c r="K1054" s="7" t="str">
        <f t="shared" si="121"/>
        <v>0</v>
      </c>
      <c r="L1054" s="7">
        <v>0</v>
      </c>
      <c r="M1054" s="7" t="s">
        <v>2609</v>
      </c>
      <c r="N1054" s="7">
        <f>_xlfn.XLOOKUP(A1054,[1]SKU!$A:$A,[1]SKU!$Z:$Z)</f>
        <v>2400000</v>
      </c>
    </row>
    <row r="1055" spans="1:14">
      <c r="A1055" s="1" t="s">
        <v>5796</v>
      </c>
      <c r="B1055" s="2" t="s">
        <v>4472</v>
      </c>
      <c r="C1055" s="2" t="s">
        <v>5797</v>
      </c>
      <c r="D1055" s="2" t="s">
        <v>5798</v>
      </c>
      <c r="E1055" s="7" t="str">
        <f t="shared" si="115"/>
        <v>DSP</v>
      </c>
      <c r="F1055" s="7" t="str">
        <f t="shared" si="116"/>
        <v>UNI</v>
      </c>
      <c r="G1055" s="7" t="str">
        <f t="shared" si="117"/>
        <v>BAG</v>
      </c>
      <c r="H1055" s="7" t="str">
        <f t="shared" si="118"/>
        <v>COS</v>
      </c>
      <c r="I1055" s="7" t="str">
        <f t="shared" si="119"/>
        <v>COS</v>
      </c>
      <c r="J1055" s="7" t="str">
        <f t="shared" si="120"/>
        <v>BLU</v>
      </c>
      <c r="K1055" s="7" t="str">
        <f t="shared" si="121"/>
        <v>0</v>
      </c>
      <c r="L1055" s="7">
        <v>0</v>
      </c>
      <c r="M1055" s="7" t="s">
        <v>2609</v>
      </c>
      <c r="N1055" s="7">
        <f>_xlfn.XLOOKUP(A1055,[1]SKU!$A:$A,[1]SKU!$Z:$Z)</f>
        <v>1200000</v>
      </c>
    </row>
    <row r="1056" spans="1:14">
      <c r="A1056" s="1" t="s">
        <v>5799</v>
      </c>
      <c r="B1056" s="2" t="s">
        <v>4481</v>
      </c>
      <c r="C1056" s="2" t="s">
        <v>35</v>
      </c>
      <c r="D1056" s="2" t="s">
        <v>5800</v>
      </c>
      <c r="E1056" s="7" t="str">
        <f t="shared" si="115"/>
        <v>PAS</v>
      </c>
      <c r="F1056" s="7" t="str">
        <f t="shared" si="116"/>
        <v>UNI</v>
      </c>
      <c r="G1056" s="7" t="str">
        <f t="shared" si="117"/>
        <v>ART</v>
      </c>
      <c r="H1056" s="7" t="str">
        <f t="shared" si="118"/>
        <v>ART</v>
      </c>
      <c r="I1056" s="7" t="str">
        <f t="shared" si="119"/>
        <v>FRA</v>
      </c>
      <c r="J1056" s="7" t="str">
        <f t="shared" si="120"/>
        <v>MIX</v>
      </c>
      <c r="K1056" s="7" t="str">
        <f t="shared" si="121"/>
        <v>A2</v>
      </c>
      <c r="L1056" s="7">
        <v>0</v>
      </c>
      <c r="M1056" s="7" t="s">
        <v>2609</v>
      </c>
      <c r="N1056" s="7">
        <f>_xlfn.XLOOKUP(A1056,[1]SKU!$A:$A,[1]SKU!$Z:$Z)</f>
        <v>2000000</v>
      </c>
    </row>
    <row r="1057" spans="1:14">
      <c r="A1057" s="1" t="s">
        <v>1308</v>
      </c>
      <c r="B1057" s="2" t="s">
        <v>3</v>
      </c>
      <c r="C1057" s="2" t="s">
        <v>84</v>
      </c>
      <c r="D1057" s="2" t="s">
        <v>1309</v>
      </c>
      <c r="E1057" s="7" t="str">
        <f t="shared" si="115"/>
        <v>GSL</v>
      </c>
      <c r="F1057" s="7" t="str">
        <f t="shared" si="116"/>
        <v>WOM</v>
      </c>
      <c r="G1057" s="7" t="str">
        <f t="shared" si="117"/>
        <v>FZE</v>
      </c>
      <c r="H1057" s="7" t="str">
        <f t="shared" si="118"/>
        <v>BNE</v>
      </c>
      <c r="I1057" s="7" t="str">
        <f t="shared" si="119"/>
        <v>HAI</v>
      </c>
      <c r="J1057" s="7" t="str">
        <f t="shared" si="120"/>
        <v>BLK</v>
      </c>
      <c r="K1057" s="7" t="str">
        <f t="shared" si="121"/>
        <v>XL</v>
      </c>
      <c r="L1057" s="7" t="s">
        <v>2131</v>
      </c>
      <c r="M1057" s="7" t="s">
        <v>2131</v>
      </c>
      <c r="N1057" s="7">
        <f>_xlfn.XLOOKUP(A1057,[1]SKU!$A:$A,[1]SKU!$Z:$Z)</f>
        <v>750000</v>
      </c>
    </row>
    <row r="1058" spans="1:14">
      <c r="A1058" s="1" t="s">
        <v>1310</v>
      </c>
      <c r="B1058" s="2" t="s">
        <v>3</v>
      </c>
      <c r="C1058" s="2" t="s">
        <v>1311</v>
      </c>
      <c r="D1058" s="2" t="s">
        <v>1312</v>
      </c>
      <c r="E1058" s="7" t="str">
        <f t="shared" si="115"/>
        <v>GSU</v>
      </c>
      <c r="F1058" s="7" t="str">
        <f t="shared" si="116"/>
        <v>MEN</v>
      </c>
      <c r="G1058" s="7" t="str">
        <f t="shared" si="117"/>
        <v>POL</v>
      </c>
      <c r="H1058" s="7" t="str">
        <f t="shared" si="118"/>
        <v>MAN</v>
      </c>
      <c r="I1058" s="7" t="str">
        <f t="shared" si="119"/>
        <v>LOG</v>
      </c>
      <c r="J1058" s="7" t="str">
        <f t="shared" si="120"/>
        <v>BLK</v>
      </c>
      <c r="K1058" s="7" t="str">
        <f t="shared" si="121"/>
        <v>S</v>
      </c>
      <c r="L1058" s="7" t="s">
        <v>1995</v>
      </c>
      <c r="M1058" s="7" t="s">
        <v>4468</v>
      </c>
      <c r="N1058" s="7">
        <f>_xlfn.XLOOKUP(A1058,[1]SKU!$A:$A,[1]SKU!$Z:$Z)</f>
        <v>1190000</v>
      </c>
    </row>
    <row r="1059" spans="1:14">
      <c r="A1059" s="1" t="s">
        <v>1313</v>
      </c>
      <c r="B1059" s="2" t="s">
        <v>3</v>
      </c>
      <c r="C1059" s="2" t="s">
        <v>16</v>
      </c>
      <c r="D1059" s="2" t="s">
        <v>1314</v>
      </c>
      <c r="E1059" s="7" t="str">
        <f t="shared" si="115"/>
        <v>GBA</v>
      </c>
      <c r="F1059" s="7" t="str">
        <f t="shared" si="116"/>
        <v>MEN</v>
      </c>
      <c r="G1059" s="7" t="str">
        <f t="shared" si="117"/>
        <v>TSS</v>
      </c>
      <c r="H1059" s="7" t="str">
        <f t="shared" si="118"/>
        <v>ONE</v>
      </c>
      <c r="I1059" s="7" t="str">
        <f t="shared" si="119"/>
        <v>SMP</v>
      </c>
      <c r="J1059" s="7" t="str">
        <f t="shared" si="120"/>
        <v>BLK</v>
      </c>
      <c r="K1059" s="7" t="str">
        <f t="shared" si="121"/>
        <v>S</v>
      </c>
      <c r="L1059" s="7" t="s">
        <v>2018</v>
      </c>
      <c r="M1059" s="7" t="s">
        <v>4462</v>
      </c>
      <c r="N1059" s="7">
        <f>_xlfn.XLOOKUP(A1059,[1]SKU!$A:$A,[1]SKU!$Z:$Z)</f>
        <v>710000</v>
      </c>
    </row>
    <row r="1060" spans="1:14">
      <c r="A1060" s="1" t="s">
        <v>1315</v>
      </c>
      <c r="B1060" s="2" t="s">
        <v>3</v>
      </c>
      <c r="C1060" s="2" t="s">
        <v>81</v>
      </c>
      <c r="D1060" s="2" t="s">
        <v>1316</v>
      </c>
      <c r="E1060" s="7" t="str">
        <f t="shared" si="115"/>
        <v>GCV</v>
      </c>
      <c r="F1060" s="7" t="str">
        <f t="shared" si="116"/>
        <v>MEN</v>
      </c>
      <c r="G1060" s="7" t="str">
        <f t="shared" si="117"/>
        <v>SIS</v>
      </c>
      <c r="H1060" s="7" t="str">
        <f t="shared" si="118"/>
        <v>BUT</v>
      </c>
      <c r="I1060" s="7" t="str">
        <f t="shared" si="119"/>
        <v>JUN</v>
      </c>
      <c r="J1060" s="7" t="str">
        <f t="shared" si="120"/>
        <v>WHI</v>
      </c>
      <c r="K1060" s="7" t="str">
        <f t="shared" si="121"/>
        <v>M</v>
      </c>
      <c r="L1060" s="7" t="s">
        <v>2211</v>
      </c>
      <c r="M1060" s="7" t="s">
        <v>4464</v>
      </c>
      <c r="N1060" s="7">
        <f>_xlfn.XLOOKUP(A1060,[1]SKU!$A:$A,[1]SKU!$Z:$Z)</f>
        <v>1790000</v>
      </c>
    </row>
    <row r="1061" spans="1:14">
      <c r="A1061" s="1" t="s">
        <v>5801</v>
      </c>
      <c r="B1061" s="2" t="s">
        <v>4472</v>
      </c>
      <c r="C1061" s="2" t="s">
        <v>637</v>
      </c>
      <c r="D1061" s="2" t="s">
        <v>5802</v>
      </c>
      <c r="E1061" s="7" t="str">
        <f t="shared" si="115"/>
        <v>DSP</v>
      </c>
      <c r="F1061" s="7" t="str">
        <f t="shared" si="116"/>
        <v>UNI</v>
      </c>
      <c r="G1061" s="7" t="str">
        <f t="shared" si="117"/>
        <v>BAG</v>
      </c>
      <c r="H1061" s="7" t="str">
        <f t="shared" si="118"/>
        <v>HDB</v>
      </c>
      <c r="I1061" s="7" t="str">
        <f t="shared" si="119"/>
        <v>GA1</v>
      </c>
      <c r="J1061" s="7" t="str">
        <f t="shared" si="120"/>
        <v>CHO</v>
      </c>
      <c r="K1061" s="7" t="str">
        <f t="shared" si="121"/>
        <v>0</v>
      </c>
      <c r="L1061" s="7">
        <v>0</v>
      </c>
      <c r="M1061" s="7" t="s">
        <v>2609</v>
      </c>
      <c r="N1061" s="7">
        <f>_xlfn.XLOOKUP(A1061,[1]SKU!$A:$A,[1]SKU!$Z:$Z)</f>
        <v>8690000</v>
      </c>
    </row>
    <row r="1062" spans="1:14">
      <c r="A1062" s="1" t="s">
        <v>5803</v>
      </c>
      <c r="B1062" s="2" t="s">
        <v>4472</v>
      </c>
      <c r="C1062" s="2" t="s">
        <v>94</v>
      </c>
      <c r="D1062" s="2" t="s">
        <v>5804</v>
      </c>
      <c r="E1062" s="7" t="str">
        <f t="shared" si="115"/>
        <v>NGO</v>
      </c>
      <c r="F1062" s="7" t="str">
        <f t="shared" si="116"/>
        <v>UNI</v>
      </c>
      <c r="G1062" s="7" t="str">
        <f t="shared" si="117"/>
        <v>FWR</v>
      </c>
      <c r="H1062" s="7" t="str">
        <f t="shared" si="118"/>
        <v>SNE</v>
      </c>
      <c r="I1062" s="7" t="str">
        <f t="shared" si="119"/>
        <v>SGS</v>
      </c>
      <c r="J1062" s="7" t="str">
        <f t="shared" si="120"/>
        <v>LYC</v>
      </c>
      <c r="K1062" s="7" t="str">
        <f t="shared" si="121"/>
        <v>40</v>
      </c>
      <c r="L1062" s="7">
        <v>0</v>
      </c>
      <c r="M1062" s="7" t="s">
        <v>2609</v>
      </c>
      <c r="N1062" s="7">
        <f>_xlfn.XLOOKUP(A1062,[1]SKU!$A:$A,[1]SKU!$Z:$Z)</f>
        <v>3850000</v>
      </c>
    </row>
    <row r="1063" spans="1:14">
      <c r="A1063" s="1" t="s">
        <v>5805</v>
      </c>
      <c r="B1063" s="2" t="s">
        <v>4481</v>
      </c>
      <c r="C1063" s="2" t="s">
        <v>1317</v>
      </c>
      <c r="D1063" s="2" t="s">
        <v>5806</v>
      </c>
      <c r="E1063" s="7" t="str">
        <f t="shared" si="115"/>
        <v>PAS</v>
      </c>
      <c r="F1063" s="7" t="str">
        <f t="shared" si="116"/>
        <v>UNI</v>
      </c>
      <c r="G1063" s="7" t="str">
        <f t="shared" si="117"/>
        <v>ART</v>
      </c>
      <c r="H1063" s="7" t="str">
        <f t="shared" si="118"/>
        <v>ART</v>
      </c>
      <c r="I1063" s="7" t="str">
        <f t="shared" si="119"/>
        <v>NOC</v>
      </c>
      <c r="J1063" s="7" t="str">
        <f t="shared" si="120"/>
        <v>MIX</v>
      </c>
      <c r="K1063" s="7" t="str">
        <f t="shared" si="121"/>
        <v>A4</v>
      </c>
      <c r="L1063" s="7">
        <v>0</v>
      </c>
      <c r="M1063" s="7" t="s">
        <v>2609</v>
      </c>
      <c r="N1063" s="7">
        <f>_xlfn.XLOOKUP(A1063,[1]SKU!$A:$A,[1]SKU!$Z:$Z)</f>
        <v>4000000</v>
      </c>
    </row>
    <row r="1064" spans="1:14">
      <c r="A1064" s="1" t="s">
        <v>5807</v>
      </c>
      <c r="B1064" s="2" t="s">
        <v>4472</v>
      </c>
      <c r="C1064" s="2" t="s">
        <v>5808</v>
      </c>
      <c r="D1064" s="2" t="s">
        <v>5809</v>
      </c>
      <c r="E1064" s="7" t="str">
        <f t="shared" si="115"/>
        <v>LAN</v>
      </c>
      <c r="F1064" s="7" t="str">
        <f t="shared" si="116"/>
        <v>UNI</v>
      </c>
      <c r="G1064" s="7" t="str">
        <f t="shared" si="117"/>
        <v>HWR</v>
      </c>
      <c r="H1064" s="7" t="str">
        <f t="shared" si="118"/>
        <v>SC2</v>
      </c>
      <c r="I1064" s="7" t="str">
        <f t="shared" si="119"/>
        <v>QHH</v>
      </c>
      <c r="J1064" s="7" t="str">
        <f t="shared" si="120"/>
        <v>RED</v>
      </c>
      <c r="K1064" s="7" t="str">
        <f t="shared" si="121"/>
        <v>6x130</v>
      </c>
      <c r="L1064" s="7">
        <v>0</v>
      </c>
      <c r="M1064" s="7" t="s">
        <v>2609</v>
      </c>
      <c r="N1064" s="7">
        <f>_xlfn.XLOOKUP(A1064,[1]SKU!$A:$A,[1]SKU!$Z:$Z)</f>
        <v>365000</v>
      </c>
    </row>
    <row r="1065" spans="1:14">
      <c r="A1065" s="1" t="s">
        <v>1318</v>
      </c>
      <c r="B1065" s="2" t="s">
        <v>3</v>
      </c>
      <c r="C1065" s="2" t="s">
        <v>268</v>
      </c>
      <c r="D1065" s="2" t="s">
        <v>1319</v>
      </c>
      <c r="E1065" s="7" t="str">
        <f t="shared" si="115"/>
        <v>GBA</v>
      </c>
      <c r="F1065" s="7" t="str">
        <f t="shared" si="116"/>
        <v>MEN</v>
      </c>
      <c r="G1065" s="7" t="str">
        <f t="shared" si="117"/>
        <v>TSS</v>
      </c>
      <c r="H1065" s="7" t="str">
        <f t="shared" si="118"/>
        <v>ONE</v>
      </c>
      <c r="I1065" s="7" t="str">
        <f t="shared" si="119"/>
        <v>SSY</v>
      </c>
      <c r="J1065" s="7" t="str">
        <f t="shared" si="120"/>
        <v>GRE</v>
      </c>
      <c r="K1065" s="7" t="str">
        <f t="shared" si="121"/>
        <v>L</v>
      </c>
      <c r="L1065" s="7" t="s">
        <v>2018</v>
      </c>
      <c r="M1065" s="7" t="s">
        <v>4462</v>
      </c>
      <c r="N1065" s="7">
        <f>_xlfn.XLOOKUP(A1065,[1]SKU!$A:$A,[1]SKU!$Z:$Z)</f>
        <v>710000</v>
      </c>
    </row>
    <row r="1066" spans="1:14">
      <c r="A1066" s="1" t="s">
        <v>5810</v>
      </c>
      <c r="B1066" s="2" t="s">
        <v>4472</v>
      </c>
      <c r="C1066" s="2" t="s">
        <v>171</v>
      </c>
      <c r="D1066" s="2" t="s">
        <v>5811</v>
      </c>
      <c r="E1066" s="7" t="str">
        <f t="shared" si="115"/>
        <v>DSP</v>
      </c>
      <c r="F1066" s="7" t="str">
        <f t="shared" si="116"/>
        <v>UNI</v>
      </c>
      <c r="G1066" s="7" t="str">
        <f t="shared" si="117"/>
        <v>FWR</v>
      </c>
      <c r="H1066" s="7" t="str">
        <f t="shared" si="118"/>
        <v>SLI</v>
      </c>
      <c r="I1066" s="7" t="str">
        <f t="shared" si="119"/>
        <v>MAS</v>
      </c>
      <c r="J1066" s="7" t="str">
        <f t="shared" si="120"/>
        <v>CRE</v>
      </c>
      <c r="K1066" s="7" t="str">
        <f t="shared" si="121"/>
        <v>40</v>
      </c>
      <c r="L1066" s="7">
        <v>0</v>
      </c>
      <c r="M1066" s="7" t="s">
        <v>2609</v>
      </c>
      <c r="N1066" s="7">
        <f>_xlfn.XLOOKUP(A1066,[1]SKU!$A:$A,[1]SKU!$Z:$Z)</f>
        <v>6200000</v>
      </c>
    </row>
    <row r="1067" spans="1:14">
      <c r="A1067" s="1" t="s">
        <v>1320</v>
      </c>
      <c r="B1067" s="2" t="s">
        <v>3</v>
      </c>
      <c r="C1067" s="2" t="s">
        <v>167</v>
      </c>
      <c r="D1067" s="2" t="s">
        <v>1321</v>
      </c>
      <c r="E1067" s="7" t="str">
        <f t="shared" si="115"/>
        <v>GFI</v>
      </c>
      <c r="F1067" s="7" t="str">
        <f t="shared" si="116"/>
        <v>MEN</v>
      </c>
      <c r="G1067" s="7" t="str">
        <f t="shared" si="117"/>
        <v>SHS</v>
      </c>
      <c r="H1067" s="7" t="str">
        <f t="shared" si="118"/>
        <v>EBT</v>
      </c>
      <c r="I1067" s="7" t="str">
        <f t="shared" si="119"/>
        <v>TJM</v>
      </c>
      <c r="J1067" s="7" t="str">
        <f t="shared" si="120"/>
        <v>BLK</v>
      </c>
      <c r="K1067" s="7" t="str">
        <f t="shared" si="121"/>
        <v>XL</v>
      </c>
      <c r="L1067" s="7" t="s">
        <v>2752</v>
      </c>
      <c r="M1067" s="7" t="s">
        <v>4463</v>
      </c>
      <c r="N1067" s="7">
        <f>_xlfn.XLOOKUP(A1067,[1]SKU!$A:$A,[1]SKU!$Z:$Z)</f>
        <v>1050000</v>
      </c>
    </row>
    <row r="1068" spans="1:14">
      <c r="A1068" s="1" t="s">
        <v>5812</v>
      </c>
      <c r="B1068" s="2" t="s">
        <v>4472</v>
      </c>
      <c r="C1068" s="2" t="s">
        <v>468</v>
      </c>
      <c r="D1068" s="2" t="s">
        <v>5813</v>
      </c>
      <c r="E1068" s="7" t="str">
        <f t="shared" si="115"/>
        <v>DSP</v>
      </c>
      <c r="F1068" s="7" t="str">
        <f t="shared" si="116"/>
        <v>UNI</v>
      </c>
      <c r="G1068" s="7" t="str">
        <f t="shared" si="117"/>
        <v>FWR</v>
      </c>
      <c r="H1068" s="7" t="str">
        <f t="shared" si="118"/>
        <v>LES</v>
      </c>
      <c r="I1068" s="7" t="str">
        <f t="shared" si="119"/>
        <v>BYR</v>
      </c>
      <c r="J1068" s="7" t="str">
        <f t="shared" si="120"/>
        <v>LEA</v>
      </c>
      <c r="K1068" s="7" t="str">
        <f t="shared" si="121"/>
        <v>38</v>
      </c>
      <c r="L1068" s="7">
        <v>0</v>
      </c>
      <c r="M1068" s="7" t="s">
        <v>2609</v>
      </c>
      <c r="N1068" s="7">
        <f>_xlfn.XLOOKUP(A1068,[1]SKU!$A:$A,[1]SKU!$Z:$Z)</f>
        <v>8250000</v>
      </c>
    </row>
    <row r="1069" spans="1:14">
      <c r="A1069" s="1" t="s">
        <v>1322</v>
      </c>
      <c r="B1069" s="2" t="s">
        <v>3</v>
      </c>
      <c r="C1069" s="2" t="s">
        <v>38</v>
      </c>
      <c r="D1069" s="2" t="s">
        <v>1323</v>
      </c>
      <c r="E1069" s="7" t="str">
        <f t="shared" si="115"/>
        <v>GLI</v>
      </c>
      <c r="F1069" s="7" t="str">
        <f t="shared" si="116"/>
        <v>MEN</v>
      </c>
      <c r="G1069" s="7" t="str">
        <f t="shared" si="117"/>
        <v>SIS</v>
      </c>
      <c r="H1069" s="7" t="str">
        <f t="shared" si="118"/>
        <v>CLA</v>
      </c>
      <c r="I1069" s="7" t="str">
        <f t="shared" si="119"/>
        <v>LOG</v>
      </c>
      <c r="J1069" s="7" t="str">
        <f t="shared" si="120"/>
        <v>WHI</v>
      </c>
      <c r="K1069" s="7" t="str">
        <f t="shared" si="121"/>
        <v>XXL</v>
      </c>
      <c r="L1069" s="7" t="s">
        <v>2211</v>
      </c>
      <c r="M1069" s="7" t="s">
        <v>4464</v>
      </c>
      <c r="N1069" s="7">
        <f>_xlfn.XLOOKUP(A1069,[1]SKU!$A:$A,[1]SKU!$Z:$Z)</f>
        <v>2590000</v>
      </c>
    </row>
    <row r="1070" spans="1:14">
      <c r="A1070" s="1" t="s">
        <v>5814</v>
      </c>
      <c r="B1070" s="2" t="s">
        <v>4472</v>
      </c>
      <c r="C1070" s="2" t="s">
        <v>1013</v>
      </c>
      <c r="D1070" s="2" t="s">
        <v>5815</v>
      </c>
      <c r="E1070" s="7" t="str">
        <f t="shared" si="115"/>
        <v>DSP</v>
      </c>
      <c r="F1070" s="7" t="str">
        <f t="shared" si="116"/>
        <v>UNI</v>
      </c>
      <c r="G1070" s="7" t="str">
        <f t="shared" si="117"/>
        <v>BAG</v>
      </c>
      <c r="H1070" s="7" t="str">
        <f t="shared" si="118"/>
        <v>WAL</v>
      </c>
      <c r="I1070" s="7" t="str">
        <f t="shared" si="119"/>
        <v>BAR</v>
      </c>
      <c r="J1070" s="7" t="str">
        <f t="shared" si="120"/>
        <v>YME</v>
      </c>
      <c r="K1070" s="7" t="str">
        <f t="shared" si="121"/>
        <v>0</v>
      </c>
      <c r="L1070" s="7">
        <v>0</v>
      </c>
      <c r="M1070" s="7" t="s">
        <v>2609</v>
      </c>
      <c r="N1070" s="7">
        <f>_xlfn.XLOOKUP(A1070,[1]SKU!$A:$A,[1]SKU!$Z:$Z)</f>
        <v>3300000</v>
      </c>
    </row>
    <row r="1071" spans="1:14">
      <c r="A1071" s="1" t="s">
        <v>5816</v>
      </c>
      <c r="B1071" s="2" t="s">
        <v>4472</v>
      </c>
      <c r="C1071" s="2" t="s">
        <v>5817</v>
      </c>
      <c r="D1071" s="2" t="s">
        <v>5818</v>
      </c>
      <c r="E1071" s="7" t="str">
        <f t="shared" si="115"/>
        <v>LAN</v>
      </c>
      <c r="F1071" s="7" t="str">
        <f t="shared" si="116"/>
        <v>UNI</v>
      </c>
      <c r="G1071" s="7" t="str">
        <f t="shared" si="117"/>
        <v>HWR</v>
      </c>
      <c r="H1071" s="7" t="str">
        <f t="shared" si="118"/>
        <v>SC2</v>
      </c>
      <c r="I1071" s="7" t="str">
        <f t="shared" si="119"/>
        <v>NPG</v>
      </c>
      <c r="J1071" s="7" t="str">
        <f t="shared" si="120"/>
        <v>PUR</v>
      </c>
      <c r="K1071" s="7" t="str">
        <f t="shared" si="121"/>
        <v>70x70</v>
      </c>
      <c r="L1071" s="7">
        <v>0</v>
      </c>
      <c r="M1071" s="7" t="s">
        <v>2609</v>
      </c>
      <c r="N1071" s="7">
        <f>_xlfn.XLOOKUP(A1071,[1]SKU!$A:$A,[1]SKU!$Z:$Z)</f>
        <v>749000</v>
      </c>
    </row>
    <row r="1072" spans="1:14">
      <c r="A1072" s="1" t="s">
        <v>5819</v>
      </c>
      <c r="B1072" s="2" t="s">
        <v>4481</v>
      </c>
      <c r="C1072" s="2" t="s">
        <v>1324</v>
      </c>
      <c r="D1072" s="2" t="s">
        <v>5820</v>
      </c>
      <c r="E1072" s="7" t="str">
        <f t="shared" si="115"/>
        <v>PAS</v>
      </c>
      <c r="F1072" s="7" t="str">
        <f t="shared" si="116"/>
        <v>UNI</v>
      </c>
      <c r="G1072" s="7" t="str">
        <f t="shared" si="117"/>
        <v>ART</v>
      </c>
      <c r="H1072" s="7" t="str">
        <f t="shared" si="118"/>
        <v>ART</v>
      </c>
      <c r="I1072" s="7" t="str">
        <f t="shared" si="119"/>
        <v>DYE</v>
      </c>
      <c r="J1072" s="7" t="str">
        <f t="shared" si="120"/>
        <v>MIX</v>
      </c>
      <c r="K1072" s="7" t="str">
        <f t="shared" si="121"/>
        <v>A3</v>
      </c>
      <c r="L1072" s="7">
        <v>0</v>
      </c>
      <c r="M1072" s="7" t="s">
        <v>2609</v>
      </c>
      <c r="N1072" s="7">
        <f>_xlfn.XLOOKUP(A1072,[1]SKU!$A:$A,[1]SKU!$Z:$Z)</f>
        <v>6000000</v>
      </c>
    </row>
    <row r="1073" spans="1:14">
      <c r="A1073" s="1" t="s">
        <v>5821</v>
      </c>
      <c r="B1073" s="2" t="s">
        <v>4472</v>
      </c>
      <c r="C1073" s="2" t="s">
        <v>4876</v>
      </c>
      <c r="D1073" s="2" t="s">
        <v>5822</v>
      </c>
      <c r="E1073" s="7" t="str">
        <f t="shared" si="115"/>
        <v>HAM</v>
      </c>
      <c r="F1073" s="7" t="str">
        <f t="shared" si="116"/>
        <v>UNI</v>
      </c>
      <c r="G1073" s="7" t="str">
        <f t="shared" si="117"/>
        <v>JEW</v>
      </c>
      <c r="H1073" s="7" t="str">
        <f t="shared" si="118"/>
        <v>NEC</v>
      </c>
      <c r="I1073" s="7" t="str">
        <f t="shared" si="119"/>
        <v>159</v>
      </c>
      <c r="J1073" s="7" t="str">
        <f t="shared" si="120"/>
        <v>MIX</v>
      </c>
      <c r="K1073" s="7" t="str">
        <f t="shared" si="121"/>
        <v>0</v>
      </c>
      <c r="L1073" s="7">
        <v>0</v>
      </c>
      <c r="M1073" s="7" t="s">
        <v>2609</v>
      </c>
      <c r="N1073" s="7">
        <f>_xlfn.XLOOKUP(A1073,[1]SKU!$A:$A,[1]SKU!$Z:$Z)</f>
        <v>2000000</v>
      </c>
    </row>
    <row r="1074" spans="1:14">
      <c r="A1074" s="1" t="s">
        <v>5823</v>
      </c>
      <c r="B1074" s="2" t="s">
        <v>4472</v>
      </c>
      <c r="C1074" s="2" t="s">
        <v>127</v>
      </c>
      <c r="D1074" s="2" t="s">
        <v>5824</v>
      </c>
      <c r="E1074" s="7" t="str">
        <f t="shared" si="115"/>
        <v>DSP</v>
      </c>
      <c r="F1074" s="7" t="str">
        <f t="shared" si="116"/>
        <v>UNI</v>
      </c>
      <c r="G1074" s="7" t="str">
        <f t="shared" si="117"/>
        <v>BAG</v>
      </c>
      <c r="H1074" s="7" t="str">
        <f t="shared" si="118"/>
        <v>HDB</v>
      </c>
      <c r="I1074" s="7" t="str">
        <f t="shared" si="119"/>
        <v>BRO</v>
      </c>
      <c r="J1074" s="7" t="str">
        <f t="shared" si="120"/>
        <v>BLK</v>
      </c>
      <c r="K1074" s="7" t="str">
        <f t="shared" si="121"/>
        <v>0</v>
      </c>
      <c r="L1074" s="7">
        <v>0</v>
      </c>
      <c r="M1074" s="7" t="s">
        <v>2609</v>
      </c>
      <c r="N1074" s="7">
        <f>_xlfn.XLOOKUP(A1074,[1]SKU!$A:$A,[1]SKU!$Z:$Z)</f>
        <v>6190000</v>
      </c>
    </row>
    <row r="1075" spans="1:14">
      <c r="A1075" s="1" t="s">
        <v>5825</v>
      </c>
      <c r="B1075" s="2" t="s">
        <v>4472</v>
      </c>
      <c r="C1075" s="2" t="s">
        <v>94</v>
      </c>
      <c r="D1075" s="2" t="s">
        <v>5826</v>
      </c>
      <c r="E1075" s="7" t="str">
        <f t="shared" si="115"/>
        <v>NGO</v>
      </c>
      <c r="F1075" s="7" t="str">
        <f t="shared" si="116"/>
        <v>UNI</v>
      </c>
      <c r="G1075" s="7" t="str">
        <f t="shared" si="117"/>
        <v>FWR</v>
      </c>
      <c r="H1075" s="7" t="str">
        <f t="shared" si="118"/>
        <v>SNE</v>
      </c>
      <c r="I1075" s="7" t="str">
        <f t="shared" si="119"/>
        <v>SGS</v>
      </c>
      <c r="J1075" s="7" t="str">
        <f t="shared" si="120"/>
        <v>SES</v>
      </c>
      <c r="K1075" s="7" t="str">
        <f t="shared" si="121"/>
        <v>39</v>
      </c>
      <c r="L1075" s="7">
        <v>0</v>
      </c>
      <c r="M1075" s="7" t="s">
        <v>2609</v>
      </c>
      <c r="N1075" s="7">
        <f>_xlfn.XLOOKUP(A1075,[1]SKU!$A:$A,[1]SKU!$Z:$Z)</f>
        <v>3850000</v>
      </c>
    </row>
    <row r="1076" spans="1:14">
      <c r="A1076" s="1" t="s">
        <v>5827</v>
      </c>
      <c r="B1076" s="2" t="s">
        <v>4472</v>
      </c>
      <c r="C1076" s="2" t="s">
        <v>5828</v>
      </c>
      <c r="D1076" s="2" t="s">
        <v>5829</v>
      </c>
      <c r="E1076" s="7" t="str">
        <f t="shared" si="115"/>
        <v>HAM</v>
      </c>
      <c r="F1076" s="7" t="str">
        <f t="shared" si="116"/>
        <v>UNI</v>
      </c>
      <c r="G1076" s="7" t="str">
        <f t="shared" si="117"/>
        <v>JEW</v>
      </c>
      <c r="H1076" s="7" t="str">
        <f t="shared" si="118"/>
        <v>NEC</v>
      </c>
      <c r="I1076" s="7" t="str">
        <f t="shared" si="119"/>
        <v>094</v>
      </c>
      <c r="J1076" s="7" t="str">
        <f t="shared" si="120"/>
        <v>MIX</v>
      </c>
      <c r="K1076" s="7" t="str">
        <f t="shared" si="121"/>
        <v>0</v>
      </c>
      <c r="L1076" s="7">
        <v>0</v>
      </c>
      <c r="M1076" s="7" t="s">
        <v>2609</v>
      </c>
      <c r="N1076" s="7">
        <f>_xlfn.XLOOKUP(A1076,[1]SKU!$A:$A,[1]SKU!$Z:$Z)</f>
        <v>2800000</v>
      </c>
    </row>
    <row r="1077" spans="1:14">
      <c r="A1077" s="1" t="s">
        <v>5830</v>
      </c>
      <c r="B1077" s="2" t="s">
        <v>4472</v>
      </c>
      <c r="C1077" s="2" t="s">
        <v>5831</v>
      </c>
      <c r="D1077" s="2" t="s">
        <v>5832</v>
      </c>
      <c r="E1077" s="7" t="str">
        <f t="shared" si="115"/>
        <v>HAM</v>
      </c>
      <c r="F1077" s="7" t="str">
        <f t="shared" si="116"/>
        <v>UNI</v>
      </c>
      <c r="G1077" s="7" t="str">
        <f t="shared" si="117"/>
        <v>JEW</v>
      </c>
      <c r="H1077" s="7" t="str">
        <f t="shared" si="118"/>
        <v>NEC</v>
      </c>
      <c r="I1077" s="7" t="str">
        <f t="shared" si="119"/>
        <v>N43</v>
      </c>
      <c r="J1077" s="7" t="str">
        <f t="shared" si="120"/>
        <v>MIX</v>
      </c>
      <c r="K1077" s="7" t="str">
        <f t="shared" si="121"/>
        <v>0</v>
      </c>
      <c r="L1077" s="7">
        <v>0</v>
      </c>
      <c r="M1077" s="7" t="s">
        <v>2609</v>
      </c>
      <c r="N1077" s="7">
        <f>_xlfn.XLOOKUP(A1077,[1]SKU!$A:$A,[1]SKU!$Z:$Z)</f>
        <v>3500000</v>
      </c>
    </row>
    <row r="1078" spans="1:14">
      <c r="A1078" s="1" t="s">
        <v>1328</v>
      </c>
      <c r="B1078" s="2" t="s">
        <v>3</v>
      </c>
      <c r="C1078" s="2" t="s">
        <v>167</v>
      </c>
      <c r="D1078" s="2" t="s">
        <v>1329</v>
      </c>
      <c r="E1078" s="7" t="str">
        <f t="shared" si="115"/>
        <v>GFN</v>
      </c>
      <c r="F1078" s="7" t="str">
        <f t="shared" si="116"/>
        <v>MEN</v>
      </c>
      <c r="G1078" s="7" t="str">
        <f t="shared" si="117"/>
        <v>SHS</v>
      </c>
      <c r="H1078" s="7" t="str">
        <f t="shared" si="118"/>
        <v>EBT</v>
      </c>
      <c r="I1078" s="7" t="str">
        <f t="shared" si="119"/>
        <v>TJM</v>
      </c>
      <c r="J1078" s="7" t="str">
        <f t="shared" si="120"/>
        <v>BLK</v>
      </c>
      <c r="K1078" s="7" t="str">
        <f t="shared" si="121"/>
        <v>M</v>
      </c>
      <c r="L1078" s="7" t="s">
        <v>2752</v>
      </c>
      <c r="M1078" s="7" t="s">
        <v>4463</v>
      </c>
      <c r="N1078" s="7">
        <f>_xlfn.XLOOKUP(A1078,[1]SKU!$A:$A,[1]SKU!$Z:$Z)</f>
        <v>1050000</v>
      </c>
    </row>
    <row r="1079" spans="1:14">
      <c r="A1079" s="1" t="s">
        <v>1330</v>
      </c>
      <c r="B1079" s="2" t="s">
        <v>3</v>
      </c>
      <c r="C1079" s="2" t="s">
        <v>143</v>
      </c>
      <c r="D1079" s="2" t="s">
        <v>1331</v>
      </c>
      <c r="E1079" s="7" t="str">
        <f t="shared" si="115"/>
        <v>GOR</v>
      </c>
      <c r="F1079" s="7" t="str">
        <f t="shared" si="116"/>
        <v>KID</v>
      </c>
      <c r="G1079" s="7" t="str">
        <f t="shared" si="117"/>
        <v>TSS</v>
      </c>
      <c r="H1079" s="7" t="str">
        <f t="shared" si="118"/>
        <v>ONE</v>
      </c>
      <c r="I1079" s="7" t="str">
        <f t="shared" si="119"/>
        <v>MOX</v>
      </c>
      <c r="J1079" s="7" t="str">
        <f t="shared" si="120"/>
        <v>PPA</v>
      </c>
      <c r="K1079" s="7" t="str">
        <f t="shared" si="121"/>
        <v>8</v>
      </c>
      <c r="L1079" s="7" t="s">
        <v>2018</v>
      </c>
      <c r="M1079" s="7" t="s">
        <v>4462</v>
      </c>
      <c r="N1079" s="7">
        <f>_xlfn.XLOOKUP(A1079,[1]SKU!$A:$A,[1]SKU!$Z:$Z)</f>
        <v>590000</v>
      </c>
    </row>
    <row r="1080" spans="1:14">
      <c r="A1080" s="1" t="s">
        <v>5833</v>
      </c>
      <c r="B1080" s="2" t="s">
        <v>4472</v>
      </c>
      <c r="C1080" s="2" t="s">
        <v>5834</v>
      </c>
      <c r="D1080" s="2" t="s">
        <v>5835</v>
      </c>
      <c r="E1080" s="7" t="str">
        <f t="shared" si="115"/>
        <v>HAM</v>
      </c>
      <c r="F1080" s="7" t="str">
        <f t="shared" si="116"/>
        <v>UNI</v>
      </c>
      <c r="G1080" s="7" t="str">
        <f t="shared" si="117"/>
        <v>JEW</v>
      </c>
      <c r="H1080" s="7" t="str">
        <f t="shared" si="118"/>
        <v>NEC</v>
      </c>
      <c r="I1080" s="7" t="str">
        <f t="shared" si="119"/>
        <v>118</v>
      </c>
      <c r="J1080" s="7" t="str">
        <f t="shared" si="120"/>
        <v>MIX</v>
      </c>
      <c r="K1080" s="7" t="str">
        <f t="shared" si="121"/>
        <v>0</v>
      </c>
      <c r="L1080" s="7">
        <v>0</v>
      </c>
      <c r="M1080" s="7" t="s">
        <v>2609</v>
      </c>
      <c r="N1080" s="7">
        <f>_xlfn.XLOOKUP(A1080,[1]SKU!$A:$A,[1]SKU!$Z:$Z)</f>
        <v>2800000</v>
      </c>
    </row>
    <row r="1081" spans="1:14">
      <c r="A1081" s="1" t="s">
        <v>5836</v>
      </c>
      <c r="B1081" s="2" t="s">
        <v>4472</v>
      </c>
      <c r="C1081" s="2" t="s">
        <v>5837</v>
      </c>
      <c r="D1081" s="2" t="s">
        <v>5838</v>
      </c>
      <c r="E1081" s="7" t="str">
        <f t="shared" si="115"/>
        <v>HAM</v>
      </c>
      <c r="F1081" s="7" t="str">
        <f t="shared" si="116"/>
        <v>UNI</v>
      </c>
      <c r="G1081" s="7" t="str">
        <f t="shared" si="117"/>
        <v>JEW</v>
      </c>
      <c r="H1081" s="7" t="str">
        <f t="shared" si="118"/>
        <v>NEC</v>
      </c>
      <c r="I1081" s="7" t="str">
        <f t="shared" si="119"/>
        <v>N46</v>
      </c>
      <c r="J1081" s="7" t="str">
        <f t="shared" si="120"/>
        <v>MIX</v>
      </c>
      <c r="K1081" s="7" t="str">
        <f t="shared" si="121"/>
        <v>0</v>
      </c>
      <c r="L1081" s="7">
        <v>0</v>
      </c>
      <c r="M1081" s="7" t="s">
        <v>2609</v>
      </c>
      <c r="N1081" s="7">
        <f>_xlfn.XLOOKUP(A1081,[1]SKU!$A:$A,[1]SKU!$Z:$Z)</f>
        <v>1000000</v>
      </c>
    </row>
    <row r="1082" spans="1:14">
      <c r="A1082" s="1" t="s">
        <v>5839</v>
      </c>
      <c r="B1082" s="2" t="s">
        <v>4472</v>
      </c>
      <c r="C1082" s="2" t="s">
        <v>288</v>
      </c>
      <c r="D1082" s="2" t="s">
        <v>5840</v>
      </c>
      <c r="E1082" s="7" t="str">
        <f t="shared" si="115"/>
        <v>DSP</v>
      </c>
      <c r="F1082" s="7" t="str">
        <f t="shared" si="116"/>
        <v>UNI</v>
      </c>
      <c r="G1082" s="7" t="str">
        <f t="shared" si="117"/>
        <v>BAG</v>
      </c>
      <c r="H1082" s="7" t="str">
        <f t="shared" si="118"/>
        <v>CBG</v>
      </c>
      <c r="I1082" s="7" t="str">
        <f t="shared" si="119"/>
        <v>RUS</v>
      </c>
      <c r="J1082" s="7" t="str">
        <f t="shared" si="120"/>
        <v>SLR</v>
      </c>
      <c r="K1082" s="7" t="str">
        <f t="shared" si="121"/>
        <v>0</v>
      </c>
      <c r="L1082" s="7">
        <v>0</v>
      </c>
      <c r="M1082" s="7" t="s">
        <v>2609</v>
      </c>
      <c r="N1082" s="7">
        <f>_xlfn.XLOOKUP(A1082,[1]SKU!$A:$A,[1]SKU!$Z:$Z)</f>
        <v>3800000</v>
      </c>
    </row>
    <row r="1083" spans="1:14">
      <c r="A1083" s="1" t="s">
        <v>5841</v>
      </c>
      <c r="B1083" s="2" t="s">
        <v>4472</v>
      </c>
      <c r="C1083" s="2" t="s">
        <v>115</v>
      </c>
      <c r="D1083" s="2" t="s">
        <v>5842</v>
      </c>
      <c r="E1083" s="7" t="str">
        <f t="shared" si="115"/>
        <v>DSP</v>
      </c>
      <c r="F1083" s="7" t="str">
        <f t="shared" si="116"/>
        <v>UNI</v>
      </c>
      <c r="G1083" s="7" t="str">
        <f t="shared" si="117"/>
        <v>BAG</v>
      </c>
      <c r="H1083" s="7" t="str">
        <f t="shared" si="118"/>
        <v>HDB</v>
      </c>
      <c r="I1083" s="7" t="str">
        <f t="shared" si="119"/>
        <v>GA1</v>
      </c>
      <c r="J1083" s="7" t="str">
        <f t="shared" si="120"/>
        <v>YEL</v>
      </c>
      <c r="K1083" s="7" t="str">
        <f t="shared" si="121"/>
        <v>0</v>
      </c>
      <c r="L1083" s="7">
        <v>0</v>
      </c>
      <c r="M1083" s="7" t="s">
        <v>2609</v>
      </c>
      <c r="N1083" s="7">
        <f>_xlfn.XLOOKUP(A1083,[1]SKU!$A:$A,[1]SKU!$Z:$Z)</f>
        <v>8690000</v>
      </c>
    </row>
    <row r="1084" spans="1:14">
      <c r="A1084" s="1" t="s">
        <v>1334</v>
      </c>
      <c r="B1084" s="2" t="s">
        <v>3</v>
      </c>
      <c r="C1084" s="2" t="s">
        <v>1189</v>
      </c>
      <c r="D1084" s="2" t="s">
        <v>1335</v>
      </c>
      <c r="E1084" s="7" t="str">
        <f t="shared" si="115"/>
        <v>GBA</v>
      </c>
      <c r="F1084" s="7" t="str">
        <f t="shared" si="116"/>
        <v>MEN</v>
      </c>
      <c r="G1084" s="7" t="str">
        <f t="shared" si="117"/>
        <v>TSS</v>
      </c>
      <c r="H1084" s="7" t="str">
        <f t="shared" si="118"/>
        <v>ONE</v>
      </c>
      <c r="I1084" s="7" t="str">
        <f t="shared" si="119"/>
        <v>NBP</v>
      </c>
      <c r="J1084" s="7" t="str">
        <f t="shared" si="120"/>
        <v>WHI</v>
      </c>
      <c r="K1084" s="7" t="str">
        <f t="shared" si="121"/>
        <v>L</v>
      </c>
      <c r="L1084" s="7" t="s">
        <v>2018</v>
      </c>
      <c r="M1084" s="7" t="s">
        <v>4462</v>
      </c>
      <c r="N1084" s="7">
        <f>_xlfn.XLOOKUP(A1084,[1]SKU!$A:$A,[1]SKU!$Z:$Z)</f>
        <v>1650000</v>
      </c>
    </row>
    <row r="1085" spans="1:14">
      <c r="A1085" s="1" t="s">
        <v>1336</v>
      </c>
      <c r="B1085" s="2" t="s">
        <v>3</v>
      </c>
      <c r="C1085" s="2" t="s">
        <v>33</v>
      </c>
      <c r="D1085" s="2" t="s">
        <v>1337</v>
      </c>
      <c r="E1085" s="7" t="str">
        <f t="shared" si="115"/>
        <v>GSL</v>
      </c>
      <c r="F1085" s="7" t="str">
        <f t="shared" si="116"/>
        <v>WOM</v>
      </c>
      <c r="G1085" s="7" t="str">
        <f t="shared" si="117"/>
        <v>TSS</v>
      </c>
      <c r="H1085" s="7" t="str">
        <f t="shared" si="118"/>
        <v>VNE</v>
      </c>
      <c r="I1085" s="7" t="str">
        <f t="shared" si="119"/>
        <v>VTM</v>
      </c>
      <c r="J1085" s="7" t="str">
        <f t="shared" si="120"/>
        <v>WHI</v>
      </c>
      <c r="K1085" s="7" t="str">
        <f t="shared" si="121"/>
        <v>S</v>
      </c>
      <c r="L1085" s="7" t="s">
        <v>2018</v>
      </c>
      <c r="M1085" s="7" t="s">
        <v>4462</v>
      </c>
      <c r="N1085" s="7">
        <f>_xlfn.XLOOKUP(A1085,[1]SKU!$A:$A,[1]SKU!$Z:$Z)</f>
        <v>750000</v>
      </c>
    </row>
    <row r="1086" spans="1:14">
      <c r="A1086" s="1" t="s">
        <v>5843</v>
      </c>
      <c r="B1086" s="2" t="s">
        <v>4472</v>
      </c>
      <c r="C1086" s="2" t="s">
        <v>1338</v>
      </c>
      <c r="D1086" s="2" t="s">
        <v>5844</v>
      </c>
      <c r="E1086" s="7" t="str">
        <f t="shared" si="115"/>
        <v>DSP</v>
      </c>
      <c r="F1086" s="7" t="str">
        <f t="shared" si="116"/>
        <v>UNI</v>
      </c>
      <c r="G1086" s="7" t="str">
        <f t="shared" si="117"/>
        <v>BAG</v>
      </c>
      <c r="H1086" s="7" t="str">
        <f t="shared" si="118"/>
        <v>CHR</v>
      </c>
      <c r="I1086" s="7" t="str">
        <f t="shared" si="119"/>
        <v>TUS</v>
      </c>
      <c r="J1086" s="7" t="str">
        <f t="shared" si="120"/>
        <v>DBN</v>
      </c>
      <c r="K1086" s="7" t="str">
        <f t="shared" si="121"/>
        <v>0</v>
      </c>
      <c r="L1086" s="7">
        <v>0</v>
      </c>
      <c r="M1086" s="7" t="s">
        <v>2609</v>
      </c>
      <c r="N1086" s="7">
        <f>_xlfn.XLOOKUP(A1086,[1]SKU!$A:$A,[1]SKU!$Z:$Z)</f>
        <v>1350000</v>
      </c>
    </row>
    <row r="1087" spans="1:14">
      <c r="A1087" s="1" t="s">
        <v>5845</v>
      </c>
      <c r="B1087" s="2" t="s">
        <v>4472</v>
      </c>
      <c r="C1087" s="2" t="s">
        <v>1338</v>
      </c>
      <c r="D1087" s="2" t="s">
        <v>5844</v>
      </c>
      <c r="E1087" s="7" t="str">
        <f t="shared" si="115"/>
        <v>DSP</v>
      </c>
      <c r="F1087" s="7" t="str">
        <f t="shared" si="116"/>
        <v>UNI</v>
      </c>
      <c r="G1087" s="7" t="str">
        <f t="shared" si="117"/>
        <v>BAG</v>
      </c>
      <c r="H1087" s="7" t="str">
        <f t="shared" si="118"/>
        <v>CHR</v>
      </c>
      <c r="I1087" s="7" t="str">
        <f t="shared" si="119"/>
        <v>TUS</v>
      </c>
      <c r="J1087" s="7" t="str">
        <f t="shared" si="120"/>
        <v>DBN</v>
      </c>
      <c r="K1087" s="7" t="str">
        <f t="shared" si="121"/>
        <v>0</v>
      </c>
      <c r="L1087" s="7">
        <v>0</v>
      </c>
      <c r="M1087" s="7" t="s">
        <v>2609</v>
      </c>
      <c r="N1087" s="7">
        <f>_xlfn.XLOOKUP(A1087,[1]SKU!$A:$A,[1]SKU!$Z:$Z)</f>
        <v>1350000</v>
      </c>
    </row>
    <row r="1088" spans="1:14">
      <c r="A1088" s="1" t="s">
        <v>5846</v>
      </c>
      <c r="B1088" s="2" t="s">
        <v>4472</v>
      </c>
      <c r="C1088" s="2" t="s">
        <v>4960</v>
      </c>
      <c r="D1088" s="2" t="s">
        <v>5847</v>
      </c>
      <c r="E1088" s="7" t="str">
        <f t="shared" si="115"/>
        <v>DSP</v>
      </c>
      <c r="F1088" s="7" t="str">
        <f t="shared" si="116"/>
        <v>UNI</v>
      </c>
      <c r="G1088" s="7" t="str">
        <f t="shared" si="117"/>
        <v>BAG</v>
      </c>
      <c r="H1088" s="7" t="str">
        <f t="shared" si="118"/>
        <v>CLU</v>
      </c>
      <c r="I1088" s="7" t="str">
        <f t="shared" si="119"/>
        <v>ML0</v>
      </c>
      <c r="J1088" s="7" t="str">
        <f t="shared" si="120"/>
        <v>TAC</v>
      </c>
      <c r="K1088" s="7" t="str">
        <f t="shared" si="121"/>
        <v>0</v>
      </c>
      <c r="L1088" s="7">
        <v>0</v>
      </c>
      <c r="M1088" s="7" t="s">
        <v>2609</v>
      </c>
      <c r="N1088" s="7">
        <f>_xlfn.XLOOKUP(A1088,[1]SKU!$A:$A,[1]SKU!$Z:$Z)</f>
        <v>7200000</v>
      </c>
    </row>
    <row r="1089" spans="1:14">
      <c r="A1089" s="1" t="s">
        <v>1339</v>
      </c>
      <c r="B1089" s="2" t="s">
        <v>3</v>
      </c>
      <c r="C1089" s="2" t="s">
        <v>129</v>
      </c>
      <c r="D1089" s="2" t="s">
        <v>1340</v>
      </c>
      <c r="E1089" s="7" t="str">
        <f t="shared" si="115"/>
        <v>GBA</v>
      </c>
      <c r="F1089" s="7" t="str">
        <f t="shared" si="116"/>
        <v>MEN</v>
      </c>
      <c r="G1089" s="7" t="str">
        <f t="shared" si="117"/>
        <v>TSS</v>
      </c>
      <c r="H1089" s="7" t="str">
        <f t="shared" si="118"/>
        <v>ONE</v>
      </c>
      <c r="I1089" s="7" t="str">
        <f t="shared" si="119"/>
        <v>TJM</v>
      </c>
      <c r="J1089" s="7" t="str">
        <f t="shared" si="120"/>
        <v>OLI</v>
      </c>
      <c r="K1089" s="7" t="str">
        <f t="shared" si="121"/>
        <v>XXL</v>
      </c>
      <c r="L1089" s="7" t="s">
        <v>2018</v>
      </c>
      <c r="M1089" s="7" t="s">
        <v>4462</v>
      </c>
      <c r="N1089" s="7">
        <f>_xlfn.XLOOKUP(A1089,[1]SKU!$A:$A,[1]SKU!$Z:$Z)</f>
        <v>710000</v>
      </c>
    </row>
    <row r="1090" spans="1:14">
      <c r="A1090" s="1" t="s">
        <v>1341</v>
      </c>
      <c r="B1090" s="2" t="s">
        <v>3</v>
      </c>
      <c r="C1090" s="2" t="s">
        <v>113</v>
      </c>
      <c r="D1090" s="2" t="s">
        <v>1342</v>
      </c>
      <c r="E1090" s="7" t="str">
        <f t="shared" ref="E1090:E1153" si="122">_xlfn.TEXTBEFORE(_xlfn.TEXTAFTER(D1090,"-"),"-")</f>
        <v>GCL</v>
      </c>
      <c r="F1090" s="7" t="str">
        <f t="shared" si="116"/>
        <v>WOM</v>
      </c>
      <c r="G1090" s="7" t="str">
        <f t="shared" si="117"/>
        <v>CRO</v>
      </c>
      <c r="H1090" s="7" t="str">
        <f t="shared" si="118"/>
        <v>ONE</v>
      </c>
      <c r="I1090" s="7" t="str">
        <f t="shared" si="119"/>
        <v>TCS</v>
      </c>
      <c r="J1090" s="7" t="str">
        <f t="shared" si="120"/>
        <v>WHI</v>
      </c>
      <c r="K1090" s="7" t="str">
        <f t="shared" si="121"/>
        <v>L</v>
      </c>
      <c r="L1090" s="7" t="s">
        <v>2453</v>
      </c>
      <c r="M1090" s="7" t="s">
        <v>4463</v>
      </c>
      <c r="N1090" s="7">
        <f>_xlfn.XLOOKUP(A1090,[1]SKU!$A:$A,[1]SKU!$Z:$Z)</f>
        <v>1190000</v>
      </c>
    </row>
    <row r="1091" spans="1:14">
      <c r="A1091" s="1" t="s">
        <v>1343</v>
      </c>
      <c r="B1091" s="2" t="s">
        <v>19</v>
      </c>
      <c r="C1091" s="2" t="s">
        <v>1344</v>
      </c>
      <c r="D1091" s="2" t="s">
        <v>1345</v>
      </c>
      <c r="E1091" s="7" t="str">
        <f t="shared" si="122"/>
        <v>OTH</v>
      </c>
      <c r="F1091" s="7" t="str">
        <f t="shared" si="116"/>
        <v>UNI</v>
      </c>
      <c r="G1091" s="7" t="str">
        <f t="shared" si="117"/>
        <v>SOU</v>
      </c>
      <c r="H1091" s="7" t="str">
        <f t="shared" si="118"/>
        <v>MUG</v>
      </c>
      <c r="I1091" s="7" t="str">
        <f t="shared" si="119"/>
        <v>USN</v>
      </c>
      <c r="J1091" s="7" t="str">
        <f t="shared" si="120"/>
        <v>WHI</v>
      </c>
      <c r="K1091" s="7" t="str">
        <f t="shared" si="121"/>
        <v>S</v>
      </c>
      <c r="L1091" s="7">
        <v>0</v>
      </c>
      <c r="M1091" s="7" t="s">
        <v>2609</v>
      </c>
      <c r="N1091" s="7">
        <f>_xlfn.XLOOKUP(A1091,[1]SKU!$A:$A,[1]SKU!$Z:$Z)</f>
        <v>395000</v>
      </c>
    </row>
    <row r="1092" spans="1:14">
      <c r="A1092" s="1" t="s">
        <v>5848</v>
      </c>
      <c r="B1092" s="2" t="s">
        <v>4472</v>
      </c>
      <c r="C1092" s="2" t="s">
        <v>171</v>
      </c>
      <c r="D1092" s="2" t="s">
        <v>5849</v>
      </c>
      <c r="E1092" s="7" t="str">
        <f t="shared" si="122"/>
        <v>DSP</v>
      </c>
      <c r="F1092" s="7" t="str">
        <f t="shared" si="116"/>
        <v>UNI</v>
      </c>
      <c r="G1092" s="7" t="str">
        <f t="shared" si="117"/>
        <v>FWR</v>
      </c>
      <c r="H1092" s="7" t="str">
        <f t="shared" si="118"/>
        <v>SLI</v>
      </c>
      <c r="I1092" s="7" t="str">
        <f t="shared" si="119"/>
        <v>MAS</v>
      </c>
      <c r="J1092" s="7" t="str">
        <f t="shared" si="120"/>
        <v>LEA</v>
      </c>
      <c r="K1092" s="7" t="str">
        <f t="shared" si="121"/>
        <v>38</v>
      </c>
      <c r="L1092" s="7">
        <v>0</v>
      </c>
      <c r="M1092" s="7" t="s">
        <v>2609</v>
      </c>
      <c r="N1092" s="7">
        <f>_xlfn.XLOOKUP(A1092,[1]SKU!$A:$A,[1]SKU!$Z:$Z)</f>
        <v>6200000</v>
      </c>
    </row>
    <row r="1093" spans="1:14">
      <c r="A1093" s="1" t="s">
        <v>1346</v>
      </c>
      <c r="B1093" s="2" t="s">
        <v>3</v>
      </c>
      <c r="C1093" s="2" t="s">
        <v>23</v>
      </c>
      <c r="D1093" s="2" t="s">
        <v>1347</v>
      </c>
      <c r="E1093" s="7" t="str">
        <f t="shared" si="122"/>
        <v>GOR</v>
      </c>
      <c r="F1093" s="7" t="str">
        <f t="shared" si="116"/>
        <v>MEN</v>
      </c>
      <c r="G1093" s="7" t="str">
        <f t="shared" si="117"/>
        <v>TSS</v>
      </c>
      <c r="H1093" s="7" t="str">
        <f t="shared" si="118"/>
        <v>ONE</v>
      </c>
      <c r="I1093" s="7" t="str">
        <f t="shared" si="119"/>
        <v>URB</v>
      </c>
      <c r="J1093" s="7" t="str">
        <f t="shared" si="120"/>
        <v>GRE</v>
      </c>
      <c r="K1093" s="7" t="str">
        <f t="shared" si="121"/>
        <v>XXL</v>
      </c>
      <c r="L1093" s="7" t="s">
        <v>2018</v>
      </c>
      <c r="M1093" s="7" t="s">
        <v>4462</v>
      </c>
      <c r="N1093" s="7">
        <f>_xlfn.XLOOKUP(A1093,[1]SKU!$A:$A,[1]SKU!$Z:$Z)</f>
        <v>790000</v>
      </c>
    </row>
    <row r="1094" spans="1:14">
      <c r="A1094" s="1" t="s">
        <v>1348</v>
      </c>
      <c r="B1094" s="2" t="s">
        <v>3</v>
      </c>
      <c r="C1094" s="2" t="s">
        <v>42</v>
      </c>
      <c r="D1094" s="2" t="s">
        <v>1349</v>
      </c>
      <c r="E1094" s="7" t="str">
        <f t="shared" si="122"/>
        <v>GCL</v>
      </c>
      <c r="F1094" s="7" t="str">
        <f t="shared" si="116"/>
        <v>MEN</v>
      </c>
      <c r="G1094" s="7" t="str">
        <f t="shared" si="117"/>
        <v>TSO</v>
      </c>
      <c r="H1094" s="7" t="str">
        <f t="shared" si="118"/>
        <v>ONE</v>
      </c>
      <c r="I1094" s="7" t="str">
        <f t="shared" si="119"/>
        <v>EHT</v>
      </c>
      <c r="J1094" s="7" t="str">
        <f t="shared" si="120"/>
        <v>WHI</v>
      </c>
      <c r="K1094" s="7" t="str">
        <f t="shared" si="121"/>
        <v>L</v>
      </c>
      <c r="L1094" s="7" t="s">
        <v>2071</v>
      </c>
      <c r="M1094" s="7" t="s">
        <v>4462</v>
      </c>
      <c r="N1094" s="7">
        <f>_xlfn.XLOOKUP(A1094,[1]SKU!$A:$A,[1]SKU!$Z:$Z)</f>
        <v>1290000</v>
      </c>
    </row>
    <row r="1095" spans="1:14">
      <c r="A1095" s="1" t="s">
        <v>1350</v>
      </c>
      <c r="B1095" s="2" t="s">
        <v>3</v>
      </c>
      <c r="C1095" s="2" t="s">
        <v>167</v>
      </c>
      <c r="D1095" s="2" t="s">
        <v>1351</v>
      </c>
      <c r="E1095" s="7" t="str">
        <f t="shared" si="122"/>
        <v>GOR</v>
      </c>
      <c r="F1095" s="7" t="str">
        <f t="shared" si="116"/>
        <v>MEN</v>
      </c>
      <c r="G1095" s="7" t="str">
        <f t="shared" si="117"/>
        <v>TSP</v>
      </c>
      <c r="H1095" s="7" t="str">
        <f t="shared" si="118"/>
        <v>ONE</v>
      </c>
      <c r="I1095" s="7" t="str">
        <f t="shared" si="119"/>
        <v>TJM</v>
      </c>
      <c r="J1095" s="7" t="str">
        <f t="shared" si="120"/>
        <v>OLI</v>
      </c>
      <c r="K1095" s="7" t="str">
        <f t="shared" si="121"/>
        <v>S</v>
      </c>
      <c r="L1095" s="7" t="s">
        <v>2085</v>
      </c>
      <c r="M1095" s="7" t="s">
        <v>4462</v>
      </c>
      <c r="N1095" s="7">
        <f>_xlfn.XLOOKUP(A1095,[1]SKU!$A:$A,[1]SKU!$Z:$Z)</f>
        <v>790000</v>
      </c>
    </row>
    <row r="1096" spans="1:14">
      <c r="A1096" s="1" t="s">
        <v>1352</v>
      </c>
      <c r="B1096" s="2" t="s">
        <v>3</v>
      </c>
      <c r="C1096" s="2" t="s">
        <v>300</v>
      </c>
      <c r="D1096" s="2" t="s">
        <v>1353</v>
      </c>
      <c r="E1096" s="7" t="str">
        <f t="shared" si="122"/>
        <v>GSL</v>
      </c>
      <c r="F1096" s="7" t="str">
        <f t="shared" si="116"/>
        <v>WOM</v>
      </c>
      <c r="G1096" s="7" t="str">
        <f t="shared" si="117"/>
        <v>FZE</v>
      </c>
      <c r="H1096" s="7" t="str">
        <f t="shared" si="118"/>
        <v>BNE</v>
      </c>
      <c r="I1096" s="7" t="str">
        <f t="shared" si="119"/>
        <v>SMP</v>
      </c>
      <c r="J1096" s="7" t="str">
        <f t="shared" si="120"/>
        <v>BLK</v>
      </c>
      <c r="K1096" s="7" t="str">
        <f t="shared" si="121"/>
        <v>M</v>
      </c>
      <c r="L1096" s="7" t="s">
        <v>2131</v>
      </c>
      <c r="M1096" s="7" t="s">
        <v>2131</v>
      </c>
      <c r="N1096" s="7">
        <f>_xlfn.XLOOKUP(A1096,[1]SKU!$A:$A,[1]SKU!$Z:$Z)</f>
        <v>750000</v>
      </c>
    </row>
    <row r="1097" spans="1:14">
      <c r="A1097" s="1" t="s">
        <v>1354</v>
      </c>
      <c r="B1097" s="2" t="s">
        <v>19</v>
      </c>
      <c r="C1097" s="2" t="s">
        <v>326</v>
      </c>
      <c r="D1097" s="2" t="s">
        <v>1355</v>
      </c>
      <c r="E1097" s="7" t="str">
        <f t="shared" si="122"/>
        <v>OTH</v>
      </c>
      <c r="F1097" s="7" t="str">
        <f t="shared" si="116"/>
        <v>UNI</v>
      </c>
      <c r="G1097" s="7" t="str">
        <f t="shared" si="117"/>
        <v>SOU</v>
      </c>
      <c r="H1097" s="7" t="str">
        <f t="shared" si="118"/>
        <v>NBP</v>
      </c>
      <c r="I1097" s="7" t="str">
        <f t="shared" si="119"/>
        <v>TMG</v>
      </c>
      <c r="J1097" s="7" t="str">
        <f t="shared" si="120"/>
        <v>WHI</v>
      </c>
      <c r="K1097" s="7" t="str">
        <f t="shared" si="121"/>
        <v>A6</v>
      </c>
      <c r="L1097" s="7">
        <v>0</v>
      </c>
      <c r="M1097" s="7" t="s">
        <v>2609</v>
      </c>
      <c r="N1097" s="7">
        <f>_xlfn.XLOOKUP(A1097,[1]SKU!$A:$A,[1]SKU!$Z:$Z)</f>
        <v>210000</v>
      </c>
    </row>
    <row r="1098" spans="1:14">
      <c r="A1098" s="1" t="s">
        <v>5850</v>
      </c>
      <c r="B1098" s="2" t="s">
        <v>4472</v>
      </c>
      <c r="C1098" s="2" t="s">
        <v>94</v>
      </c>
      <c r="D1098" s="2" t="s">
        <v>5851</v>
      </c>
      <c r="E1098" s="7" t="str">
        <f t="shared" si="122"/>
        <v>NGO</v>
      </c>
      <c r="F1098" s="7" t="str">
        <f t="shared" si="116"/>
        <v>UNI</v>
      </c>
      <c r="G1098" s="7" t="str">
        <f t="shared" si="117"/>
        <v>FWR</v>
      </c>
      <c r="H1098" s="7" t="str">
        <f t="shared" si="118"/>
        <v>SNE</v>
      </c>
      <c r="I1098" s="7" t="str">
        <f t="shared" si="119"/>
        <v>SGS</v>
      </c>
      <c r="J1098" s="7" t="str">
        <f t="shared" si="120"/>
        <v>SES</v>
      </c>
      <c r="K1098" s="7" t="str">
        <f t="shared" si="121"/>
        <v>42</v>
      </c>
      <c r="L1098" s="7">
        <v>0</v>
      </c>
      <c r="M1098" s="7" t="s">
        <v>2609</v>
      </c>
      <c r="N1098" s="7">
        <f>_xlfn.XLOOKUP(A1098,[1]SKU!$A:$A,[1]SKU!$Z:$Z)</f>
        <v>3850000</v>
      </c>
    </row>
    <row r="1099" spans="1:14">
      <c r="A1099" s="1" t="s">
        <v>1356</v>
      </c>
      <c r="B1099" s="2" t="s">
        <v>3</v>
      </c>
      <c r="C1099" s="2" t="s">
        <v>622</v>
      </c>
      <c r="D1099" s="2" t="s">
        <v>1357</v>
      </c>
      <c r="E1099" s="7" t="str">
        <f t="shared" si="122"/>
        <v>GSU</v>
      </c>
      <c r="F1099" s="7" t="str">
        <f t="shared" si="116"/>
        <v>WOM</v>
      </c>
      <c r="G1099" s="7" t="str">
        <f t="shared" si="117"/>
        <v>TSP</v>
      </c>
      <c r="H1099" s="7" t="str">
        <f t="shared" si="118"/>
        <v>ONE</v>
      </c>
      <c r="I1099" s="7" t="str">
        <f t="shared" si="119"/>
        <v>SF2</v>
      </c>
      <c r="J1099" s="7" t="str">
        <f t="shared" si="120"/>
        <v>NI</v>
      </c>
      <c r="K1099" s="7" t="str">
        <f t="shared" si="121"/>
        <v>M</v>
      </c>
      <c r="L1099" s="7" t="s">
        <v>2085</v>
      </c>
      <c r="M1099" s="7" t="s">
        <v>4462</v>
      </c>
      <c r="N1099" s="7">
        <f>_xlfn.XLOOKUP(A1099,[1]SKU!$A:$A,[1]SKU!$Z:$Z)</f>
        <v>1790000</v>
      </c>
    </row>
    <row r="1100" spans="1:14">
      <c r="A1100" s="1" t="s">
        <v>1358</v>
      </c>
      <c r="B1100" s="2" t="s">
        <v>3</v>
      </c>
      <c r="C1100" s="2" t="s">
        <v>67</v>
      </c>
      <c r="D1100" s="2" t="s">
        <v>1359</v>
      </c>
      <c r="E1100" s="7" t="str">
        <f t="shared" si="122"/>
        <v>GOR</v>
      </c>
      <c r="F1100" s="7" t="str">
        <f t="shared" si="116"/>
        <v>WOM</v>
      </c>
      <c r="G1100" s="7" t="str">
        <f t="shared" si="117"/>
        <v>TTB</v>
      </c>
      <c r="H1100" s="7" t="str">
        <f t="shared" si="118"/>
        <v>BNE</v>
      </c>
      <c r="I1100" s="7" t="str">
        <f t="shared" si="119"/>
        <v>WOL</v>
      </c>
      <c r="J1100" s="7" t="str">
        <f t="shared" si="120"/>
        <v>GRE</v>
      </c>
      <c r="K1100" s="7" t="str">
        <f t="shared" si="121"/>
        <v>XL</v>
      </c>
      <c r="L1100" s="7" t="s">
        <v>2326</v>
      </c>
      <c r="M1100" s="7" t="s">
        <v>4469</v>
      </c>
      <c r="N1100" s="7">
        <f>_xlfn.XLOOKUP(A1100,[1]SKU!$A:$A,[1]SKU!$Z:$Z)</f>
        <v>790000</v>
      </c>
    </row>
    <row r="1101" spans="1:14">
      <c r="A1101" s="1" t="s">
        <v>5852</v>
      </c>
      <c r="B1101" s="2" t="s">
        <v>4472</v>
      </c>
      <c r="C1101" s="2" t="s">
        <v>827</v>
      </c>
      <c r="D1101" s="2" t="s">
        <v>5853</v>
      </c>
      <c r="E1101" s="7" t="str">
        <f t="shared" si="122"/>
        <v>DSP</v>
      </c>
      <c r="F1101" s="7" t="str">
        <f t="shared" si="116"/>
        <v>UNI</v>
      </c>
      <c r="G1101" s="7" t="str">
        <f t="shared" si="117"/>
        <v>BAG</v>
      </c>
      <c r="H1101" s="7" t="str">
        <f t="shared" si="118"/>
        <v>CHR</v>
      </c>
      <c r="I1101" s="7" t="str">
        <f t="shared" si="119"/>
        <v>BRE</v>
      </c>
      <c r="J1101" s="7" t="str">
        <f t="shared" si="120"/>
        <v>DBN</v>
      </c>
      <c r="K1101" s="7" t="str">
        <f t="shared" si="121"/>
        <v>0</v>
      </c>
      <c r="L1101" s="7">
        <v>0</v>
      </c>
      <c r="M1101" s="7" t="s">
        <v>2609</v>
      </c>
      <c r="N1101" s="7">
        <f>_xlfn.XLOOKUP(A1101,[1]SKU!$A:$A,[1]SKU!$Z:$Z)</f>
        <v>1500000</v>
      </c>
    </row>
    <row r="1102" spans="1:14">
      <c r="A1102" s="1" t="s">
        <v>1360</v>
      </c>
      <c r="B1102" s="2" t="s">
        <v>19</v>
      </c>
      <c r="C1102" s="2" t="s">
        <v>1361</v>
      </c>
      <c r="D1102" s="2" t="s">
        <v>1362</v>
      </c>
      <c r="E1102" s="7" t="str">
        <f t="shared" si="122"/>
        <v>OTH</v>
      </c>
      <c r="F1102" s="7" t="str">
        <f t="shared" si="116"/>
        <v>UNI</v>
      </c>
      <c r="G1102" s="7" t="str">
        <f t="shared" si="117"/>
        <v>SOU</v>
      </c>
      <c r="H1102" s="7" t="str">
        <f t="shared" si="118"/>
        <v>NBS</v>
      </c>
      <c r="I1102" s="7" t="str">
        <f t="shared" si="119"/>
        <v>DRL</v>
      </c>
      <c r="J1102" s="7" t="str">
        <f t="shared" si="120"/>
        <v>RED</v>
      </c>
      <c r="K1102" s="7" t="str">
        <f t="shared" si="121"/>
        <v>A6</v>
      </c>
      <c r="L1102" s="7">
        <v>0</v>
      </c>
      <c r="M1102" s="7" t="s">
        <v>2609</v>
      </c>
      <c r="N1102" s="7">
        <f>_xlfn.XLOOKUP(A1102,[1]SKU!$A:$A,[1]SKU!$Z:$Z)</f>
        <v>65000</v>
      </c>
    </row>
    <row r="1103" spans="1:14">
      <c r="A1103" s="1" t="s">
        <v>1363</v>
      </c>
      <c r="B1103" s="2" t="s">
        <v>3</v>
      </c>
      <c r="C1103" s="2" t="s">
        <v>300</v>
      </c>
      <c r="D1103" s="2" t="s">
        <v>1364</v>
      </c>
      <c r="E1103" s="7" t="str">
        <f t="shared" si="122"/>
        <v>GSL</v>
      </c>
      <c r="F1103" s="7" t="str">
        <f t="shared" si="116"/>
        <v>WOM</v>
      </c>
      <c r="G1103" s="7" t="str">
        <f t="shared" si="117"/>
        <v>TSS</v>
      </c>
      <c r="H1103" s="7" t="str">
        <f t="shared" si="118"/>
        <v>VNE</v>
      </c>
      <c r="I1103" s="7" t="str">
        <f t="shared" si="119"/>
        <v>SMP</v>
      </c>
      <c r="J1103" s="7" t="str">
        <f t="shared" si="120"/>
        <v>WHI</v>
      </c>
      <c r="K1103" s="7" t="str">
        <f t="shared" si="121"/>
        <v>L</v>
      </c>
      <c r="L1103" s="7" t="s">
        <v>2018</v>
      </c>
      <c r="M1103" s="7" t="s">
        <v>4462</v>
      </c>
      <c r="N1103" s="7">
        <f>_xlfn.XLOOKUP(A1103,[1]SKU!$A:$A,[1]SKU!$Z:$Z)</f>
        <v>750000</v>
      </c>
    </row>
    <row r="1104" spans="1:14">
      <c r="A1104" s="1" t="s">
        <v>5854</v>
      </c>
      <c r="B1104" s="2" t="s">
        <v>4472</v>
      </c>
      <c r="C1104" s="2" t="s">
        <v>5060</v>
      </c>
      <c r="D1104" s="2" t="s">
        <v>5855</v>
      </c>
      <c r="E1104" s="7" t="str">
        <f t="shared" si="122"/>
        <v>HAM</v>
      </c>
      <c r="F1104" s="7" t="str">
        <f t="shared" si="116"/>
        <v>UNI</v>
      </c>
      <c r="G1104" s="7" t="str">
        <f t="shared" si="117"/>
        <v>JEW</v>
      </c>
      <c r="H1104" s="7" t="str">
        <f t="shared" si="118"/>
        <v>NEC</v>
      </c>
      <c r="I1104" s="7" t="str">
        <f t="shared" si="119"/>
        <v>126</v>
      </c>
      <c r="J1104" s="7" t="str">
        <f t="shared" si="120"/>
        <v>MIX</v>
      </c>
      <c r="K1104" s="7" t="str">
        <f t="shared" si="121"/>
        <v>0</v>
      </c>
      <c r="L1104" s="7">
        <v>0</v>
      </c>
      <c r="M1104" s="7" t="s">
        <v>2609</v>
      </c>
      <c r="N1104" s="7">
        <f>_xlfn.XLOOKUP(A1104,[1]SKU!$A:$A,[1]SKU!$Z:$Z)</f>
        <v>2500000</v>
      </c>
    </row>
    <row r="1105" spans="1:14">
      <c r="A1105" s="1" t="s">
        <v>5856</v>
      </c>
      <c r="B1105" s="2" t="s">
        <v>4472</v>
      </c>
      <c r="C1105" s="2" t="s">
        <v>5857</v>
      </c>
      <c r="D1105" s="2" t="s">
        <v>5858</v>
      </c>
      <c r="E1105" s="7" t="str">
        <f t="shared" si="122"/>
        <v>HAM</v>
      </c>
      <c r="F1105" s="7" t="str">
        <f t="shared" si="116"/>
        <v>UNI</v>
      </c>
      <c r="G1105" s="7" t="str">
        <f t="shared" si="117"/>
        <v>JEW</v>
      </c>
      <c r="H1105" s="7" t="str">
        <f t="shared" si="118"/>
        <v>NEC</v>
      </c>
      <c r="I1105" s="7" t="str">
        <f t="shared" si="119"/>
        <v>A46</v>
      </c>
      <c r="J1105" s="7" t="str">
        <f t="shared" si="120"/>
        <v>MIX</v>
      </c>
      <c r="K1105" s="7" t="str">
        <f t="shared" si="121"/>
        <v>0</v>
      </c>
      <c r="L1105" s="7">
        <v>0</v>
      </c>
      <c r="M1105" s="7" t="s">
        <v>2609</v>
      </c>
      <c r="N1105" s="7">
        <f>_xlfn.XLOOKUP(A1105,[1]SKU!$A:$A,[1]SKU!$Z:$Z)</f>
        <v>2000000</v>
      </c>
    </row>
    <row r="1106" spans="1:14">
      <c r="A1106" s="1" t="s">
        <v>5859</v>
      </c>
      <c r="B1106" s="2" t="s">
        <v>4472</v>
      </c>
      <c r="C1106" s="2" t="s">
        <v>5860</v>
      </c>
      <c r="D1106" s="2" t="s">
        <v>5861</v>
      </c>
      <c r="E1106" s="7" t="str">
        <f t="shared" si="122"/>
        <v>HAM</v>
      </c>
      <c r="F1106" s="7" t="str">
        <f t="shared" si="116"/>
        <v>UNI</v>
      </c>
      <c r="G1106" s="7" t="str">
        <f t="shared" si="117"/>
        <v>JEW</v>
      </c>
      <c r="H1106" s="7" t="str">
        <f t="shared" si="118"/>
        <v>BRA</v>
      </c>
      <c r="I1106" s="7" t="str">
        <f t="shared" si="119"/>
        <v>N50</v>
      </c>
      <c r="J1106" s="7" t="str">
        <f t="shared" si="120"/>
        <v>MIX</v>
      </c>
      <c r="K1106" s="7" t="str">
        <f t="shared" si="121"/>
        <v>0</v>
      </c>
      <c r="L1106" s="7">
        <v>0</v>
      </c>
      <c r="M1106" s="7" t="s">
        <v>2609</v>
      </c>
      <c r="N1106" s="7">
        <f>_xlfn.XLOOKUP(A1106,[1]SKU!$A:$A,[1]SKU!$Z:$Z)</f>
        <v>700000</v>
      </c>
    </row>
    <row r="1107" spans="1:14">
      <c r="A1107" s="1" t="s">
        <v>5862</v>
      </c>
      <c r="B1107" s="2" t="s">
        <v>4472</v>
      </c>
      <c r="C1107" s="2" t="s">
        <v>1367</v>
      </c>
      <c r="D1107" s="2" t="s">
        <v>5863</v>
      </c>
      <c r="E1107" s="7" t="str">
        <f t="shared" si="122"/>
        <v>LTN</v>
      </c>
      <c r="F1107" s="7" t="str">
        <f t="shared" si="116"/>
        <v>UNI</v>
      </c>
      <c r="G1107" s="7" t="str">
        <f t="shared" si="117"/>
        <v>FNB</v>
      </c>
      <c r="H1107" s="7" t="str">
        <f t="shared" si="118"/>
        <v>GIN</v>
      </c>
      <c r="I1107" s="7" t="str">
        <f t="shared" si="119"/>
        <v>SPA</v>
      </c>
      <c r="J1107" s="7" t="str">
        <f t="shared" si="120"/>
        <v>MIX</v>
      </c>
      <c r="K1107" s="7" t="str">
        <f t="shared" si="121"/>
        <v>0</v>
      </c>
      <c r="L1107" s="7">
        <v>0</v>
      </c>
      <c r="M1107" s="7" t="s">
        <v>2609</v>
      </c>
      <c r="N1107" s="7">
        <f>_xlfn.XLOOKUP(A1107,[1]SKU!$A:$A,[1]SKU!$Z:$Z)</f>
        <v>459000</v>
      </c>
    </row>
    <row r="1108" spans="1:14">
      <c r="A1108" s="1" t="s">
        <v>1368</v>
      </c>
      <c r="B1108" s="2" t="s">
        <v>3</v>
      </c>
      <c r="C1108" s="2" t="s">
        <v>450</v>
      </c>
      <c r="D1108" s="2" t="s">
        <v>1369</v>
      </c>
      <c r="E1108" s="7" t="str">
        <f t="shared" si="122"/>
        <v>GOR</v>
      </c>
      <c r="F1108" s="7" t="str">
        <f t="shared" si="116"/>
        <v>MEN</v>
      </c>
      <c r="G1108" s="7" t="str">
        <f t="shared" si="117"/>
        <v>TSP</v>
      </c>
      <c r="H1108" s="7" t="str">
        <f t="shared" si="118"/>
        <v>ONE</v>
      </c>
      <c r="I1108" s="7" t="str">
        <f t="shared" si="119"/>
        <v>HNB</v>
      </c>
      <c r="J1108" s="7" t="str">
        <f t="shared" si="120"/>
        <v>RED</v>
      </c>
      <c r="K1108" s="7" t="str">
        <f t="shared" si="121"/>
        <v>S</v>
      </c>
      <c r="L1108" s="7" t="s">
        <v>2085</v>
      </c>
      <c r="M1108" s="7" t="s">
        <v>4462</v>
      </c>
      <c r="N1108" s="7">
        <f>_xlfn.XLOOKUP(A1108,[1]SKU!$A:$A,[1]SKU!$Z:$Z)</f>
        <v>790000</v>
      </c>
    </row>
    <row r="1109" spans="1:14">
      <c r="A1109" s="1" t="s">
        <v>1370</v>
      </c>
      <c r="B1109" s="2" t="s">
        <v>19</v>
      </c>
      <c r="C1109" s="2" t="s">
        <v>107</v>
      </c>
      <c r="D1109" s="2" t="s">
        <v>1371</v>
      </c>
      <c r="E1109" s="7" t="str">
        <f t="shared" si="122"/>
        <v>OTH</v>
      </c>
      <c r="F1109" s="7" t="str">
        <f t="shared" si="116"/>
        <v>UNI</v>
      </c>
      <c r="G1109" s="7" t="str">
        <f t="shared" si="117"/>
        <v>BAG</v>
      </c>
      <c r="H1109" s="7" t="str">
        <f t="shared" si="118"/>
        <v>CRB</v>
      </c>
      <c r="I1109" s="7" t="str">
        <f t="shared" si="119"/>
        <v>LOG</v>
      </c>
      <c r="J1109" s="7" t="str">
        <f t="shared" si="120"/>
        <v>GRN</v>
      </c>
      <c r="K1109" s="7" t="str">
        <f t="shared" si="121"/>
        <v>0</v>
      </c>
      <c r="L1109" s="7">
        <v>0</v>
      </c>
      <c r="M1109" s="7" t="s">
        <v>2609</v>
      </c>
      <c r="N1109" s="7">
        <f>_xlfn.XLOOKUP(A1109,[1]SKU!$A:$A,[1]SKU!$Z:$Z)</f>
        <v>3650000</v>
      </c>
    </row>
    <row r="1110" spans="1:14">
      <c r="A1110" s="1" t="s">
        <v>1372</v>
      </c>
      <c r="B1110" s="2" t="s">
        <v>3</v>
      </c>
      <c r="C1110" s="2" t="s">
        <v>1189</v>
      </c>
      <c r="D1110" s="2" t="s">
        <v>1373</v>
      </c>
      <c r="E1110" s="7" t="str">
        <f t="shared" si="122"/>
        <v>GBA</v>
      </c>
      <c r="F1110" s="7" t="str">
        <f t="shared" si="116"/>
        <v>MEN</v>
      </c>
      <c r="G1110" s="7" t="str">
        <f t="shared" si="117"/>
        <v>TSS</v>
      </c>
      <c r="H1110" s="7" t="str">
        <f t="shared" si="118"/>
        <v>ONE</v>
      </c>
      <c r="I1110" s="7" t="str">
        <f t="shared" si="119"/>
        <v>NBP</v>
      </c>
      <c r="J1110" s="7" t="str">
        <f t="shared" si="120"/>
        <v>WHI</v>
      </c>
      <c r="K1110" s="7" t="str">
        <f t="shared" si="121"/>
        <v>XXL</v>
      </c>
      <c r="L1110" s="7" t="s">
        <v>2018</v>
      </c>
      <c r="M1110" s="7" t="s">
        <v>4462</v>
      </c>
      <c r="N1110" s="7">
        <f>_xlfn.XLOOKUP(A1110,[1]SKU!$A:$A,[1]SKU!$Z:$Z)</f>
        <v>1650000</v>
      </c>
    </row>
    <row r="1111" spans="1:14">
      <c r="A1111" s="1" t="s">
        <v>1374</v>
      </c>
      <c r="B1111" s="2" t="s">
        <v>19</v>
      </c>
      <c r="C1111" s="2" t="s">
        <v>1375</v>
      </c>
      <c r="D1111" s="2" t="s">
        <v>1376</v>
      </c>
      <c r="E1111" s="7" t="str">
        <f t="shared" si="122"/>
        <v>OTH</v>
      </c>
      <c r="F1111" s="7" t="str">
        <f t="shared" si="116"/>
        <v>UNI</v>
      </c>
      <c r="G1111" s="7" t="str">
        <f t="shared" si="117"/>
        <v>HWR</v>
      </c>
      <c r="H1111" s="7" t="str">
        <f t="shared" si="118"/>
        <v>BSE</v>
      </c>
      <c r="I1111" s="7" t="str">
        <f t="shared" si="119"/>
        <v>BSE</v>
      </c>
      <c r="J1111" s="7" t="str">
        <f t="shared" si="120"/>
        <v>MIX</v>
      </c>
      <c r="K1111" s="7" t="str">
        <f t="shared" si="121"/>
        <v>0</v>
      </c>
      <c r="L1111" s="7">
        <v>0</v>
      </c>
      <c r="M1111" s="7" t="s">
        <v>2609</v>
      </c>
      <c r="N1111" s="7">
        <f>_xlfn.XLOOKUP(A1111,[1]SKU!$A:$A,[1]SKU!$Z:$Z)</f>
        <v>155000</v>
      </c>
    </row>
    <row r="1112" spans="1:14">
      <c r="A1112" s="1" t="s">
        <v>1377</v>
      </c>
      <c r="B1112" s="2" t="s">
        <v>19</v>
      </c>
      <c r="C1112" s="2" t="s">
        <v>1378</v>
      </c>
      <c r="D1112" s="2" t="s">
        <v>1379</v>
      </c>
      <c r="E1112" s="7" t="str">
        <f t="shared" si="122"/>
        <v>OTH</v>
      </c>
      <c r="F1112" s="7" t="str">
        <f t="shared" si="116"/>
        <v>UNI</v>
      </c>
      <c r="G1112" s="7" t="str">
        <f t="shared" si="117"/>
        <v>HWR</v>
      </c>
      <c r="H1112" s="7" t="str">
        <f t="shared" si="118"/>
        <v>CAP</v>
      </c>
      <c r="I1112" s="7" t="str">
        <f t="shared" si="119"/>
        <v>SBR</v>
      </c>
      <c r="J1112" s="7" t="str">
        <f t="shared" si="120"/>
        <v>WHI</v>
      </c>
      <c r="K1112" s="7" t="str">
        <f t="shared" si="121"/>
        <v>L</v>
      </c>
      <c r="L1112" s="7">
        <v>0</v>
      </c>
      <c r="M1112" s="7" t="s">
        <v>2609</v>
      </c>
      <c r="N1112" s="7">
        <f>_xlfn.XLOOKUP(A1112,[1]SKU!$A:$A,[1]SKU!$Z:$Z)</f>
        <v>690000</v>
      </c>
    </row>
    <row r="1113" spans="1:14">
      <c r="A1113" s="1" t="s">
        <v>1380</v>
      </c>
      <c r="B1113" s="2" t="s">
        <v>3</v>
      </c>
      <c r="C1113" s="2" t="s">
        <v>84</v>
      </c>
      <c r="D1113" s="2" t="s">
        <v>1381</v>
      </c>
      <c r="E1113" s="7" t="str">
        <f t="shared" si="122"/>
        <v>GBA</v>
      </c>
      <c r="F1113" s="7" t="str">
        <f t="shared" si="116"/>
        <v>MEN</v>
      </c>
      <c r="G1113" s="7" t="str">
        <f t="shared" si="117"/>
        <v>TSP</v>
      </c>
      <c r="H1113" s="7" t="str">
        <f t="shared" si="118"/>
        <v>ONE</v>
      </c>
      <c r="I1113" s="7" t="str">
        <f t="shared" si="119"/>
        <v>HAI</v>
      </c>
      <c r="J1113" s="7" t="str">
        <f t="shared" si="120"/>
        <v>BLK</v>
      </c>
      <c r="K1113" s="7" t="str">
        <f t="shared" si="121"/>
        <v>XXL</v>
      </c>
      <c r="L1113" s="7" t="s">
        <v>2085</v>
      </c>
      <c r="M1113" s="7" t="s">
        <v>4462</v>
      </c>
      <c r="N1113" s="7">
        <f>_xlfn.XLOOKUP(A1113,[1]SKU!$A:$A,[1]SKU!$Z:$Z)</f>
        <v>710000</v>
      </c>
    </row>
    <row r="1114" spans="1:14">
      <c r="A1114" s="1" t="s">
        <v>1382</v>
      </c>
      <c r="B1114" s="2" t="s">
        <v>3</v>
      </c>
      <c r="C1114" s="2" t="s">
        <v>447</v>
      </c>
      <c r="D1114" s="2" t="s">
        <v>1383</v>
      </c>
      <c r="E1114" s="7" t="str">
        <f t="shared" si="122"/>
        <v>GBA</v>
      </c>
      <c r="F1114" s="7" t="str">
        <f t="shared" si="116"/>
        <v>MEN</v>
      </c>
      <c r="G1114" s="7" t="str">
        <f t="shared" si="117"/>
        <v>TSS</v>
      </c>
      <c r="H1114" s="7" t="str">
        <f t="shared" si="118"/>
        <v>ONE</v>
      </c>
      <c r="I1114" s="7" t="str">
        <f t="shared" si="119"/>
        <v>GVT</v>
      </c>
      <c r="J1114" s="7" t="str">
        <f t="shared" si="120"/>
        <v>WHI</v>
      </c>
      <c r="K1114" s="7" t="str">
        <f t="shared" si="121"/>
        <v>S</v>
      </c>
      <c r="L1114" s="7" t="s">
        <v>2018</v>
      </c>
      <c r="M1114" s="7" t="s">
        <v>4462</v>
      </c>
      <c r="N1114" s="7">
        <f>_xlfn.XLOOKUP(A1114,[1]SKU!$A:$A,[1]SKU!$Z:$Z)</f>
        <v>710000</v>
      </c>
    </row>
    <row r="1115" spans="1:14">
      <c r="A1115" s="1" t="s">
        <v>1384</v>
      </c>
      <c r="B1115" s="2" t="s">
        <v>3</v>
      </c>
      <c r="C1115" s="2" t="s">
        <v>48</v>
      </c>
      <c r="D1115" s="2" t="s">
        <v>1385</v>
      </c>
      <c r="E1115" s="7" t="str">
        <f t="shared" si="122"/>
        <v>GOR</v>
      </c>
      <c r="F1115" s="7" t="str">
        <f t="shared" si="116"/>
        <v>MEN</v>
      </c>
      <c r="G1115" s="7" t="str">
        <f t="shared" si="117"/>
        <v>TSS</v>
      </c>
      <c r="H1115" s="7" t="str">
        <f t="shared" si="118"/>
        <v>HNE</v>
      </c>
      <c r="I1115" s="7" t="str">
        <f t="shared" si="119"/>
        <v>GAO</v>
      </c>
      <c r="J1115" s="7" t="str">
        <f t="shared" si="120"/>
        <v>BLK</v>
      </c>
      <c r="K1115" s="7" t="str">
        <f t="shared" si="121"/>
        <v>S</v>
      </c>
      <c r="L1115" s="7" t="s">
        <v>2018</v>
      </c>
      <c r="M1115" s="7" t="s">
        <v>4462</v>
      </c>
      <c r="N1115" s="7">
        <f>_xlfn.XLOOKUP(A1115,[1]SKU!$A:$A,[1]SKU!$Z:$Z)</f>
        <v>1650000</v>
      </c>
    </row>
    <row r="1116" spans="1:14">
      <c r="A1116" s="1" t="s">
        <v>1386</v>
      </c>
      <c r="B1116" s="2" t="s">
        <v>3</v>
      </c>
      <c r="C1116" s="2" t="s">
        <v>143</v>
      </c>
      <c r="D1116" s="2" t="s">
        <v>1387</v>
      </c>
      <c r="E1116" s="7" t="str">
        <f t="shared" si="122"/>
        <v>GOR</v>
      </c>
      <c r="F1116" s="7" t="str">
        <f t="shared" ref="F1116:F1179" si="123">_xlfn.TEXTBEFORE(_xlfn.TEXTAFTER(D1116,"-",2),"-")</f>
        <v>KID</v>
      </c>
      <c r="G1116" s="7" t="str">
        <f t="shared" ref="G1116:G1179" si="124">_xlfn.TEXTBEFORE(_xlfn.TEXTAFTER(D1116,"-",3),"-")</f>
        <v>TSS</v>
      </c>
      <c r="H1116" s="7" t="str">
        <f t="shared" ref="H1116:H1179" si="125">_xlfn.TEXTBEFORE(_xlfn.TEXTAFTER(D1116,"-",4),"-")</f>
        <v>ONE</v>
      </c>
      <c r="I1116" s="7" t="str">
        <f t="shared" ref="I1116:I1179" si="126">_xlfn.TEXTBEFORE(_xlfn.TEXTAFTER(D1116,"-",5),"-")</f>
        <v>MOX</v>
      </c>
      <c r="J1116" s="7" t="str">
        <f t="shared" ref="J1116:J1179" si="127">_xlfn.TEXTBEFORE(_xlfn.TEXTAFTER(D1116,"-",6),"-")</f>
        <v>PPA</v>
      </c>
      <c r="K1116" s="7" t="str">
        <f t="shared" ref="K1116:K1179" si="128">_xlfn.TEXTAFTER(D1116,"-",7)</f>
        <v>10</v>
      </c>
      <c r="L1116" s="7" t="s">
        <v>2018</v>
      </c>
      <c r="M1116" s="7" t="s">
        <v>4462</v>
      </c>
      <c r="N1116" s="7">
        <f>_xlfn.XLOOKUP(A1116,[1]SKU!$A:$A,[1]SKU!$Z:$Z)</f>
        <v>590000</v>
      </c>
    </row>
    <row r="1117" spans="1:14">
      <c r="A1117" s="1" t="s">
        <v>5864</v>
      </c>
      <c r="B1117" s="2" t="s">
        <v>4472</v>
      </c>
      <c r="C1117" s="2" t="s">
        <v>5865</v>
      </c>
      <c r="D1117" s="2" t="s">
        <v>5866</v>
      </c>
      <c r="E1117" s="7" t="str">
        <f t="shared" si="122"/>
        <v>RUN</v>
      </c>
      <c r="F1117" s="7" t="str">
        <f t="shared" si="123"/>
        <v>UNI</v>
      </c>
      <c r="G1117" s="7" t="str">
        <f t="shared" si="124"/>
        <v>FNB</v>
      </c>
      <c r="H1117" s="7" t="str">
        <f t="shared" si="125"/>
        <v>CFB</v>
      </c>
      <c r="I1117" s="7" t="str">
        <f t="shared" si="126"/>
        <v>SO3</v>
      </c>
      <c r="J1117" s="7" t="str">
        <f t="shared" si="127"/>
        <v>NON</v>
      </c>
      <c r="K1117" s="7" t="str">
        <f t="shared" si="128"/>
        <v>500g</v>
      </c>
      <c r="L1117" s="7">
        <v>0</v>
      </c>
      <c r="M1117" s="7" t="s">
        <v>2609</v>
      </c>
      <c r="N1117" s="7">
        <f>_xlfn.XLOOKUP(A1117,[1]SKU!$A:$A,[1]SKU!$Z:$Z)</f>
        <v>415000</v>
      </c>
    </row>
    <row r="1118" spans="1:14">
      <c r="A1118" s="1" t="s">
        <v>1388</v>
      </c>
      <c r="B1118" s="2" t="s">
        <v>3</v>
      </c>
      <c r="C1118" s="2" t="s">
        <v>16</v>
      </c>
      <c r="D1118" s="2" t="s">
        <v>1389</v>
      </c>
      <c r="E1118" s="7" t="str">
        <f t="shared" si="122"/>
        <v>GOR</v>
      </c>
      <c r="F1118" s="7" t="str">
        <f t="shared" si="123"/>
        <v>MEN</v>
      </c>
      <c r="G1118" s="7" t="str">
        <f t="shared" si="124"/>
        <v>TSS</v>
      </c>
      <c r="H1118" s="7" t="str">
        <f t="shared" si="125"/>
        <v>ONE</v>
      </c>
      <c r="I1118" s="7" t="str">
        <f t="shared" si="126"/>
        <v>SMP</v>
      </c>
      <c r="J1118" s="7" t="str">
        <f t="shared" si="127"/>
        <v>WHI</v>
      </c>
      <c r="K1118" s="7" t="str">
        <f t="shared" si="128"/>
        <v>XXL</v>
      </c>
      <c r="L1118" s="7" t="s">
        <v>2018</v>
      </c>
      <c r="M1118" s="7" t="s">
        <v>4462</v>
      </c>
      <c r="N1118" s="7">
        <f>_xlfn.XLOOKUP(A1118,[1]SKU!$A:$A,[1]SKU!$Z:$Z)</f>
        <v>790000</v>
      </c>
    </row>
    <row r="1119" spans="1:14">
      <c r="A1119" s="1" t="s">
        <v>5867</v>
      </c>
      <c r="B1119" s="2" t="s">
        <v>4472</v>
      </c>
      <c r="C1119" s="2" t="s">
        <v>51</v>
      </c>
      <c r="D1119" s="2" t="s">
        <v>5868</v>
      </c>
      <c r="E1119" s="7" t="str">
        <f t="shared" si="122"/>
        <v>DSP</v>
      </c>
      <c r="F1119" s="7" t="str">
        <f t="shared" si="123"/>
        <v>UNI</v>
      </c>
      <c r="G1119" s="7" t="str">
        <f t="shared" si="124"/>
        <v>BAG</v>
      </c>
      <c r="H1119" s="7" t="str">
        <f t="shared" si="125"/>
        <v>CHR</v>
      </c>
      <c r="I1119" s="7" t="str">
        <f t="shared" si="126"/>
        <v>SCH</v>
      </c>
      <c r="J1119" s="7" t="str">
        <f t="shared" si="127"/>
        <v>LGW</v>
      </c>
      <c r="K1119" s="7" t="str">
        <f t="shared" si="128"/>
        <v>0</v>
      </c>
      <c r="L1119" s="7">
        <v>0</v>
      </c>
      <c r="M1119" s="7" t="s">
        <v>2609</v>
      </c>
      <c r="N1119" s="7">
        <f>_xlfn.XLOOKUP(A1119,[1]SKU!$A:$A,[1]SKU!$Z:$Z)</f>
        <v>1150000</v>
      </c>
    </row>
    <row r="1120" spans="1:14">
      <c r="A1120" s="1" t="s">
        <v>5869</v>
      </c>
      <c r="B1120" s="2" t="s">
        <v>4472</v>
      </c>
      <c r="C1120" s="2" t="s">
        <v>105</v>
      </c>
      <c r="D1120" s="2" t="s">
        <v>5870</v>
      </c>
      <c r="E1120" s="7" t="str">
        <f t="shared" si="122"/>
        <v>PSD</v>
      </c>
      <c r="F1120" s="7" t="str">
        <f t="shared" si="123"/>
        <v>UNI</v>
      </c>
      <c r="G1120" s="7" t="str">
        <f t="shared" si="124"/>
        <v>SOU</v>
      </c>
      <c r="H1120" s="7" t="str">
        <f t="shared" si="125"/>
        <v>DEC</v>
      </c>
      <c r="I1120" s="7" t="str">
        <f t="shared" si="126"/>
        <v>SBA</v>
      </c>
      <c r="J1120" s="7" t="str">
        <f t="shared" si="127"/>
        <v>RED</v>
      </c>
      <c r="K1120" s="7" t="str">
        <f t="shared" si="128"/>
        <v>12</v>
      </c>
      <c r="L1120" s="7">
        <v>0</v>
      </c>
      <c r="M1120" s="7" t="s">
        <v>2609</v>
      </c>
      <c r="N1120" s="7">
        <f>_xlfn.XLOOKUP(A1120,[1]SKU!$A:$A,[1]SKU!$Z:$Z)</f>
        <v>395000</v>
      </c>
    </row>
    <row r="1121" spans="1:14">
      <c r="A1121" s="1" t="s">
        <v>1390</v>
      </c>
      <c r="B1121" s="2" t="s">
        <v>3</v>
      </c>
      <c r="C1121" s="2" t="s">
        <v>92</v>
      </c>
      <c r="D1121" s="2" t="s">
        <v>1391</v>
      </c>
      <c r="E1121" s="7" t="str">
        <f t="shared" si="122"/>
        <v>GBA</v>
      </c>
      <c r="F1121" s="7" t="str">
        <f t="shared" si="123"/>
        <v>MEN</v>
      </c>
      <c r="G1121" s="7" t="str">
        <f t="shared" si="124"/>
        <v>TSS</v>
      </c>
      <c r="H1121" s="7" t="str">
        <f t="shared" si="125"/>
        <v>ONE</v>
      </c>
      <c r="I1121" s="7" t="str">
        <f t="shared" si="126"/>
        <v>SVR</v>
      </c>
      <c r="J1121" s="7" t="str">
        <f t="shared" si="127"/>
        <v>WHI</v>
      </c>
      <c r="K1121" s="7" t="str">
        <f t="shared" si="128"/>
        <v>XL</v>
      </c>
      <c r="L1121" s="7" t="s">
        <v>2018</v>
      </c>
      <c r="M1121" s="7" t="s">
        <v>4462</v>
      </c>
      <c r="N1121" s="7">
        <f>_xlfn.XLOOKUP(A1121,[1]SKU!$A:$A,[1]SKU!$Z:$Z)</f>
        <v>890000</v>
      </c>
    </row>
    <row r="1122" spans="1:14">
      <c r="A1122" s="1" t="s">
        <v>1392</v>
      </c>
      <c r="B1122" s="2" t="s">
        <v>19</v>
      </c>
      <c r="C1122" s="2" t="s">
        <v>1393</v>
      </c>
      <c r="D1122" s="2" t="s">
        <v>1394</v>
      </c>
      <c r="E1122" s="7" t="str">
        <f t="shared" si="122"/>
        <v>OTH</v>
      </c>
      <c r="F1122" s="7" t="str">
        <f t="shared" si="123"/>
        <v>UNI</v>
      </c>
      <c r="G1122" s="7" t="str">
        <f t="shared" si="124"/>
        <v>SOU</v>
      </c>
      <c r="H1122" s="7" t="str">
        <f t="shared" si="125"/>
        <v>NBI</v>
      </c>
      <c r="I1122" s="7" t="str">
        <f t="shared" si="126"/>
        <v>HAN</v>
      </c>
      <c r="J1122" s="7" t="str">
        <f t="shared" si="127"/>
        <v>MIX</v>
      </c>
      <c r="K1122" s="7" t="str">
        <f t="shared" si="128"/>
        <v>A5</v>
      </c>
      <c r="L1122" s="7">
        <v>0</v>
      </c>
      <c r="M1122" s="7" t="s">
        <v>2609</v>
      </c>
      <c r="N1122" s="7">
        <f>_xlfn.XLOOKUP(A1122,[1]SKU!$A:$A,[1]SKU!$Z:$Z)</f>
        <v>210000</v>
      </c>
    </row>
    <row r="1123" spans="1:14">
      <c r="A1123" s="1" t="s">
        <v>1395</v>
      </c>
      <c r="B1123" s="2" t="s">
        <v>3</v>
      </c>
      <c r="C1123" s="2" t="s">
        <v>110</v>
      </c>
      <c r="D1123" s="2" t="s">
        <v>1396</v>
      </c>
      <c r="E1123" s="7" t="str">
        <f t="shared" si="122"/>
        <v>GBA</v>
      </c>
      <c r="F1123" s="7" t="str">
        <f t="shared" si="123"/>
        <v>KID</v>
      </c>
      <c r="G1123" s="7" t="str">
        <f t="shared" si="124"/>
        <v>TSS</v>
      </c>
      <c r="H1123" s="7" t="str">
        <f t="shared" si="125"/>
        <v>ONE</v>
      </c>
      <c r="I1123" s="7" t="str">
        <f t="shared" si="126"/>
        <v>TLT</v>
      </c>
      <c r="J1123" s="7" t="str">
        <f t="shared" si="127"/>
        <v>BLK</v>
      </c>
      <c r="K1123" s="7" t="str">
        <f t="shared" si="128"/>
        <v>8</v>
      </c>
      <c r="L1123" s="7" t="s">
        <v>2018</v>
      </c>
      <c r="M1123" s="7" t="s">
        <v>4462</v>
      </c>
      <c r="N1123" s="7">
        <f>_xlfn.XLOOKUP(A1123,[1]SKU!$A:$A,[1]SKU!$Z:$Z)</f>
        <v>550000</v>
      </c>
    </row>
    <row r="1124" spans="1:14">
      <c r="A1124" s="1" t="s">
        <v>1397</v>
      </c>
      <c r="B1124" s="2" t="s">
        <v>19</v>
      </c>
      <c r="C1124" s="2" t="s">
        <v>33</v>
      </c>
      <c r="D1124" s="2" t="s">
        <v>1398</v>
      </c>
      <c r="E1124" s="7" t="str">
        <f t="shared" si="122"/>
        <v>GCA</v>
      </c>
      <c r="F1124" s="7" t="str">
        <f t="shared" si="123"/>
        <v>UNI</v>
      </c>
      <c r="G1124" s="7" t="str">
        <f t="shared" si="124"/>
        <v>BAG</v>
      </c>
      <c r="H1124" s="7" t="str">
        <f t="shared" si="125"/>
        <v>SHB</v>
      </c>
      <c r="I1124" s="7" t="str">
        <f t="shared" si="126"/>
        <v>VTM</v>
      </c>
      <c r="J1124" s="7" t="str">
        <f t="shared" si="127"/>
        <v>CRE</v>
      </c>
      <c r="K1124" s="7" t="str">
        <f t="shared" si="128"/>
        <v>0</v>
      </c>
      <c r="L1124" s="7">
        <v>0</v>
      </c>
      <c r="M1124" s="7" t="s">
        <v>2609</v>
      </c>
      <c r="N1124" s="7">
        <f>_xlfn.XLOOKUP(A1124,[1]SKU!$A:$A,[1]SKU!$Z:$Z)</f>
        <v>610000</v>
      </c>
    </row>
    <row r="1125" spans="1:14">
      <c r="A1125" s="1" t="s">
        <v>1399</v>
      </c>
      <c r="B1125" s="2" t="s">
        <v>3</v>
      </c>
      <c r="C1125" s="2" t="s">
        <v>143</v>
      </c>
      <c r="D1125" s="2" t="s">
        <v>1400</v>
      </c>
      <c r="E1125" s="7" t="str">
        <f t="shared" si="122"/>
        <v>GOR</v>
      </c>
      <c r="F1125" s="7" t="str">
        <f t="shared" si="123"/>
        <v>KID</v>
      </c>
      <c r="G1125" s="7" t="str">
        <f t="shared" si="124"/>
        <v>TSS</v>
      </c>
      <c r="H1125" s="7" t="str">
        <f t="shared" si="125"/>
        <v>ONE</v>
      </c>
      <c r="I1125" s="7" t="str">
        <f t="shared" si="126"/>
        <v>MOX</v>
      </c>
      <c r="J1125" s="7" t="str">
        <f t="shared" si="127"/>
        <v>PPA</v>
      </c>
      <c r="K1125" s="7" t="str">
        <f t="shared" si="128"/>
        <v>2</v>
      </c>
      <c r="L1125" s="7" t="s">
        <v>2018</v>
      </c>
      <c r="M1125" s="7" t="s">
        <v>4462</v>
      </c>
      <c r="N1125" s="7">
        <f>_xlfn.XLOOKUP(A1125,[1]SKU!$A:$A,[1]SKU!$Z:$Z)</f>
        <v>590000</v>
      </c>
    </row>
    <row r="1126" spans="1:14">
      <c r="A1126" s="1" t="s">
        <v>5871</v>
      </c>
      <c r="B1126" s="2" t="s">
        <v>4472</v>
      </c>
      <c r="C1126" s="2" t="s">
        <v>461</v>
      </c>
      <c r="D1126" s="2" t="s">
        <v>5872</v>
      </c>
      <c r="E1126" s="7" t="str">
        <f t="shared" si="122"/>
        <v>DSP</v>
      </c>
      <c r="F1126" s="7" t="str">
        <f t="shared" si="123"/>
        <v>UNI</v>
      </c>
      <c r="G1126" s="7" t="str">
        <f t="shared" si="124"/>
        <v>ACC</v>
      </c>
      <c r="H1126" s="7" t="str">
        <f t="shared" si="125"/>
        <v>KEY</v>
      </c>
      <c r="I1126" s="7" t="str">
        <f t="shared" si="126"/>
        <v>DU1</v>
      </c>
      <c r="J1126" s="7" t="str">
        <f t="shared" si="127"/>
        <v>RED</v>
      </c>
      <c r="K1126" s="7" t="str">
        <f t="shared" si="128"/>
        <v>0</v>
      </c>
      <c r="L1126" s="7">
        <v>0</v>
      </c>
      <c r="M1126" s="7" t="s">
        <v>2609</v>
      </c>
      <c r="N1126" s="7">
        <f>_xlfn.XLOOKUP(A1126,[1]SKU!$A:$A,[1]SKU!$Z:$Z)</f>
        <v>670000</v>
      </c>
    </row>
    <row r="1127" spans="1:14">
      <c r="A1127" s="1" t="s">
        <v>5873</v>
      </c>
      <c r="B1127" s="2" t="s">
        <v>4472</v>
      </c>
      <c r="C1127" s="2" t="s">
        <v>5874</v>
      </c>
      <c r="D1127" s="2" t="s">
        <v>5875</v>
      </c>
      <c r="E1127" s="7" t="str">
        <f t="shared" si="122"/>
        <v>EDE</v>
      </c>
      <c r="F1127" s="7" t="str">
        <f t="shared" si="123"/>
        <v>UNI</v>
      </c>
      <c r="G1127" s="7" t="str">
        <f t="shared" si="124"/>
        <v>BAG</v>
      </c>
      <c r="H1127" s="7" t="str">
        <f t="shared" si="125"/>
        <v>CLU</v>
      </c>
      <c r="I1127" s="7" t="str">
        <f t="shared" si="126"/>
        <v>FAM</v>
      </c>
      <c r="J1127" s="7" t="str">
        <f t="shared" si="127"/>
        <v>MIX</v>
      </c>
      <c r="K1127" s="7" t="str">
        <f t="shared" si="128"/>
        <v>0</v>
      </c>
      <c r="L1127" s="7">
        <v>0</v>
      </c>
      <c r="M1127" s="7" t="s">
        <v>2609</v>
      </c>
      <c r="N1127" s="7">
        <f>_xlfn.XLOOKUP(A1127,[1]SKU!$A:$A,[1]SKU!$Z:$Z)</f>
        <v>310000</v>
      </c>
    </row>
    <row r="1128" spans="1:14">
      <c r="A1128" s="1" t="s">
        <v>5876</v>
      </c>
      <c r="B1128" s="2" t="s">
        <v>4472</v>
      </c>
      <c r="C1128" s="2" t="s">
        <v>94</v>
      </c>
      <c r="D1128" s="2" t="s">
        <v>5877</v>
      </c>
      <c r="E1128" s="7" t="str">
        <f t="shared" si="122"/>
        <v>NGO</v>
      </c>
      <c r="F1128" s="7" t="str">
        <f t="shared" si="123"/>
        <v>UNI</v>
      </c>
      <c r="G1128" s="7" t="str">
        <f t="shared" si="124"/>
        <v>FWR</v>
      </c>
      <c r="H1128" s="7" t="str">
        <f t="shared" si="125"/>
        <v>SNE</v>
      </c>
      <c r="I1128" s="7" t="str">
        <f t="shared" si="126"/>
        <v>SGS</v>
      </c>
      <c r="J1128" s="7" t="str">
        <f t="shared" si="127"/>
        <v>LYC</v>
      </c>
      <c r="K1128" s="7" t="str">
        <f t="shared" si="128"/>
        <v>43</v>
      </c>
      <c r="L1128" s="7">
        <v>0</v>
      </c>
      <c r="M1128" s="7" t="s">
        <v>2609</v>
      </c>
      <c r="N1128" s="7">
        <f>_xlfn.XLOOKUP(A1128,[1]SKU!$A:$A,[1]SKU!$Z:$Z)</f>
        <v>3850000</v>
      </c>
    </row>
    <row r="1129" spans="1:14">
      <c r="A1129" s="1" t="s">
        <v>5878</v>
      </c>
      <c r="B1129" s="2" t="s">
        <v>4472</v>
      </c>
      <c r="C1129" s="2" t="s">
        <v>5879</v>
      </c>
      <c r="D1129" s="2" t="s">
        <v>5880</v>
      </c>
      <c r="E1129" s="7" t="str">
        <f t="shared" si="122"/>
        <v>LAN</v>
      </c>
      <c r="F1129" s="7" t="str">
        <f t="shared" si="123"/>
        <v>UNI</v>
      </c>
      <c r="G1129" s="7" t="str">
        <f t="shared" si="124"/>
        <v>HWR</v>
      </c>
      <c r="H1129" s="7" t="str">
        <f t="shared" si="125"/>
        <v>SC2</v>
      </c>
      <c r="I1129" s="7" t="str">
        <f t="shared" si="126"/>
        <v>HBT</v>
      </c>
      <c r="J1129" s="7" t="str">
        <f t="shared" si="127"/>
        <v>ORA</v>
      </c>
      <c r="K1129" s="7" t="str">
        <f t="shared" si="128"/>
        <v>6x130</v>
      </c>
      <c r="L1129" s="7">
        <v>0</v>
      </c>
      <c r="M1129" s="7" t="s">
        <v>2609</v>
      </c>
      <c r="N1129" s="7">
        <f>_xlfn.XLOOKUP(A1129,[1]SKU!$A:$A,[1]SKU!$Z:$Z)</f>
        <v>365000</v>
      </c>
    </row>
    <row r="1130" spans="1:14">
      <c r="A1130" s="1" t="s">
        <v>5881</v>
      </c>
      <c r="B1130" s="2" t="s">
        <v>4472</v>
      </c>
      <c r="C1130" s="2" t="s">
        <v>5882</v>
      </c>
      <c r="D1130" s="2" t="s">
        <v>5883</v>
      </c>
      <c r="E1130" s="7" t="str">
        <f t="shared" si="122"/>
        <v>LAN</v>
      </c>
      <c r="F1130" s="7" t="str">
        <f t="shared" si="123"/>
        <v>UNI</v>
      </c>
      <c r="G1130" s="7" t="str">
        <f t="shared" si="124"/>
        <v>HWR</v>
      </c>
      <c r="H1130" s="7" t="str">
        <f t="shared" si="125"/>
        <v>SC2</v>
      </c>
      <c r="I1130" s="7" t="str">
        <f t="shared" si="126"/>
        <v>DTD</v>
      </c>
      <c r="J1130" s="7" t="str">
        <f t="shared" si="127"/>
        <v>GRN</v>
      </c>
      <c r="K1130" s="7" t="str">
        <f t="shared" si="128"/>
        <v>90x90</v>
      </c>
      <c r="L1130" s="7">
        <v>0</v>
      </c>
      <c r="M1130" s="7" t="s">
        <v>2609</v>
      </c>
      <c r="N1130" s="7">
        <f>_xlfn.XLOOKUP(A1130,[1]SKU!$A:$A,[1]SKU!$Z:$Z)</f>
        <v>989000</v>
      </c>
    </row>
    <row r="1131" spans="1:14">
      <c r="A1131" s="1" t="s">
        <v>1401</v>
      </c>
      <c r="B1131" s="2" t="s">
        <v>3</v>
      </c>
      <c r="C1131" s="2" t="s">
        <v>137</v>
      </c>
      <c r="D1131" s="2" t="s">
        <v>1402</v>
      </c>
      <c r="E1131" s="7" t="str">
        <f t="shared" si="122"/>
        <v>GOR</v>
      </c>
      <c r="F1131" s="7" t="str">
        <f t="shared" si="123"/>
        <v>MEN</v>
      </c>
      <c r="G1131" s="7" t="str">
        <f t="shared" si="124"/>
        <v>TSS</v>
      </c>
      <c r="H1131" s="7" t="str">
        <f t="shared" si="125"/>
        <v>ONE</v>
      </c>
      <c r="I1131" s="7" t="str">
        <f t="shared" si="126"/>
        <v>HHA</v>
      </c>
      <c r="J1131" s="7" t="str">
        <f t="shared" si="127"/>
        <v>WHI</v>
      </c>
      <c r="K1131" s="7" t="str">
        <f t="shared" si="128"/>
        <v>XXL</v>
      </c>
      <c r="L1131" s="7" t="s">
        <v>2018</v>
      </c>
      <c r="M1131" s="7" t="s">
        <v>4462</v>
      </c>
      <c r="N1131" s="7">
        <f>_xlfn.XLOOKUP(A1131,[1]SKU!$A:$A,[1]SKU!$Z:$Z)</f>
        <v>990000</v>
      </c>
    </row>
    <row r="1132" spans="1:14">
      <c r="A1132" s="1" t="s">
        <v>5884</v>
      </c>
      <c r="B1132" s="2" t="s">
        <v>4472</v>
      </c>
      <c r="C1132" s="2" t="s">
        <v>172</v>
      </c>
      <c r="D1132" s="2" t="s">
        <v>5885</v>
      </c>
      <c r="E1132" s="7" t="str">
        <f t="shared" si="122"/>
        <v>DSP</v>
      </c>
      <c r="F1132" s="7" t="str">
        <f t="shared" si="123"/>
        <v>UNI</v>
      </c>
      <c r="G1132" s="7" t="str">
        <f t="shared" si="124"/>
        <v>FWR</v>
      </c>
      <c r="H1132" s="7" t="str">
        <f t="shared" si="125"/>
        <v>LES</v>
      </c>
      <c r="I1132" s="7" t="str">
        <f t="shared" si="126"/>
        <v>ALF</v>
      </c>
      <c r="J1132" s="7" t="str">
        <f t="shared" si="127"/>
        <v>BLK</v>
      </c>
      <c r="K1132" s="7" t="str">
        <f t="shared" si="128"/>
        <v>36</v>
      </c>
      <c r="L1132" s="7">
        <v>0</v>
      </c>
      <c r="M1132" s="7" t="s">
        <v>2609</v>
      </c>
      <c r="N1132" s="7">
        <f>_xlfn.XLOOKUP(A1132,[1]SKU!$A:$A,[1]SKU!$Z:$Z)</f>
        <v>7800000</v>
      </c>
    </row>
    <row r="1133" spans="1:14">
      <c r="A1133" s="1" t="s">
        <v>1403</v>
      </c>
      <c r="B1133" s="2" t="s">
        <v>3</v>
      </c>
      <c r="C1133" s="2" t="s">
        <v>67</v>
      </c>
      <c r="D1133" s="2" t="s">
        <v>1404</v>
      </c>
      <c r="E1133" s="7" t="str">
        <f t="shared" si="122"/>
        <v>GCV</v>
      </c>
      <c r="F1133" s="7" t="str">
        <f t="shared" si="123"/>
        <v>WOM</v>
      </c>
      <c r="G1133" s="7" t="str">
        <f t="shared" si="124"/>
        <v>BLA</v>
      </c>
      <c r="H1133" s="7" t="str">
        <f t="shared" si="125"/>
        <v>BNE</v>
      </c>
      <c r="I1133" s="7" t="str">
        <f t="shared" si="126"/>
        <v>WOL</v>
      </c>
      <c r="J1133" s="7" t="str">
        <f t="shared" si="127"/>
        <v>WHI</v>
      </c>
      <c r="K1133" s="7" t="str">
        <f t="shared" si="128"/>
        <v>M</v>
      </c>
      <c r="L1133" s="7" t="s">
        <v>2270</v>
      </c>
      <c r="M1133" s="7" t="s">
        <v>4465</v>
      </c>
      <c r="N1133" s="7">
        <f>_xlfn.XLOOKUP(A1133,[1]SKU!$A:$A,[1]SKU!$Z:$Z)</f>
        <v>1690000</v>
      </c>
    </row>
    <row r="1134" spans="1:14">
      <c r="A1134" s="1" t="s">
        <v>5886</v>
      </c>
      <c r="B1134" s="2" t="s">
        <v>4472</v>
      </c>
      <c r="C1134" s="2" t="s">
        <v>244</v>
      </c>
      <c r="D1134" s="2" t="s">
        <v>5887</v>
      </c>
      <c r="E1134" s="7" t="str">
        <f t="shared" si="122"/>
        <v>DSP</v>
      </c>
      <c r="F1134" s="7" t="str">
        <f t="shared" si="123"/>
        <v>UNI</v>
      </c>
      <c r="G1134" s="7" t="str">
        <f t="shared" si="124"/>
        <v>FWR</v>
      </c>
      <c r="H1134" s="7" t="str">
        <f t="shared" si="125"/>
        <v>LES</v>
      </c>
      <c r="I1134" s="7" t="str">
        <f t="shared" si="126"/>
        <v>LAS</v>
      </c>
      <c r="J1134" s="7" t="str">
        <f t="shared" si="127"/>
        <v>PIN</v>
      </c>
      <c r="K1134" s="7" t="str">
        <f t="shared" si="128"/>
        <v>40</v>
      </c>
      <c r="L1134" s="7">
        <v>0</v>
      </c>
      <c r="M1134" s="7" t="s">
        <v>2609</v>
      </c>
      <c r="N1134" s="7">
        <f>_xlfn.XLOOKUP(A1134,[1]SKU!$A:$A,[1]SKU!$Z:$Z)</f>
        <v>5200000</v>
      </c>
    </row>
    <row r="1135" spans="1:14">
      <c r="A1135" s="1" t="s">
        <v>1405</v>
      </c>
      <c r="B1135" s="2" t="s">
        <v>3</v>
      </c>
      <c r="C1135" s="2" t="s">
        <v>326</v>
      </c>
      <c r="D1135" s="2" t="s">
        <v>1406</v>
      </c>
      <c r="E1135" s="7" t="str">
        <f t="shared" si="122"/>
        <v>GCL</v>
      </c>
      <c r="F1135" s="7" t="str">
        <f t="shared" si="123"/>
        <v>MEN</v>
      </c>
      <c r="G1135" s="7" t="str">
        <f t="shared" si="124"/>
        <v>TSO</v>
      </c>
      <c r="H1135" s="7" t="str">
        <f t="shared" si="125"/>
        <v>ONE</v>
      </c>
      <c r="I1135" s="7" t="str">
        <f t="shared" si="126"/>
        <v>TMG</v>
      </c>
      <c r="J1135" s="7" t="str">
        <f t="shared" si="127"/>
        <v>RED</v>
      </c>
      <c r="K1135" s="7" t="str">
        <f t="shared" si="128"/>
        <v>L</v>
      </c>
      <c r="L1135" s="7" t="s">
        <v>2071</v>
      </c>
      <c r="M1135" s="7" t="s">
        <v>4462</v>
      </c>
      <c r="N1135" s="7">
        <f>_xlfn.XLOOKUP(A1135,[1]SKU!$A:$A,[1]SKU!$Z:$Z)</f>
        <v>1390000</v>
      </c>
    </row>
    <row r="1136" spans="1:14">
      <c r="A1136" s="1" t="s">
        <v>1407</v>
      </c>
      <c r="B1136" s="2" t="s">
        <v>3</v>
      </c>
      <c r="C1136" s="2" t="s">
        <v>233</v>
      </c>
      <c r="D1136" s="2" t="s">
        <v>1408</v>
      </c>
      <c r="E1136" s="7" t="str">
        <f t="shared" si="122"/>
        <v>GBA</v>
      </c>
      <c r="F1136" s="7" t="str">
        <f t="shared" si="123"/>
        <v>MEN</v>
      </c>
      <c r="G1136" s="7" t="str">
        <f t="shared" si="124"/>
        <v>TSS</v>
      </c>
      <c r="H1136" s="7" t="str">
        <f t="shared" si="125"/>
        <v>ONE</v>
      </c>
      <c r="I1136" s="7" t="str">
        <f t="shared" si="126"/>
        <v>SMR</v>
      </c>
      <c r="J1136" s="7" t="str">
        <f t="shared" si="127"/>
        <v>WHI</v>
      </c>
      <c r="K1136" s="7" t="str">
        <f t="shared" si="128"/>
        <v>XL</v>
      </c>
      <c r="L1136" s="7" t="s">
        <v>2018</v>
      </c>
      <c r="M1136" s="7" t="s">
        <v>4462</v>
      </c>
      <c r="N1136" s="7">
        <f>_xlfn.XLOOKUP(A1136,[1]SKU!$A:$A,[1]SKU!$Z:$Z)</f>
        <v>710000</v>
      </c>
    </row>
    <row r="1137" spans="1:14">
      <c r="A1137" s="1" t="s">
        <v>1409</v>
      </c>
      <c r="B1137" s="2" t="s">
        <v>3</v>
      </c>
      <c r="C1137" s="2" t="s">
        <v>58</v>
      </c>
      <c r="D1137" s="2" t="s">
        <v>1410</v>
      </c>
      <c r="E1137" s="7" t="str">
        <f t="shared" si="122"/>
        <v>GLI</v>
      </c>
      <c r="F1137" s="7" t="str">
        <f t="shared" si="123"/>
        <v>MEN</v>
      </c>
      <c r="G1137" s="7" t="str">
        <f t="shared" si="124"/>
        <v>PAF</v>
      </c>
      <c r="H1137" s="7" t="str">
        <f t="shared" si="125"/>
        <v>BBT</v>
      </c>
      <c r="I1137" s="7" t="str">
        <f t="shared" si="126"/>
        <v>LIN</v>
      </c>
      <c r="J1137" s="7" t="str">
        <f t="shared" si="127"/>
        <v>NAV</v>
      </c>
      <c r="K1137" s="7" t="str">
        <f t="shared" si="128"/>
        <v>M</v>
      </c>
      <c r="L1137" s="7" t="s">
        <v>2700</v>
      </c>
      <c r="M1137" s="7" t="s">
        <v>4467</v>
      </c>
      <c r="N1137" s="7">
        <f>_xlfn.XLOOKUP(A1137,[1]SKU!$A:$A,[1]SKU!$Z:$Z)</f>
        <v>2690000</v>
      </c>
    </row>
    <row r="1138" spans="1:14">
      <c r="A1138" s="1" t="s">
        <v>1411</v>
      </c>
      <c r="B1138" s="2" t="s">
        <v>3</v>
      </c>
      <c r="C1138" s="2" t="s">
        <v>23</v>
      </c>
      <c r="D1138" s="2" t="s">
        <v>1412</v>
      </c>
      <c r="E1138" s="7" t="str">
        <f t="shared" si="122"/>
        <v>GOR</v>
      </c>
      <c r="F1138" s="7" t="str">
        <f t="shared" si="123"/>
        <v>MEN</v>
      </c>
      <c r="G1138" s="7" t="str">
        <f t="shared" si="124"/>
        <v>TSS</v>
      </c>
      <c r="H1138" s="7" t="str">
        <f t="shared" si="125"/>
        <v>ONE</v>
      </c>
      <c r="I1138" s="7" t="str">
        <f t="shared" si="126"/>
        <v>URB</v>
      </c>
      <c r="J1138" s="7" t="str">
        <f t="shared" si="127"/>
        <v>GRE</v>
      </c>
      <c r="K1138" s="7" t="str">
        <f t="shared" si="128"/>
        <v>M</v>
      </c>
      <c r="L1138" s="7" t="s">
        <v>2018</v>
      </c>
      <c r="M1138" s="7" t="s">
        <v>4462</v>
      </c>
      <c r="N1138" s="7">
        <f>_xlfn.XLOOKUP(A1138,[1]SKU!$A:$A,[1]SKU!$Z:$Z)</f>
        <v>790000</v>
      </c>
    </row>
    <row r="1139" spans="1:14">
      <c r="A1139" s="1" t="s">
        <v>5888</v>
      </c>
      <c r="B1139" s="2" t="s">
        <v>4472</v>
      </c>
      <c r="C1139" s="2" t="s">
        <v>5889</v>
      </c>
      <c r="D1139" s="2" t="s">
        <v>5890</v>
      </c>
      <c r="E1139" s="7" t="str">
        <f t="shared" si="122"/>
        <v>EDE</v>
      </c>
      <c r="F1139" s="7" t="str">
        <f t="shared" si="123"/>
        <v>UNI</v>
      </c>
      <c r="G1139" s="7" t="str">
        <f t="shared" si="124"/>
        <v>BAG</v>
      </c>
      <c r="H1139" s="7" t="str">
        <f t="shared" si="125"/>
        <v>CLU</v>
      </c>
      <c r="I1139" s="7" t="str">
        <f t="shared" si="126"/>
        <v>MUO</v>
      </c>
      <c r="J1139" s="7" t="str">
        <f t="shared" si="127"/>
        <v>MIX</v>
      </c>
      <c r="K1139" s="7" t="str">
        <f t="shared" si="128"/>
        <v>L</v>
      </c>
      <c r="L1139" s="7">
        <v>0</v>
      </c>
      <c r="M1139" s="7" t="s">
        <v>2609</v>
      </c>
      <c r="N1139" s="7">
        <f>_xlfn.XLOOKUP(A1139,[1]SKU!$A:$A,[1]SKU!$Z:$Z)</f>
        <v>395000</v>
      </c>
    </row>
    <row r="1140" spans="1:14">
      <c r="A1140" s="1" t="s">
        <v>5891</v>
      </c>
      <c r="B1140" s="2" t="s">
        <v>4472</v>
      </c>
      <c r="C1140" s="2" t="s">
        <v>5892</v>
      </c>
      <c r="D1140" s="2" t="s">
        <v>5893</v>
      </c>
      <c r="E1140" s="7" t="str">
        <f t="shared" si="122"/>
        <v>TOH</v>
      </c>
      <c r="F1140" s="7" t="str">
        <f t="shared" si="123"/>
        <v>UNI</v>
      </c>
      <c r="G1140" s="7" t="str">
        <f t="shared" si="124"/>
        <v>BAG</v>
      </c>
      <c r="H1140" s="7" t="str">
        <f t="shared" si="125"/>
        <v>OTH</v>
      </c>
      <c r="I1140" s="7" t="str">
        <f t="shared" si="126"/>
        <v>AG1</v>
      </c>
      <c r="J1140" s="7" t="str">
        <f t="shared" si="127"/>
        <v>MIX</v>
      </c>
      <c r="K1140" s="7" t="str">
        <f t="shared" si="128"/>
        <v>S</v>
      </c>
      <c r="L1140" s="7">
        <v>0</v>
      </c>
      <c r="M1140" s="7" t="s">
        <v>2609</v>
      </c>
      <c r="N1140" s="7">
        <f>_xlfn.XLOOKUP(A1140,[1]SKU!$A:$A,[1]SKU!$Z:$Z)</f>
        <v>195000</v>
      </c>
    </row>
    <row r="1141" spans="1:14">
      <c r="A1141" s="1" t="s">
        <v>1413</v>
      </c>
      <c r="B1141" s="2" t="s">
        <v>19</v>
      </c>
      <c r="C1141" s="2" t="s">
        <v>1414</v>
      </c>
      <c r="D1141" s="2" t="s">
        <v>1415</v>
      </c>
      <c r="E1141" s="7" t="str">
        <f t="shared" si="122"/>
        <v>OTH</v>
      </c>
      <c r="F1141" s="7" t="str">
        <f t="shared" si="123"/>
        <v>UNI</v>
      </c>
      <c r="G1141" s="7" t="str">
        <f t="shared" si="124"/>
        <v>SOU</v>
      </c>
      <c r="H1141" s="7" t="str">
        <f t="shared" si="125"/>
        <v>NBI</v>
      </c>
      <c r="I1141" s="7" t="str">
        <f t="shared" si="126"/>
        <v>MCC</v>
      </c>
      <c r="J1141" s="7" t="str">
        <f t="shared" si="127"/>
        <v>MIX</v>
      </c>
      <c r="K1141" s="7" t="str">
        <f t="shared" si="128"/>
        <v>A5</v>
      </c>
      <c r="L1141" s="7">
        <v>0</v>
      </c>
      <c r="M1141" s="7" t="s">
        <v>2609</v>
      </c>
      <c r="N1141" s="7">
        <f>_xlfn.XLOOKUP(A1141,[1]SKU!$A:$A,[1]SKU!$Z:$Z)</f>
        <v>210000</v>
      </c>
    </row>
    <row r="1142" spans="1:14">
      <c r="A1142" s="1" t="s">
        <v>5894</v>
      </c>
      <c r="B1142" s="2" t="s">
        <v>4472</v>
      </c>
      <c r="C1142" s="2" t="s">
        <v>99</v>
      </c>
      <c r="D1142" s="2" t="s">
        <v>5895</v>
      </c>
      <c r="E1142" s="7" t="str">
        <f t="shared" si="122"/>
        <v>DSP</v>
      </c>
      <c r="F1142" s="7" t="str">
        <f t="shared" si="123"/>
        <v>UNI</v>
      </c>
      <c r="G1142" s="7" t="str">
        <f t="shared" si="124"/>
        <v>FWR</v>
      </c>
      <c r="H1142" s="7" t="str">
        <f t="shared" si="125"/>
        <v>LES</v>
      </c>
      <c r="I1142" s="7" t="str">
        <f t="shared" si="126"/>
        <v>PHD</v>
      </c>
      <c r="J1142" s="7" t="str">
        <f t="shared" si="127"/>
        <v>TAN</v>
      </c>
      <c r="K1142" s="7" t="str">
        <f t="shared" si="128"/>
        <v>39</v>
      </c>
      <c r="L1142" s="7">
        <v>0</v>
      </c>
      <c r="M1142" s="7" t="s">
        <v>2609</v>
      </c>
      <c r="N1142" s="7">
        <f>_xlfn.XLOOKUP(A1142,[1]SKU!$A:$A,[1]SKU!$Z:$Z)</f>
        <v>7500000</v>
      </c>
    </row>
    <row r="1143" spans="1:14">
      <c r="A1143" s="1" t="s">
        <v>1416</v>
      </c>
      <c r="B1143" s="2" t="s">
        <v>3</v>
      </c>
      <c r="C1143" s="2" t="s">
        <v>300</v>
      </c>
      <c r="D1143" s="2" t="s">
        <v>1417</v>
      </c>
      <c r="E1143" s="7" t="str">
        <f t="shared" si="122"/>
        <v>GSL</v>
      </c>
      <c r="F1143" s="7" t="str">
        <f t="shared" si="123"/>
        <v>WOM</v>
      </c>
      <c r="G1143" s="7" t="str">
        <f t="shared" si="124"/>
        <v>FZE</v>
      </c>
      <c r="H1143" s="7" t="str">
        <f t="shared" si="125"/>
        <v>BNE</v>
      </c>
      <c r="I1143" s="7" t="str">
        <f t="shared" si="126"/>
        <v>SMP</v>
      </c>
      <c r="J1143" s="7" t="str">
        <f t="shared" si="127"/>
        <v>BLK</v>
      </c>
      <c r="K1143" s="7" t="str">
        <f t="shared" si="128"/>
        <v>XL</v>
      </c>
      <c r="L1143" s="7" t="s">
        <v>2131</v>
      </c>
      <c r="M1143" s="7" t="s">
        <v>2131</v>
      </c>
      <c r="N1143" s="7">
        <f>_xlfn.XLOOKUP(A1143,[1]SKU!$A:$A,[1]SKU!$Z:$Z)</f>
        <v>750000</v>
      </c>
    </row>
    <row r="1144" spans="1:14">
      <c r="A1144" s="1" t="s">
        <v>1418</v>
      </c>
      <c r="B1144" s="2" t="s">
        <v>19</v>
      </c>
      <c r="C1144" s="2" t="s">
        <v>268</v>
      </c>
      <c r="D1144" s="2" t="s">
        <v>1419</v>
      </c>
      <c r="E1144" s="7" t="str">
        <f t="shared" si="122"/>
        <v>OTH</v>
      </c>
      <c r="F1144" s="7" t="str">
        <f t="shared" si="123"/>
        <v>UNI</v>
      </c>
      <c r="G1144" s="7" t="str">
        <f t="shared" si="124"/>
        <v>FWR</v>
      </c>
      <c r="H1144" s="7" t="str">
        <f t="shared" si="125"/>
        <v>SLI</v>
      </c>
      <c r="I1144" s="7" t="str">
        <f t="shared" si="126"/>
        <v>SSY</v>
      </c>
      <c r="J1144" s="7" t="str">
        <f t="shared" si="127"/>
        <v>BLU</v>
      </c>
      <c r="K1144" s="7" t="str">
        <f t="shared" si="128"/>
        <v>40</v>
      </c>
      <c r="L1144" s="7">
        <v>0</v>
      </c>
      <c r="M1144" s="7" t="s">
        <v>2609</v>
      </c>
      <c r="N1144" s="7">
        <f>_xlfn.XLOOKUP(A1144,[1]SKU!$A:$A,[1]SKU!$Z:$Z)</f>
        <v>395000</v>
      </c>
    </row>
    <row r="1145" spans="1:14">
      <c r="A1145" s="1" t="s">
        <v>1420</v>
      </c>
      <c r="B1145" s="2" t="s">
        <v>3</v>
      </c>
      <c r="C1145" s="2" t="s">
        <v>642</v>
      </c>
      <c r="D1145" s="2" t="s">
        <v>1421</v>
      </c>
      <c r="E1145" s="7" t="str">
        <f t="shared" si="122"/>
        <v>GSP</v>
      </c>
      <c r="F1145" s="7" t="str">
        <f t="shared" si="123"/>
        <v>WOM</v>
      </c>
      <c r="G1145" s="7" t="str">
        <f t="shared" si="124"/>
        <v>SKS</v>
      </c>
      <c r="H1145" s="7" t="str">
        <f t="shared" si="125"/>
        <v>EBT</v>
      </c>
      <c r="I1145" s="7" t="str">
        <f t="shared" si="126"/>
        <v>NNE</v>
      </c>
      <c r="J1145" s="7" t="str">
        <f t="shared" si="127"/>
        <v>BLK</v>
      </c>
      <c r="K1145" s="7" t="str">
        <f t="shared" si="128"/>
        <v>S</v>
      </c>
      <c r="L1145" s="7" t="s">
        <v>2794</v>
      </c>
      <c r="M1145" s="7" t="s">
        <v>4470</v>
      </c>
      <c r="N1145" s="7">
        <f>_xlfn.XLOOKUP(A1145,[1]SKU!$A:$A,[1]SKU!$Z:$Z)</f>
        <v>810000</v>
      </c>
    </row>
    <row r="1146" spans="1:14">
      <c r="A1146" s="1" t="s">
        <v>5896</v>
      </c>
      <c r="B1146" s="2" t="s">
        <v>4472</v>
      </c>
      <c r="C1146" s="2" t="s">
        <v>4786</v>
      </c>
      <c r="D1146" s="2" t="s">
        <v>5897</v>
      </c>
      <c r="E1146" s="7" t="str">
        <f t="shared" si="122"/>
        <v>HAM</v>
      </c>
      <c r="F1146" s="7" t="str">
        <f t="shared" si="123"/>
        <v>UNI</v>
      </c>
      <c r="G1146" s="7" t="str">
        <f t="shared" si="124"/>
        <v>JEW</v>
      </c>
      <c r="H1146" s="7" t="str">
        <f t="shared" si="125"/>
        <v>NEC</v>
      </c>
      <c r="I1146" s="7" t="str">
        <f t="shared" si="126"/>
        <v>100</v>
      </c>
      <c r="J1146" s="7" t="str">
        <f t="shared" si="127"/>
        <v>MIX</v>
      </c>
      <c r="K1146" s="7" t="str">
        <f t="shared" si="128"/>
        <v>0</v>
      </c>
      <c r="L1146" s="7">
        <v>0</v>
      </c>
      <c r="M1146" s="7" t="s">
        <v>2609</v>
      </c>
      <c r="N1146" s="7">
        <f>_xlfn.XLOOKUP(A1146,[1]SKU!$A:$A,[1]SKU!$Z:$Z)</f>
        <v>3000000</v>
      </c>
    </row>
    <row r="1147" spans="1:14">
      <c r="A1147" s="1" t="s">
        <v>5898</v>
      </c>
      <c r="B1147" s="2" t="s">
        <v>4472</v>
      </c>
      <c r="C1147" s="2" t="s">
        <v>115</v>
      </c>
      <c r="D1147" s="2" t="s">
        <v>5899</v>
      </c>
      <c r="E1147" s="7" t="str">
        <f t="shared" si="122"/>
        <v>DSP</v>
      </c>
      <c r="F1147" s="7" t="str">
        <f t="shared" si="123"/>
        <v>UNI</v>
      </c>
      <c r="G1147" s="7" t="str">
        <f t="shared" si="124"/>
        <v>BAG</v>
      </c>
      <c r="H1147" s="7" t="str">
        <f t="shared" si="125"/>
        <v>HDB</v>
      </c>
      <c r="I1147" s="7" t="str">
        <f t="shared" si="126"/>
        <v>GA1</v>
      </c>
      <c r="J1147" s="7" t="str">
        <f t="shared" si="127"/>
        <v>PAR</v>
      </c>
      <c r="K1147" s="7" t="str">
        <f t="shared" si="128"/>
        <v>0</v>
      </c>
      <c r="L1147" s="7">
        <v>0</v>
      </c>
      <c r="M1147" s="7" t="s">
        <v>2609</v>
      </c>
      <c r="N1147" s="7">
        <f>_xlfn.XLOOKUP(A1147,[1]SKU!$A:$A,[1]SKU!$Z:$Z)</f>
        <v>8690000</v>
      </c>
    </row>
    <row r="1148" spans="1:14">
      <c r="A1148" s="1" t="s">
        <v>5900</v>
      </c>
      <c r="B1148" s="2" t="s">
        <v>4472</v>
      </c>
      <c r="C1148" s="2" t="s">
        <v>40</v>
      </c>
      <c r="D1148" s="2" t="s">
        <v>5901</v>
      </c>
      <c r="E1148" s="7" t="str">
        <f t="shared" si="122"/>
        <v>DSP</v>
      </c>
      <c r="F1148" s="7" t="str">
        <f t="shared" si="123"/>
        <v>UNI</v>
      </c>
      <c r="G1148" s="7" t="str">
        <f t="shared" si="124"/>
        <v>FWR</v>
      </c>
      <c r="H1148" s="7" t="str">
        <f t="shared" si="125"/>
        <v>FLA</v>
      </c>
      <c r="I1148" s="7" t="str">
        <f t="shared" si="126"/>
        <v>CO1</v>
      </c>
      <c r="J1148" s="7" t="str">
        <f t="shared" si="127"/>
        <v>BLK</v>
      </c>
      <c r="K1148" s="7" t="str">
        <f t="shared" si="128"/>
        <v>39</v>
      </c>
      <c r="L1148" s="7">
        <v>0</v>
      </c>
      <c r="M1148" s="7" t="s">
        <v>2609</v>
      </c>
      <c r="N1148" s="7">
        <f>_xlfn.XLOOKUP(A1148,[1]SKU!$A:$A,[1]SKU!$Z:$Z)</f>
        <v>5950000</v>
      </c>
    </row>
    <row r="1149" spans="1:14">
      <c r="A1149" s="1" t="s">
        <v>1423</v>
      </c>
      <c r="B1149" s="2" t="s">
        <v>3</v>
      </c>
      <c r="C1149" s="2" t="s">
        <v>268</v>
      </c>
      <c r="D1149" s="2" t="s">
        <v>1424</v>
      </c>
      <c r="E1149" s="7" t="str">
        <f t="shared" si="122"/>
        <v>GBA</v>
      </c>
      <c r="F1149" s="7" t="str">
        <f t="shared" si="123"/>
        <v>MEN</v>
      </c>
      <c r="G1149" s="7" t="str">
        <f t="shared" si="124"/>
        <v>TSP</v>
      </c>
      <c r="H1149" s="7" t="str">
        <f t="shared" si="125"/>
        <v>ONE</v>
      </c>
      <c r="I1149" s="7" t="str">
        <f t="shared" si="126"/>
        <v>SSY</v>
      </c>
      <c r="J1149" s="7" t="str">
        <f t="shared" si="127"/>
        <v>GRE</v>
      </c>
      <c r="K1149" s="7" t="str">
        <f t="shared" si="128"/>
        <v>S</v>
      </c>
      <c r="L1149" s="7" t="s">
        <v>2085</v>
      </c>
      <c r="M1149" s="7" t="s">
        <v>4462</v>
      </c>
      <c r="N1149" s="7">
        <f>_xlfn.XLOOKUP(A1149,[1]SKU!$A:$A,[1]SKU!$Z:$Z)</f>
        <v>710000</v>
      </c>
    </row>
    <row r="1150" spans="1:14">
      <c r="A1150" s="1" t="s">
        <v>1425</v>
      </c>
      <c r="B1150" s="2" t="s">
        <v>3</v>
      </c>
      <c r="C1150" s="2" t="s">
        <v>129</v>
      </c>
      <c r="D1150" s="2" t="s">
        <v>1426</v>
      </c>
      <c r="E1150" s="7" t="str">
        <f t="shared" si="122"/>
        <v>GBA</v>
      </c>
      <c r="F1150" s="7" t="str">
        <f t="shared" si="123"/>
        <v>MEN</v>
      </c>
      <c r="G1150" s="7" t="str">
        <f t="shared" si="124"/>
        <v>TSS</v>
      </c>
      <c r="H1150" s="7" t="str">
        <f t="shared" si="125"/>
        <v>ONE</v>
      </c>
      <c r="I1150" s="7" t="str">
        <f t="shared" si="126"/>
        <v>TJM</v>
      </c>
      <c r="J1150" s="7" t="str">
        <f t="shared" si="127"/>
        <v>OLI</v>
      </c>
      <c r="K1150" s="7" t="str">
        <f t="shared" si="128"/>
        <v>S</v>
      </c>
      <c r="L1150" s="7" t="s">
        <v>2018</v>
      </c>
      <c r="M1150" s="7" t="s">
        <v>4462</v>
      </c>
      <c r="N1150" s="7">
        <f>_xlfn.XLOOKUP(A1150,[1]SKU!$A:$A,[1]SKU!$Z:$Z)</f>
        <v>710000</v>
      </c>
    </row>
    <row r="1151" spans="1:14">
      <c r="A1151" s="1" t="s">
        <v>1427</v>
      </c>
      <c r="B1151" s="2" t="s">
        <v>3</v>
      </c>
      <c r="C1151" s="2" t="s">
        <v>58</v>
      </c>
      <c r="D1151" s="2" t="s">
        <v>1428</v>
      </c>
      <c r="E1151" s="7" t="str">
        <f t="shared" si="122"/>
        <v>GLI</v>
      </c>
      <c r="F1151" s="7" t="str">
        <f t="shared" si="123"/>
        <v>MEN</v>
      </c>
      <c r="G1151" s="7" t="str">
        <f t="shared" si="124"/>
        <v>PAF</v>
      </c>
      <c r="H1151" s="7" t="str">
        <f t="shared" si="125"/>
        <v>BBT</v>
      </c>
      <c r="I1151" s="7" t="str">
        <f t="shared" si="126"/>
        <v>LIN</v>
      </c>
      <c r="J1151" s="7" t="str">
        <f t="shared" si="127"/>
        <v>WHI</v>
      </c>
      <c r="K1151" s="7" t="str">
        <f t="shared" si="128"/>
        <v>M</v>
      </c>
      <c r="L1151" s="7" t="s">
        <v>2700</v>
      </c>
      <c r="M1151" s="7" t="s">
        <v>4467</v>
      </c>
      <c r="N1151" s="7">
        <f>_xlfn.XLOOKUP(A1151,[1]SKU!$A:$A,[1]SKU!$Z:$Z)</f>
        <v>2690000</v>
      </c>
    </row>
    <row r="1152" spans="1:14">
      <c r="A1152" s="1" t="s">
        <v>1429</v>
      </c>
      <c r="B1152" s="2" t="s">
        <v>3</v>
      </c>
      <c r="C1152" s="2" t="s">
        <v>81</v>
      </c>
      <c r="D1152" s="2" t="s">
        <v>1430</v>
      </c>
      <c r="E1152" s="7" t="str">
        <f t="shared" si="122"/>
        <v>GSU</v>
      </c>
      <c r="F1152" s="7" t="str">
        <f t="shared" si="123"/>
        <v>MEN</v>
      </c>
      <c r="G1152" s="7" t="str">
        <f t="shared" si="124"/>
        <v>POL</v>
      </c>
      <c r="H1152" s="7" t="str">
        <f t="shared" si="125"/>
        <v>MAN</v>
      </c>
      <c r="I1152" s="7" t="str">
        <f t="shared" si="126"/>
        <v>JUN</v>
      </c>
      <c r="J1152" s="7" t="str">
        <f t="shared" si="127"/>
        <v>WHI</v>
      </c>
      <c r="K1152" s="7" t="str">
        <f t="shared" si="128"/>
        <v>S</v>
      </c>
      <c r="L1152" s="7" t="s">
        <v>1995</v>
      </c>
      <c r="M1152" s="7" t="s">
        <v>4468</v>
      </c>
      <c r="N1152" s="7">
        <f>_xlfn.XLOOKUP(A1152,[1]SKU!$A:$A,[1]SKU!$Z:$Z)</f>
        <v>1190000</v>
      </c>
    </row>
    <row r="1153" spans="1:14">
      <c r="A1153" s="1" t="s">
        <v>5902</v>
      </c>
      <c r="B1153" s="2" t="s">
        <v>4472</v>
      </c>
      <c r="C1153" s="2" t="s">
        <v>5903</v>
      </c>
      <c r="D1153" s="2" t="s">
        <v>5904</v>
      </c>
      <c r="E1153" s="7" t="str">
        <f t="shared" si="122"/>
        <v>DSP</v>
      </c>
      <c r="F1153" s="7" t="str">
        <f t="shared" si="123"/>
        <v>UNI</v>
      </c>
      <c r="G1153" s="7" t="str">
        <f t="shared" si="124"/>
        <v>FWR</v>
      </c>
      <c r="H1153" s="7" t="str">
        <f t="shared" si="125"/>
        <v>LES</v>
      </c>
      <c r="I1153" s="7" t="str">
        <f t="shared" si="126"/>
        <v>WIL</v>
      </c>
      <c r="J1153" s="7" t="str">
        <f t="shared" si="127"/>
        <v>CHE</v>
      </c>
      <c r="K1153" s="7" t="str">
        <f t="shared" si="128"/>
        <v>45</v>
      </c>
      <c r="L1153" s="7">
        <v>0</v>
      </c>
      <c r="M1153" s="7" t="s">
        <v>2609</v>
      </c>
      <c r="N1153" s="7">
        <f>_xlfn.XLOOKUP(A1153,[1]SKU!$A:$A,[1]SKU!$Z:$Z)</f>
        <v>8250000</v>
      </c>
    </row>
    <row r="1154" spans="1:14">
      <c r="A1154" s="1" t="s">
        <v>5905</v>
      </c>
      <c r="B1154" s="2" t="s">
        <v>4472</v>
      </c>
      <c r="C1154" s="2" t="s">
        <v>4786</v>
      </c>
      <c r="D1154" s="2" t="s">
        <v>5906</v>
      </c>
      <c r="E1154" s="7" t="str">
        <f t="shared" ref="E1154:E1217" si="129">_xlfn.TEXTBEFORE(_xlfn.TEXTAFTER(D1154,"-"),"-")</f>
        <v>HAM</v>
      </c>
      <c r="F1154" s="7" t="str">
        <f t="shared" si="123"/>
        <v>UNI</v>
      </c>
      <c r="G1154" s="7" t="str">
        <f t="shared" si="124"/>
        <v>JEW</v>
      </c>
      <c r="H1154" s="7" t="str">
        <f t="shared" si="125"/>
        <v>NEC</v>
      </c>
      <c r="I1154" s="7" t="str">
        <f t="shared" si="126"/>
        <v>122</v>
      </c>
      <c r="J1154" s="7" t="str">
        <f t="shared" si="127"/>
        <v>MIX</v>
      </c>
      <c r="K1154" s="7" t="str">
        <f t="shared" si="128"/>
        <v>0</v>
      </c>
      <c r="L1154" s="7">
        <v>0</v>
      </c>
      <c r="M1154" s="7" t="s">
        <v>2609</v>
      </c>
      <c r="N1154" s="7">
        <f>_xlfn.XLOOKUP(A1154,[1]SKU!$A:$A,[1]SKU!$Z:$Z)</f>
        <v>3000000</v>
      </c>
    </row>
    <row r="1155" spans="1:14">
      <c r="A1155" s="1" t="s">
        <v>1432</v>
      </c>
      <c r="B1155" s="2" t="s">
        <v>3</v>
      </c>
      <c r="C1155" s="2" t="s">
        <v>311</v>
      </c>
      <c r="D1155" s="2" t="s">
        <v>1433</v>
      </c>
      <c r="E1155" s="7" t="str">
        <f t="shared" si="129"/>
        <v>GSU</v>
      </c>
      <c r="F1155" s="7" t="str">
        <f t="shared" si="123"/>
        <v>WOM</v>
      </c>
      <c r="G1155" s="7" t="str">
        <f t="shared" si="124"/>
        <v>PZE</v>
      </c>
      <c r="H1155" s="7" t="str">
        <f t="shared" si="125"/>
        <v>ONE</v>
      </c>
      <c r="I1155" s="7" t="str">
        <f t="shared" si="126"/>
        <v>GL2</v>
      </c>
      <c r="J1155" s="7" t="str">
        <f t="shared" si="127"/>
        <v>BJL</v>
      </c>
      <c r="K1155" s="7" t="str">
        <f t="shared" si="128"/>
        <v>M</v>
      </c>
      <c r="L1155" s="7" t="s">
        <v>2167</v>
      </c>
      <c r="M1155" s="7" t="s">
        <v>2167</v>
      </c>
      <c r="N1155" s="7">
        <f>_xlfn.XLOOKUP(A1155,[1]SKU!$A:$A,[1]SKU!$Z:$Z)</f>
        <v>850000</v>
      </c>
    </row>
    <row r="1156" spans="1:14">
      <c r="A1156" s="1" t="s">
        <v>5907</v>
      </c>
      <c r="B1156" s="2" t="s">
        <v>4472</v>
      </c>
      <c r="C1156" s="2" t="s">
        <v>5908</v>
      </c>
      <c r="D1156" s="2" t="s">
        <v>5909</v>
      </c>
      <c r="E1156" s="7" t="str">
        <f t="shared" si="129"/>
        <v>DSP</v>
      </c>
      <c r="F1156" s="7" t="str">
        <f t="shared" si="123"/>
        <v>UNI</v>
      </c>
      <c r="G1156" s="7" t="str">
        <f t="shared" si="124"/>
        <v>BAG</v>
      </c>
      <c r="H1156" s="7" t="str">
        <f t="shared" si="125"/>
        <v>SHB</v>
      </c>
      <c r="I1156" s="7" t="str">
        <f t="shared" si="126"/>
        <v>WAS</v>
      </c>
      <c r="J1156" s="7" t="str">
        <f t="shared" si="127"/>
        <v>HEA</v>
      </c>
      <c r="K1156" s="7" t="str">
        <f t="shared" si="128"/>
        <v>0</v>
      </c>
      <c r="L1156" s="7">
        <v>0</v>
      </c>
      <c r="M1156" s="7" t="s">
        <v>2609</v>
      </c>
      <c r="N1156" s="7">
        <f>_xlfn.XLOOKUP(A1156,[1]SKU!$A:$A,[1]SKU!$Z:$Z)</f>
        <v>4800000</v>
      </c>
    </row>
    <row r="1157" spans="1:14">
      <c r="A1157" s="1" t="s">
        <v>5910</v>
      </c>
      <c r="B1157" s="2" t="s">
        <v>4472</v>
      </c>
      <c r="C1157" s="2" t="s">
        <v>4498</v>
      </c>
      <c r="D1157" s="2" t="s">
        <v>5911</v>
      </c>
      <c r="E1157" s="7" t="str">
        <f t="shared" si="129"/>
        <v>HAM</v>
      </c>
      <c r="F1157" s="7" t="str">
        <f t="shared" si="123"/>
        <v>UNI</v>
      </c>
      <c r="G1157" s="7" t="str">
        <f t="shared" si="124"/>
        <v>JEW</v>
      </c>
      <c r="H1157" s="7" t="str">
        <f t="shared" si="125"/>
        <v>NEC</v>
      </c>
      <c r="I1157" s="7" t="str">
        <f t="shared" si="126"/>
        <v>141</v>
      </c>
      <c r="J1157" s="7" t="str">
        <f t="shared" si="127"/>
        <v>MIX</v>
      </c>
      <c r="K1157" s="7" t="str">
        <f t="shared" si="128"/>
        <v>0</v>
      </c>
      <c r="L1157" s="7">
        <v>0</v>
      </c>
      <c r="M1157" s="7" t="s">
        <v>2609</v>
      </c>
      <c r="N1157" s="7">
        <f>_xlfn.XLOOKUP(A1157,[1]SKU!$A:$A,[1]SKU!$Z:$Z)</f>
        <v>2000000</v>
      </c>
    </row>
    <row r="1158" spans="1:14">
      <c r="A1158" s="1" t="s">
        <v>5912</v>
      </c>
      <c r="B1158" s="2" t="s">
        <v>4472</v>
      </c>
      <c r="C1158" s="2" t="s">
        <v>5913</v>
      </c>
      <c r="D1158" s="2" t="s">
        <v>5914</v>
      </c>
      <c r="E1158" s="7" t="str">
        <f t="shared" si="129"/>
        <v>LAN</v>
      </c>
      <c r="F1158" s="7" t="str">
        <f t="shared" si="123"/>
        <v>UNI</v>
      </c>
      <c r="G1158" s="7" t="str">
        <f t="shared" si="124"/>
        <v>HWR</v>
      </c>
      <c r="H1158" s="7" t="str">
        <f t="shared" si="125"/>
        <v>SC2</v>
      </c>
      <c r="I1158" s="7" t="str">
        <f t="shared" si="126"/>
        <v>HNI</v>
      </c>
      <c r="J1158" s="7" t="str">
        <f t="shared" si="127"/>
        <v>GRN</v>
      </c>
      <c r="K1158" s="7" t="str">
        <f t="shared" si="128"/>
        <v>60x60</v>
      </c>
      <c r="L1158" s="7">
        <v>0</v>
      </c>
      <c r="M1158" s="7" t="s">
        <v>2609</v>
      </c>
      <c r="N1158" s="7">
        <f>_xlfn.XLOOKUP(A1158,[1]SKU!$A:$A,[1]SKU!$Z:$Z)</f>
        <v>549000</v>
      </c>
    </row>
    <row r="1159" spans="1:14">
      <c r="A1159" s="1" t="s">
        <v>1434</v>
      </c>
      <c r="B1159" s="2" t="s">
        <v>3</v>
      </c>
      <c r="C1159" s="2" t="s">
        <v>38</v>
      </c>
      <c r="D1159" s="2" t="s">
        <v>1435</v>
      </c>
      <c r="E1159" s="7" t="str">
        <f t="shared" si="129"/>
        <v>GLI</v>
      </c>
      <c r="F1159" s="7" t="str">
        <f t="shared" si="123"/>
        <v>MEN</v>
      </c>
      <c r="G1159" s="7" t="str">
        <f t="shared" si="124"/>
        <v>SIS</v>
      </c>
      <c r="H1159" s="7" t="str">
        <f t="shared" si="125"/>
        <v>MAN</v>
      </c>
      <c r="I1159" s="7" t="str">
        <f t="shared" si="126"/>
        <v>LOG</v>
      </c>
      <c r="J1159" s="7" t="str">
        <f t="shared" si="127"/>
        <v>WHI</v>
      </c>
      <c r="K1159" s="7" t="str">
        <f t="shared" si="128"/>
        <v>M</v>
      </c>
      <c r="L1159" s="7" t="s">
        <v>2211</v>
      </c>
      <c r="M1159" s="7" t="s">
        <v>4464</v>
      </c>
      <c r="N1159" s="7">
        <f>_xlfn.XLOOKUP(A1159,[1]SKU!$A:$A,[1]SKU!$Z:$Z)</f>
        <v>2790000</v>
      </c>
    </row>
    <row r="1160" spans="1:14">
      <c r="A1160" s="1" t="s">
        <v>5915</v>
      </c>
      <c r="B1160" s="2" t="s">
        <v>4472</v>
      </c>
      <c r="C1160" s="2" t="s">
        <v>5916</v>
      </c>
      <c r="D1160" s="2" t="s">
        <v>5917</v>
      </c>
      <c r="E1160" s="7" t="str">
        <f t="shared" si="129"/>
        <v>LAN</v>
      </c>
      <c r="F1160" s="7" t="str">
        <f t="shared" si="123"/>
        <v>UNI</v>
      </c>
      <c r="G1160" s="7" t="str">
        <f t="shared" si="124"/>
        <v>HWR</v>
      </c>
      <c r="H1160" s="7" t="str">
        <f t="shared" si="125"/>
        <v>SC2</v>
      </c>
      <c r="I1160" s="7" t="str">
        <f t="shared" si="126"/>
        <v>CBBD</v>
      </c>
      <c r="J1160" s="7" t="str">
        <f t="shared" si="127"/>
        <v>PIN</v>
      </c>
      <c r="K1160" s="7" t="str">
        <f t="shared" si="128"/>
        <v>55x55</v>
      </c>
      <c r="L1160" s="7">
        <v>0</v>
      </c>
      <c r="M1160" s="7" t="s">
        <v>2609</v>
      </c>
      <c r="N1160" s="7">
        <f>_xlfn.XLOOKUP(A1160,[1]SKU!$A:$A,[1]SKU!$Z:$Z)</f>
        <v>549000</v>
      </c>
    </row>
    <row r="1161" spans="1:14">
      <c r="A1161" s="1" t="s">
        <v>1436</v>
      </c>
      <c r="B1161" s="2" t="s">
        <v>19</v>
      </c>
      <c r="C1161" s="2" t="s">
        <v>306</v>
      </c>
      <c r="D1161" s="2" t="s">
        <v>1437</v>
      </c>
      <c r="E1161" s="7" t="str">
        <f t="shared" si="129"/>
        <v>OTH</v>
      </c>
      <c r="F1161" s="7" t="str">
        <f t="shared" si="123"/>
        <v>UNI</v>
      </c>
      <c r="G1161" s="7" t="str">
        <f t="shared" si="124"/>
        <v>BAG</v>
      </c>
      <c r="H1161" s="7" t="str">
        <f t="shared" si="125"/>
        <v>PCE</v>
      </c>
      <c r="I1161" s="7" t="str">
        <f t="shared" si="126"/>
        <v>PCE</v>
      </c>
      <c r="J1161" s="7" t="str">
        <f t="shared" si="127"/>
        <v>RED</v>
      </c>
      <c r="K1161" s="7" t="str">
        <f t="shared" si="128"/>
        <v>0</v>
      </c>
      <c r="L1161" s="7">
        <v>0</v>
      </c>
      <c r="M1161" s="7" t="s">
        <v>2609</v>
      </c>
      <c r="N1161" s="7">
        <f>_xlfn.XLOOKUP(A1161,[1]SKU!$A:$A,[1]SKU!$Z:$Z)</f>
        <v>395000</v>
      </c>
    </row>
    <row r="1162" spans="1:14">
      <c r="A1162" s="1" t="s">
        <v>5918</v>
      </c>
      <c r="B1162" s="2" t="s">
        <v>4472</v>
      </c>
      <c r="C1162" s="2" t="s">
        <v>5919</v>
      </c>
      <c r="D1162" s="2" t="s">
        <v>5920</v>
      </c>
      <c r="E1162" s="7" t="str">
        <f t="shared" si="129"/>
        <v>BLS</v>
      </c>
      <c r="F1162" s="7" t="str">
        <f t="shared" si="123"/>
        <v>UNI</v>
      </c>
      <c r="G1162" s="7" t="str">
        <f t="shared" si="124"/>
        <v>FNB</v>
      </c>
      <c r="H1162" s="7" t="str">
        <f t="shared" si="125"/>
        <v>SAL</v>
      </c>
      <c r="I1162" s="7" t="str">
        <f t="shared" si="126"/>
        <v>001</v>
      </c>
      <c r="J1162" s="7" t="str">
        <f t="shared" si="127"/>
        <v>MIX</v>
      </c>
      <c r="K1162" s="7" t="str">
        <f t="shared" si="128"/>
        <v>180g</v>
      </c>
      <c r="L1162" s="7">
        <v>0</v>
      </c>
      <c r="M1162" s="7" t="s">
        <v>2609</v>
      </c>
      <c r="N1162" s="7">
        <f>_xlfn.XLOOKUP(A1162,[1]SKU!$A:$A,[1]SKU!$Z:$Z)</f>
        <v>155000</v>
      </c>
    </row>
    <row r="1163" spans="1:14">
      <c r="A1163" s="1" t="s">
        <v>1438</v>
      </c>
      <c r="B1163" s="2" t="s">
        <v>3</v>
      </c>
      <c r="C1163" s="2" t="s">
        <v>787</v>
      </c>
      <c r="D1163" s="2" t="s">
        <v>1439</v>
      </c>
      <c r="E1163" s="7" t="str">
        <f t="shared" si="129"/>
        <v>GOR</v>
      </c>
      <c r="F1163" s="7" t="str">
        <f t="shared" si="123"/>
        <v>MEN</v>
      </c>
      <c r="G1163" s="7" t="str">
        <f t="shared" si="124"/>
        <v>TSS</v>
      </c>
      <c r="H1163" s="7" t="str">
        <f t="shared" si="125"/>
        <v>ONE</v>
      </c>
      <c r="I1163" s="7" t="str">
        <f t="shared" si="126"/>
        <v>LLY</v>
      </c>
      <c r="J1163" s="7" t="str">
        <f t="shared" si="127"/>
        <v>BOR</v>
      </c>
      <c r="K1163" s="7" t="str">
        <f t="shared" si="128"/>
        <v>XL</v>
      </c>
      <c r="L1163" s="7" t="s">
        <v>2018</v>
      </c>
      <c r="M1163" s="7" t="s">
        <v>4462</v>
      </c>
      <c r="N1163" s="7">
        <f>_xlfn.XLOOKUP(A1163,[1]SKU!$A:$A,[1]SKU!$Z:$Z)</f>
        <v>990000</v>
      </c>
    </row>
    <row r="1164" spans="1:14">
      <c r="A1164" s="1" t="s">
        <v>5921</v>
      </c>
      <c r="B1164" s="2" t="s">
        <v>4472</v>
      </c>
      <c r="C1164" s="2" t="s">
        <v>1440</v>
      </c>
      <c r="D1164" s="2" t="s">
        <v>5922</v>
      </c>
      <c r="E1164" s="7" t="str">
        <f t="shared" si="129"/>
        <v>DSP</v>
      </c>
      <c r="F1164" s="7" t="str">
        <f t="shared" si="123"/>
        <v>UNI</v>
      </c>
      <c r="G1164" s="7" t="str">
        <f t="shared" si="124"/>
        <v>HDR</v>
      </c>
      <c r="H1164" s="7" t="str">
        <f t="shared" si="125"/>
        <v>SAS</v>
      </c>
      <c r="I1164" s="7" t="str">
        <f t="shared" si="126"/>
        <v>TPB</v>
      </c>
      <c r="J1164" s="7" t="str">
        <f t="shared" si="127"/>
        <v>TUR</v>
      </c>
      <c r="K1164" s="7" t="str">
        <f t="shared" si="128"/>
        <v>0</v>
      </c>
      <c r="L1164" s="7">
        <v>0</v>
      </c>
      <c r="M1164" s="7" t="s">
        <v>2609</v>
      </c>
      <c r="N1164" s="7">
        <f>_xlfn.XLOOKUP(A1164,[1]SKU!$A:$A,[1]SKU!$Z:$Z)</f>
        <v>3250000</v>
      </c>
    </row>
    <row r="1165" spans="1:14">
      <c r="A1165" s="1" t="s">
        <v>5923</v>
      </c>
      <c r="B1165" s="2" t="s">
        <v>4472</v>
      </c>
      <c r="C1165" s="2" t="s">
        <v>1013</v>
      </c>
      <c r="D1165" s="2" t="s">
        <v>5924</v>
      </c>
      <c r="E1165" s="7" t="str">
        <f t="shared" si="129"/>
        <v>DSP</v>
      </c>
      <c r="F1165" s="7" t="str">
        <f t="shared" si="123"/>
        <v>UNI</v>
      </c>
      <c r="G1165" s="7" t="str">
        <f t="shared" si="124"/>
        <v>BAG</v>
      </c>
      <c r="H1165" s="7" t="str">
        <f t="shared" si="125"/>
        <v>WAL</v>
      </c>
      <c r="I1165" s="7" t="str">
        <f t="shared" si="126"/>
        <v>BAR</v>
      </c>
      <c r="J1165" s="7" t="str">
        <f t="shared" si="127"/>
        <v>CME</v>
      </c>
      <c r="K1165" s="7" t="str">
        <f t="shared" si="128"/>
        <v>0</v>
      </c>
      <c r="L1165" s="7">
        <v>0</v>
      </c>
      <c r="M1165" s="7" t="s">
        <v>2609</v>
      </c>
      <c r="N1165" s="7">
        <f>_xlfn.XLOOKUP(A1165,[1]SKU!$A:$A,[1]SKU!$Z:$Z)</f>
        <v>3300000</v>
      </c>
    </row>
    <row r="1166" spans="1:14">
      <c r="A1166" s="1" t="s">
        <v>1441</v>
      </c>
      <c r="B1166" s="2" t="s">
        <v>3</v>
      </c>
      <c r="C1166" s="2" t="s">
        <v>509</v>
      </c>
      <c r="D1166" s="2" t="s">
        <v>1442</v>
      </c>
      <c r="E1166" s="7" t="str">
        <f t="shared" si="129"/>
        <v>GOR</v>
      </c>
      <c r="F1166" s="7" t="str">
        <f t="shared" si="123"/>
        <v>MEN</v>
      </c>
      <c r="G1166" s="7" t="str">
        <f t="shared" si="124"/>
        <v>TSS</v>
      </c>
      <c r="H1166" s="7" t="str">
        <f t="shared" si="125"/>
        <v>HNE</v>
      </c>
      <c r="I1166" s="7" t="str">
        <f t="shared" si="126"/>
        <v>FPC</v>
      </c>
      <c r="J1166" s="7" t="str">
        <f t="shared" si="127"/>
        <v>BDE</v>
      </c>
      <c r="K1166" s="7" t="str">
        <f t="shared" si="128"/>
        <v>S</v>
      </c>
      <c r="L1166" s="7" t="s">
        <v>2018</v>
      </c>
      <c r="M1166" s="7" t="s">
        <v>4462</v>
      </c>
      <c r="N1166" s="7">
        <f>_xlfn.XLOOKUP(A1166,[1]SKU!$A:$A,[1]SKU!$Z:$Z)</f>
        <v>1190000</v>
      </c>
    </row>
    <row r="1167" spans="1:14">
      <c r="A1167" s="1" t="s">
        <v>1443</v>
      </c>
      <c r="B1167" s="2" t="s">
        <v>3</v>
      </c>
      <c r="C1167" s="2" t="s">
        <v>815</v>
      </c>
      <c r="D1167" s="2" t="s">
        <v>1444</v>
      </c>
      <c r="E1167" s="7" t="str">
        <f t="shared" si="129"/>
        <v>GSP</v>
      </c>
      <c r="F1167" s="7" t="str">
        <f t="shared" si="123"/>
        <v>MEN</v>
      </c>
      <c r="G1167" s="7" t="str">
        <f t="shared" si="124"/>
        <v>POL</v>
      </c>
      <c r="H1167" s="7" t="str">
        <f t="shared" si="125"/>
        <v>MAN</v>
      </c>
      <c r="I1167" s="7" t="str">
        <f t="shared" si="126"/>
        <v>CHA</v>
      </c>
      <c r="J1167" s="7" t="str">
        <f t="shared" si="127"/>
        <v>EMR</v>
      </c>
      <c r="K1167" s="7" t="str">
        <f t="shared" si="128"/>
        <v>M</v>
      </c>
      <c r="L1167" s="7" t="s">
        <v>1995</v>
      </c>
      <c r="M1167" s="7" t="s">
        <v>4468</v>
      </c>
      <c r="N1167" s="7">
        <f>_xlfn.XLOOKUP(A1167,[1]SKU!$A:$A,[1]SKU!$Z:$Z)</f>
        <v>1090000</v>
      </c>
    </row>
    <row r="1168" spans="1:14">
      <c r="A1168" s="1" t="s">
        <v>5925</v>
      </c>
      <c r="B1168" s="2" t="s">
        <v>4472</v>
      </c>
      <c r="C1168" s="2" t="s">
        <v>115</v>
      </c>
      <c r="D1168" s="2" t="s">
        <v>5926</v>
      </c>
      <c r="E1168" s="7" t="str">
        <f t="shared" si="129"/>
        <v>DSP</v>
      </c>
      <c r="F1168" s="7" t="str">
        <f t="shared" si="123"/>
        <v>UNI</v>
      </c>
      <c r="G1168" s="7" t="str">
        <f t="shared" si="124"/>
        <v>BAG</v>
      </c>
      <c r="H1168" s="7" t="str">
        <f t="shared" si="125"/>
        <v>HDB</v>
      </c>
      <c r="I1168" s="7" t="str">
        <f t="shared" si="126"/>
        <v>GA1</v>
      </c>
      <c r="J1168" s="7" t="str">
        <f t="shared" si="127"/>
        <v>BNW</v>
      </c>
      <c r="K1168" s="7" t="str">
        <f t="shared" si="128"/>
        <v>0</v>
      </c>
      <c r="L1168" s="7">
        <v>0</v>
      </c>
      <c r="M1168" s="7" t="s">
        <v>2609</v>
      </c>
      <c r="N1168" s="7">
        <f>_xlfn.XLOOKUP(A1168,[1]SKU!$A:$A,[1]SKU!$Z:$Z)</f>
        <v>8690000</v>
      </c>
    </row>
    <row r="1169" spans="1:14">
      <c r="A1169" s="1" t="s">
        <v>1445</v>
      </c>
      <c r="B1169" s="2" t="s">
        <v>3</v>
      </c>
      <c r="C1169" s="2" t="s">
        <v>38</v>
      </c>
      <c r="D1169" s="2" t="s">
        <v>1446</v>
      </c>
      <c r="E1169" s="7" t="str">
        <f t="shared" si="129"/>
        <v>GFI</v>
      </c>
      <c r="F1169" s="7" t="str">
        <f t="shared" si="123"/>
        <v>MEN</v>
      </c>
      <c r="G1169" s="7" t="str">
        <f t="shared" si="124"/>
        <v>SHS</v>
      </c>
      <c r="H1169" s="7" t="str">
        <f t="shared" si="125"/>
        <v>EBT</v>
      </c>
      <c r="I1169" s="7" t="str">
        <f t="shared" si="126"/>
        <v>LOG</v>
      </c>
      <c r="J1169" s="7" t="str">
        <f t="shared" si="127"/>
        <v>BLK</v>
      </c>
      <c r="K1169" s="7" t="str">
        <f t="shared" si="128"/>
        <v>M</v>
      </c>
      <c r="L1169" s="7" t="s">
        <v>2752</v>
      </c>
      <c r="M1169" s="7" t="s">
        <v>4463</v>
      </c>
      <c r="N1169" s="7">
        <f>_xlfn.XLOOKUP(A1169,[1]SKU!$A:$A,[1]SKU!$Z:$Z)</f>
        <v>1050000</v>
      </c>
    </row>
    <row r="1170" spans="1:14">
      <c r="A1170" s="1" t="s">
        <v>1447</v>
      </c>
      <c r="B1170" s="2" t="s">
        <v>3</v>
      </c>
      <c r="C1170" s="2" t="s">
        <v>38</v>
      </c>
      <c r="D1170" s="2" t="s">
        <v>1448</v>
      </c>
      <c r="E1170" s="7" t="str">
        <f t="shared" si="129"/>
        <v>GLI</v>
      </c>
      <c r="F1170" s="7" t="str">
        <f t="shared" si="123"/>
        <v>MEN</v>
      </c>
      <c r="G1170" s="7" t="str">
        <f t="shared" si="124"/>
        <v>SIS</v>
      </c>
      <c r="H1170" s="7" t="str">
        <f t="shared" si="125"/>
        <v>CLA</v>
      </c>
      <c r="I1170" s="7" t="str">
        <f t="shared" si="126"/>
        <v>LOG</v>
      </c>
      <c r="J1170" s="7" t="str">
        <f t="shared" si="127"/>
        <v>CAM</v>
      </c>
      <c r="K1170" s="7" t="str">
        <f t="shared" si="128"/>
        <v>S</v>
      </c>
      <c r="L1170" s="7" t="s">
        <v>2211</v>
      </c>
      <c r="M1170" s="7" t="s">
        <v>4464</v>
      </c>
      <c r="N1170" s="7">
        <f>_xlfn.XLOOKUP(A1170,[1]SKU!$A:$A,[1]SKU!$Z:$Z)</f>
        <v>2590000</v>
      </c>
    </row>
    <row r="1171" spans="1:14">
      <c r="A1171" s="1" t="s">
        <v>1449</v>
      </c>
      <c r="B1171" s="2" t="s">
        <v>3</v>
      </c>
      <c r="C1171" s="2" t="s">
        <v>29</v>
      </c>
      <c r="D1171" s="2" t="s">
        <v>1450</v>
      </c>
      <c r="E1171" s="7" t="str">
        <f t="shared" si="129"/>
        <v>GSP</v>
      </c>
      <c r="F1171" s="7" t="str">
        <f t="shared" si="123"/>
        <v>MEN</v>
      </c>
      <c r="G1171" s="7" t="str">
        <f t="shared" si="124"/>
        <v>POL</v>
      </c>
      <c r="H1171" s="7" t="str">
        <f t="shared" si="125"/>
        <v>MAN</v>
      </c>
      <c r="I1171" s="7" t="str">
        <f t="shared" si="126"/>
        <v>SHU</v>
      </c>
      <c r="J1171" s="7" t="str">
        <f t="shared" si="127"/>
        <v>RPM</v>
      </c>
      <c r="K1171" s="7" t="str">
        <f t="shared" si="128"/>
        <v>S</v>
      </c>
      <c r="L1171" s="7" t="s">
        <v>1995</v>
      </c>
      <c r="M1171" s="7" t="s">
        <v>4468</v>
      </c>
      <c r="N1171" s="7">
        <f>_xlfn.XLOOKUP(A1171,[1]SKU!$A:$A,[1]SKU!$Z:$Z)</f>
        <v>1090000</v>
      </c>
    </row>
    <row r="1172" spans="1:14">
      <c r="A1172" s="1" t="s">
        <v>5927</v>
      </c>
      <c r="B1172" s="2" t="s">
        <v>4472</v>
      </c>
      <c r="C1172" s="2" t="s">
        <v>5928</v>
      </c>
      <c r="D1172" s="2" t="s">
        <v>5929</v>
      </c>
      <c r="E1172" s="7" t="str">
        <f t="shared" si="129"/>
        <v>LAN</v>
      </c>
      <c r="F1172" s="7" t="str">
        <f t="shared" si="123"/>
        <v>UNI</v>
      </c>
      <c r="G1172" s="7" t="str">
        <f t="shared" si="124"/>
        <v>HWR</v>
      </c>
      <c r="H1172" s="7" t="str">
        <f t="shared" si="125"/>
        <v>SC2</v>
      </c>
      <c r="I1172" s="7" t="str">
        <f t="shared" si="126"/>
        <v>TAN</v>
      </c>
      <c r="J1172" s="7" t="str">
        <f t="shared" si="127"/>
        <v>PIN</v>
      </c>
      <c r="K1172" s="7" t="str">
        <f t="shared" si="128"/>
        <v>90x90</v>
      </c>
      <c r="L1172" s="7">
        <v>0</v>
      </c>
      <c r="M1172" s="7" t="s">
        <v>2609</v>
      </c>
      <c r="N1172" s="7">
        <f>_xlfn.XLOOKUP(A1172,[1]SKU!$A:$A,[1]SKU!$Z:$Z)</f>
        <v>989000</v>
      </c>
    </row>
    <row r="1173" spans="1:14">
      <c r="A1173" s="1" t="s">
        <v>1451</v>
      </c>
      <c r="B1173" s="2" t="s">
        <v>3</v>
      </c>
      <c r="C1173" s="2" t="s">
        <v>33</v>
      </c>
      <c r="D1173" s="2" t="s">
        <v>1452</v>
      </c>
      <c r="E1173" s="7" t="str">
        <f t="shared" si="129"/>
        <v>GBA</v>
      </c>
      <c r="F1173" s="7" t="str">
        <f t="shared" si="123"/>
        <v>MEN</v>
      </c>
      <c r="G1173" s="7" t="str">
        <f t="shared" si="124"/>
        <v>TSS</v>
      </c>
      <c r="H1173" s="7" t="str">
        <f t="shared" si="125"/>
        <v>ONE</v>
      </c>
      <c r="I1173" s="7" t="str">
        <f t="shared" si="126"/>
        <v>VTM</v>
      </c>
      <c r="J1173" s="7" t="str">
        <f t="shared" si="127"/>
        <v>WHI</v>
      </c>
      <c r="K1173" s="7" t="str">
        <f t="shared" si="128"/>
        <v>M</v>
      </c>
      <c r="L1173" s="7" t="s">
        <v>2018</v>
      </c>
      <c r="M1173" s="7" t="s">
        <v>4462</v>
      </c>
      <c r="N1173" s="7">
        <f>_xlfn.XLOOKUP(A1173,[1]SKU!$A:$A,[1]SKU!$Z:$Z)</f>
        <v>710000</v>
      </c>
    </row>
    <row r="1174" spans="1:14">
      <c r="A1174" s="1" t="s">
        <v>5930</v>
      </c>
      <c r="B1174" s="2" t="s">
        <v>4472</v>
      </c>
      <c r="C1174" s="2" t="s">
        <v>855</v>
      </c>
      <c r="D1174" s="2" t="s">
        <v>5931</v>
      </c>
      <c r="E1174" s="7" t="str">
        <f t="shared" si="129"/>
        <v>DSP</v>
      </c>
      <c r="F1174" s="7" t="str">
        <f t="shared" si="123"/>
        <v>UNI</v>
      </c>
      <c r="G1174" s="7" t="str">
        <f t="shared" si="124"/>
        <v>BAG</v>
      </c>
      <c r="H1174" s="7" t="str">
        <f t="shared" si="125"/>
        <v>CLU</v>
      </c>
      <c r="I1174" s="7" t="str">
        <f t="shared" si="126"/>
        <v>FOU</v>
      </c>
      <c r="J1174" s="7" t="str">
        <f t="shared" si="127"/>
        <v>RED</v>
      </c>
      <c r="K1174" s="7" t="str">
        <f t="shared" si="128"/>
        <v>0</v>
      </c>
      <c r="L1174" s="7">
        <v>0</v>
      </c>
      <c r="M1174" s="7" t="s">
        <v>2609</v>
      </c>
      <c r="N1174" s="7">
        <f>_xlfn.XLOOKUP(A1174,[1]SKU!$A:$A,[1]SKU!$Z:$Z)</f>
        <v>1500000</v>
      </c>
    </row>
    <row r="1175" spans="1:14">
      <c r="A1175" s="1" t="s">
        <v>5932</v>
      </c>
      <c r="B1175" s="2" t="s">
        <v>4472</v>
      </c>
      <c r="C1175" s="2" t="s">
        <v>819</v>
      </c>
      <c r="D1175" s="2" t="s">
        <v>5933</v>
      </c>
      <c r="E1175" s="7" t="str">
        <f t="shared" si="129"/>
        <v>DSP</v>
      </c>
      <c r="F1175" s="7" t="str">
        <f t="shared" si="123"/>
        <v>UNI</v>
      </c>
      <c r="G1175" s="7" t="str">
        <f t="shared" si="124"/>
        <v>BAG</v>
      </c>
      <c r="H1175" s="7" t="str">
        <f t="shared" si="125"/>
        <v>CLU</v>
      </c>
      <c r="I1175" s="7" t="str">
        <f t="shared" si="126"/>
        <v>BAZ</v>
      </c>
      <c r="J1175" s="7" t="str">
        <f t="shared" si="127"/>
        <v>BLK</v>
      </c>
      <c r="K1175" s="7" t="str">
        <f t="shared" si="128"/>
        <v>0</v>
      </c>
      <c r="L1175" s="7">
        <v>0</v>
      </c>
      <c r="M1175" s="7" t="s">
        <v>2609</v>
      </c>
      <c r="N1175" s="7">
        <f>_xlfn.XLOOKUP(A1175,[1]SKU!$A:$A,[1]SKU!$Z:$Z)</f>
        <v>1150000</v>
      </c>
    </row>
    <row r="1176" spans="1:14">
      <c r="A1176" s="1" t="s">
        <v>1453</v>
      </c>
      <c r="B1176" s="2" t="s">
        <v>3</v>
      </c>
      <c r="C1176" s="2" t="s">
        <v>16</v>
      </c>
      <c r="D1176" s="2" t="s">
        <v>1454</v>
      </c>
      <c r="E1176" s="7" t="str">
        <f t="shared" si="129"/>
        <v>GOR</v>
      </c>
      <c r="F1176" s="7" t="str">
        <f t="shared" si="123"/>
        <v>MEN</v>
      </c>
      <c r="G1176" s="7" t="str">
        <f t="shared" si="124"/>
        <v>TSS</v>
      </c>
      <c r="H1176" s="7" t="str">
        <f t="shared" si="125"/>
        <v>ONE</v>
      </c>
      <c r="I1176" s="7" t="str">
        <f t="shared" si="126"/>
        <v>SMP</v>
      </c>
      <c r="J1176" s="7" t="str">
        <f t="shared" si="127"/>
        <v>BLK</v>
      </c>
      <c r="K1176" s="7" t="str">
        <f t="shared" si="128"/>
        <v>XL</v>
      </c>
      <c r="L1176" s="7" t="s">
        <v>2018</v>
      </c>
      <c r="M1176" s="7" t="s">
        <v>4462</v>
      </c>
      <c r="N1176" s="7">
        <f>_xlfn.XLOOKUP(A1176,[1]SKU!$A:$A,[1]SKU!$Z:$Z)</f>
        <v>790000</v>
      </c>
    </row>
    <row r="1177" spans="1:14">
      <c r="A1177" s="1" t="s">
        <v>5934</v>
      </c>
      <c r="B1177" s="2" t="s">
        <v>4472</v>
      </c>
      <c r="C1177" s="2" t="s">
        <v>721</v>
      </c>
      <c r="D1177" s="2" t="s">
        <v>5935</v>
      </c>
      <c r="E1177" s="7" t="str">
        <f t="shared" si="129"/>
        <v>MAZ</v>
      </c>
      <c r="F1177" s="7" t="str">
        <f t="shared" si="123"/>
        <v>UNI</v>
      </c>
      <c r="G1177" s="7" t="str">
        <f t="shared" si="124"/>
        <v>SOU</v>
      </c>
      <c r="H1177" s="7" t="str">
        <f t="shared" si="125"/>
        <v>GAM</v>
      </c>
      <c r="I1177" s="7" t="str">
        <f t="shared" si="126"/>
        <v>DOM</v>
      </c>
      <c r="J1177" s="7" t="str">
        <f t="shared" si="127"/>
        <v>WOE</v>
      </c>
      <c r="K1177" s="7" t="str">
        <f t="shared" si="128"/>
        <v>0</v>
      </c>
      <c r="L1177" s="7">
        <v>0</v>
      </c>
      <c r="M1177" s="7" t="s">
        <v>2609</v>
      </c>
      <c r="N1177" s="7">
        <f>_xlfn.XLOOKUP(A1177,[1]SKU!$A:$A,[1]SKU!$Z:$Z)</f>
        <v>1390000</v>
      </c>
    </row>
    <row r="1178" spans="1:14">
      <c r="A1178" s="1" t="s">
        <v>1455</v>
      </c>
      <c r="B1178" s="2" t="s">
        <v>3</v>
      </c>
      <c r="C1178" s="2" t="s">
        <v>167</v>
      </c>
      <c r="D1178" s="2" t="s">
        <v>1456</v>
      </c>
      <c r="E1178" s="7" t="str">
        <f t="shared" si="129"/>
        <v>GOR</v>
      </c>
      <c r="F1178" s="7" t="str">
        <f t="shared" si="123"/>
        <v>MEN</v>
      </c>
      <c r="G1178" s="7" t="str">
        <f t="shared" si="124"/>
        <v>TSS</v>
      </c>
      <c r="H1178" s="7" t="str">
        <f t="shared" si="125"/>
        <v>ONE</v>
      </c>
      <c r="I1178" s="7" t="str">
        <f t="shared" si="126"/>
        <v>TJM</v>
      </c>
      <c r="J1178" s="7" t="str">
        <f t="shared" si="127"/>
        <v>OLI</v>
      </c>
      <c r="K1178" s="7" t="str">
        <f t="shared" si="128"/>
        <v>XXL</v>
      </c>
      <c r="L1178" s="7" t="s">
        <v>2018</v>
      </c>
      <c r="M1178" s="7" t="s">
        <v>4462</v>
      </c>
      <c r="N1178" s="7">
        <f>_xlfn.XLOOKUP(A1178,[1]SKU!$A:$A,[1]SKU!$Z:$Z)</f>
        <v>790000</v>
      </c>
    </row>
    <row r="1179" spans="1:14">
      <c r="A1179" s="1" t="s">
        <v>1457</v>
      </c>
      <c r="B1179" s="2" t="s">
        <v>3</v>
      </c>
      <c r="C1179" s="2" t="s">
        <v>154</v>
      </c>
      <c r="D1179" s="2" t="s">
        <v>1458</v>
      </c>
      <c r="E1179" s="7" t="str">
        <f t="shared" si="129"/>
        <v>GCL</v>
      </c>
      <c r="F1179" s="7" t="str">
        <f t="shared" si="123"/>
        <v>WOM</v>
      </c>
      <c r="G1179" s="7" t="str">
        <f t="shared" si="124"/>
        <v>CRO</v>
      </c>
      <c r="H1179" s="7" t="str">
        <f t="shared" si="125"/>
        <v>ONE</v>
      </c>
      <c r="I1179" s="7" t="str">
        <f t="shared" si="126"/>
        <v>TNT</v>
      </c>
      <c r="J1179" s="7" t="str">
        <f t="shared" si="127"/>
        <v>WHI</v>
      </c>
      <c r="K1179" s="7" t="str">
        <f t="shared" si="128"/>
        <v>M</v>
      </c>
      <c r="L1179" s="7" t="s">
        <v>2453</v>
      </c>
      <c r="M1179" s="7" t="s">
        <v>4463</v>
      </c>
      <c r="N1179" s="7">
        <f>_xlfn.XLOOKUP(A1179,[1]SKU!$A:$A,[1]SKU!$Z:$Z)</f>
        <v>1190000</v>
      </c>
    </row>
    <row r="1180" spans="1:14">
      <c r="A1180" s="1" t="s">
        <v>1459</v>
      </c>
      <c r="B1180" s="2" t="s">
        <v>3</v>
      </c>
      <c r="C1180" s="2" t="s">
        <v>119</v>
      </c>
      <c r="D1180" s="2" t="s">
        <v>1460</v>
      </c>
      <c r="E1180" s="7" t="str">
        <f t="shared" si="129"/>
        <v>GBA</v>
      </c>
      <c r="F1180" s="7" t="str">
        <f t="shared" ref="F1180:F1243" si="130">_xlfn.TEXTBEFORE(_xlfn.TEXTAFTER(D1180,"-",2),"-")</f>
        <v>MEN</v>
      </c>
      <c r="G1180" s="7" t="str">
        <f t="shared" ref="G1180:G1243" si="131">_xlfn.TEXTBEFORE(_xlfn.TEXTAFTER(D1180,"-",3),"-")</f>
        <v>TSS</v>
      </c>
      <c r="H1180" s="7" t="str">
        <f t="shared" ref="H1180:H1243" si="132">_xlfn.TEXTBEFORE(_xlfn.TEXTAFTER(D1180,"-",4),"-")</f>
        <v>ONE</v>
      </c>
      <c r="I1180" s="7" t="str">
        <f t="shared" ref="I1180:I1243" si="133">_xlfn.TEXTBEFORE(_xlfn.TEXTAFTER(D1180,"-",5),"-")</f>
        <v>VNW</v>
      </c>
      <c r="J1180" s="7" t="str">
        <f t="shared" ref="J1180:J1243" si="134">_xlfn.TEXTBEFORE(_xlfn.TEXTAFTER(D1180,"-",6),"-")</f>
        <v>WHI</v>
      </c>
      <c r="K1180" s="7" t="str">
        <f t="shared" ref="K1180:K1243" si="135">_xlfn.TEXTAFTER(D1180,"-",7)</f>
        <v>XL</v>
      </c>
      <c r="L1180" s="7" t="s">
        <v>2018</v>
      </c>
      <c r="M1180" s="7" t="s">
        <v>4462</v>
      </c>
      <c r="N1180" s="7">
        <f>_xlfn.XLOOKUP(A1180,[1]SKU!$A:$A,[1]SKU!$Z:$Z)</f>
        <v>1590000</v>
      </c>
    </row>
    <row r="1181" spans="1:14">
      <c r="A1181" s="1" t="s">
        <v>1461</v>
      </c>
      <c r="B1181" s="2" t="s">
        <v>3</v>
      </c>
      <c r="C1181" s="2" t="s">
        <v>23</v>
      </c>
      <c r="D1181" s="2" t="s">
        <v>1462</v>
      </c>
      <c r="E1181" s="7" t="str">
        <f t="shared" si="129"/>
        <v>GBA</v>
      </c>
      <c r="F1181" s="7" t="str">
        <f t="shared" si="130"/>
        <v>MEN</v>
      </c>
      <c r="G1181" s="7" t="str">
        <f t="shared" si="131"/>
        <v>TSS</v>
      </c>
      <c r="H1181" s="7" t="str">
        <f t="shared" si="132"/>
        <v>ONE</v>
      </c>
      <c r="I1181" s="7" t="str">
        <f t="shared" si="133"/>
        <v>URB</v>
      </c>
      <c r="J1181" s="7" t="str">
        <f t="shared" si="134"/>
        <v>JBG</v>
      </c>
      <c r="K1181" s="7" t="str">
        <f t="shared" si="135"/>
        <v>XXL</v>
      </c>
      <c r="L1181" s="7" t="s">
        <v>2018</v>
      </c>
      <c r="M1181" s="7" t="s">
        <v>4462</v>
      </c>
      <c r="N1181" s="7">
        <f>_xlfn.XLOOKUP(A1181,[1]SKU!$A:$A,[1]SKU!$Z:$Z)</f>
        <v>710000</v>
      </c>
    </row>
    <row r="1182" spans="1:14">
      <c r="A1182" s="1" t="s">
        <v>5936</v>
      </c>
      <c r="B1182" s="2" t="s">
        <v>4472</v>
      </c>
      <c r="C1182" s="2" t="s">
        <v>4547</v>
      </c>
      <c r="D1182" s="2" t="s">
        <v>5937</v>
      </c>
      <c r="E1182" s="7" t="str">
        <f t="shared" si="129"/>
        <v>HAM</v>
      </c>
      <c r="F1182" s="7" t="str">
        <f t="shared" si="130"/>
        <v>UNI</v>
      </c>
      <c r="G1182" s="7" t="str">
        <f t="shared" si="131"/>
        <v>JEW</v>
      </c>
      <c r="H1182" s="7" t="str">
        <f t="shared" si="132"/>
        <v>NEC</v>
      </c>
      <c r="I1182" s="7" t="str">
        <f t="shared" si="133"/>
        <v>127</v>
      </c>
      <c r="J1182" s="7" t="str">
        <f t="shared" si="134"/>
        <v>MIX</v>
      </c>
      <c r="K1182" s="7" t="str">
        <f t="shared" si="135"/>
        <v>0</v>
      </c>
      <c r="L1182" s="7">
        <v>0</v>
      </c>
      <c r="M1182" s="7" t="s">
        <v>2609</v>
      </c>
      <c r="N1182" s="7">
        <f>_xlfn.XLOOKUP(A1182,[1]SKU!$A:$A,[1]SKU!$Z:$Z)</f>
        <v>2800000</v>
      </c>
    </row>
    <row r="1183" spans="1:14">
      <c r="A1183" s="1" t="s">
        <v>5938</v>
      </c>
      <c r="B1183" s="2" t="s">
        <v>4472</v>
      </c>
      <c r="C1183" s="2" t="s">
        <v>5939</v>
      </c>
      <c r="D1183" s="2" t="s">
        <v>5940</v>
      </c>
      <c r="E1183" s="7" t="str">
        <f t="shared" si="129"/>
        <v>LAN</v>
      </c>
      <c r="F1183" s="7" t="str">
        <f t="shared" si="130"/>
        <v>UNI</v>
      </c>
      <c r="G1183" s="7" t="str">
        <f t="shared" si="131"/>
        <v>HWR</v>
      </c>
      <c r="H1183" s="7" t="str">
        <f t="shared" si="132"/>
        <v>SC2</v>
      </c>
      <c r="I1183" s="7" t="str">
        <f t="shared" si="133"/>
        <v>SDT</v>
      </c>
      <c r="J1183" s="7" t="str">
        <f t="shared" si="134"/>
        <v>PIN</v>
      </c>
      <c r="K1183" s="7" t="str">
        <f t="shared" si="135"/>
        <v>6x130</v>
      </c>
      <c r="L1183" s="7">
        <v>0</v>
      </c>
      <c r="M1183" s="7" t="s">
        <v>2609</v>
      </c>
      <c r="N1183" s="7">
        <f>_xlfn.XLOOKUP(A1183,[1]SKU!$A:$A,[1]SKU!$Z:$Z)</f>
        <v>365000</v>
      </c>
    </row>
    <row r="1184" spans="1:14">
      <c r="A1184" s="1" t="s">
        <v>1463</v>
      </c>
      <c r="B1184" s="2" t="s">
        <v>19</v>
      </c>
      <c r="C1184" s="2" t="s">
        <v>23</v>
      </c>
      <c r="D1184" s="2" t="s">
        <v>1464</v>
      </c>
      <c r="E1184" s="7" t="str">
        <f t="shared" si="129"/>
        <v>OTH</v>
      </c>
      <c r="F1184" s="7" t="str">
        <f t="shared" si="130"/>
        <v>UNI</v>
      </c>
      <c r="G1184" s="7" t="str">
        <f t="shared" si="131"/>
        <v>HWR</v>
      </c>
      <c r="H1184" s="7" t="str">
        <f t="shared" si="132"/>
        <v>CAP</v>
      </c>
      <c r="I1184" s="7" t="str">
        <f t="shared" si="133"/>
        <v>URB</v>
      </c>
      <c r="J1184" s="7" t="str">
        <f t="shared" si="134"/>
        <v>WHI</v>
      </c>
      <c r="K1184" s="7" t="str">
        <f t="shared" si="135"/>
        <v>S</v>
      </c>
      <c r="L1184" s="7">
        <v>0</v>
      </c>
      <c r="M1184" s="7" t="s">
        <v>2609</v>
      </c>
      <c r="N1184" s="7">
        <f>_xlfn.XLOOKUP(A1184,[1]SKU!$A:$A,[1]SKU!$Z:$Z)</f>
        <v>350000</v>
      </c>
    </row>
    <row r="1185" spans="1:14">
      <c r="A1185" s="1" t="s">
        <v>5941</v>
      </c>
      <c r="B1185" s="2" t="s">
        <v>4472</v>
      </c>
      <c r="C1185" s="2" t="s">
        <v>172</v>
      </c>
      <c r="D1185" s="2" t="s">
        <v>5942</v>
      </c>
      <c r="E1185" s="7" t="str">
        <f t="shared" si="129"/>
        <v>DSP</v>
      </c>
      <c r="F1185" s="7" t="str">
        <f t="shared" si="130"/>
        <v>UNI</v>
      </c>
      <c r="G1185" s="7" t="str">
        <f t="shared" si="131"/>
        <v>FWR</v>
      </c>
      <c r="H1185" s="7" t="str">
        <f t="shared" si="132"/>
        <v>LES</v>
      </c>
      <c r="I1185" s="7" t="str">
        <f t="shared" si="133"/>
        <v>ALF</v>
      </c>
      <c r="J1185" s="7" t="str">
        <f t="shared" si="134"/>
        <v>BUR</v>
      </c>
      <c r="K1185" s="7" t="str">
        <f t="shared" si="135"/>
        <v>40</v>
      </c>
      <c r="L1185" s="7">
        <v>0</v>
      </c>
      <c r="M1185" s="7" t="s">
        <v>2609</v>
      </c>
      <c r="N1185" s="7">
        <f>_xlfn.XLOOKUP(A1185,[1]SKU!$A:$A,[1]SKU!$Z:$Z)</f>
        <v>7800000</v>
      </c>
    </row>
    <row r="1186" spans="1:14">
      <c r="A1186" s="1" t="s">
        <v>5943</v>
      </c>
      <c r="B1186" s="2" t="s">
        <v>4472</v>
      </c>
      <c r="C1186" s="2" t="s">
        <v>4876</v>
      </c>
      <c r="D1186" s="2" t="s">
        <v>5944</v>
      </c>
      <c r="E1186" s="7" t="str">
        <f t="shared" si="129"/>
        <v>HAM</v>
      </c>
      <c r="F1186" s="7" t="str">
        <f t="shared" si="130"/>
        <v>UNI</v>
      </c>
      <c r="G1186" s="7" t="str">
        <f t="shared" si="131"/>
        <v>JEW</v>
      </c>
      <c r="H1186" s="7" t="str">
        <f t="shared" si="132"/>
        <v>NEC</v>
      </c>
      <c r="I1186" s="7" t="str">
        <f t="shared" si="133"/>
        <v>D40</v>
      </c>
      <c r="J1186" s="7" t="str">
        <f t="shared" si="134"/>
        <v>MIX</v>
      </c>
      <c r="K1186" s="7" t="str">
        <f t="shared" si="135"/>
        <v>0</v>
      </c>
      <c r="L1186" s="7">
        <v>0</v>
      </c>
      <c r="M1186" s="7" t="s">
        <v>2609</v>
      </c>
      <c r="N1186" s="7">
        <f>_xlfn.XLOOKUP(A1186,[1]SKU!$A:$A,[1]SKU!$Z:$Z)</f>
        <v>1800000</v>
      </c>
    </row>
    <row r="1187" spans="1:14">
      <c r="A1187" s="1" t="s">
        <v>1466</v>
      </c>
      <c r="B1187" s="2" t="s">
        <v>3</v>
      </c>
      <c r="C1187" s="2" t="s">
        <v>268</v>
      </c>
      <c r="D1187" s="2" t="s">
        <v>1467</v>
      </c>
      <c r="E1187" s="7" t="str">
        <f t="shared" si="129"/>
        <v>GSL</v>
      </c>
      <c r="F1187" s="7" t="str">
        <f t="shared" si="130"/>
        <v>WOM</v>
      </c>
      <c r="G1187" s="7" t="str">
        <f t="shared" si="131"/>
        <v>FZE</v>
      </c>
      <c r="H1187" s="7" t="str">
        <f t="shared" si="132"/>
        <v>BNE</v>
      </c>
      <c r="I1187" s="7" t="str">
        <f t="shared" si="133"/>
        <v>SSY</v>
      </c>
      <c r="J1187" s="7" t="str">
        <f t="shared" si="134"/>
        <v>WHI</v>
      </c>
      <c r="K1187" s="7" t="str">
        <f t="shared" si="135"/>
        <v>XL</v>
      </c>
      <c r="L1187" s="7" t="s">
        <v>2131</v>
      </c>
      <c r="M1187" s="7" t="s">
        <v>2131</v>
      </c>
      <c r="N1187" s="7">
        <f>_xlfn.XLOOKUP(A1187,[1]SKU!$A:$A,[1]SKU!$Z:$Z)</f>
        <v>750000</v>
      </c>
    </row>
    <row r="1188" spans="1:14">
      <c r="A1188" s="1" t="s">
        <v>5945</v>
      </c>
      <c r="B1188" s="2" t="s">
        <v>4472</v>
      </c>
      <c r="C1188" s="2" t="s">
        <v>997</v>
      </c>
      <c r="D1188" s="2" t="s">
        <v>5946</v>
      </c>
      <c r="E1188" s="7" t="str">
        <f t="shared" si="129"/>
        <v>DSP</v>
      </c>
      <c r="F1188" s="7" t="str">
        <f t="shared" si="130"/>
        <v>UNI</v>
      </c>
      <c r="G1188" s="7" t="str">
        <f t="shared" si="131"/>
        <v>FWR</v>
      </c>
      <c r="H1188" s="7" t="str">
        <f t="shared" si="132"/>
        <v>HDB</v>
      </c>
      <c r="I1188" s="7" t="str">
        <f t="shared" si="133"/>
        <v>WEL</v>
      </c>
      <c r="J1188" s="7" t="str">
        <f t="shared" si="134"/>
        <v>SLI</v>
      </c>
      <c r="K1188" s="7" t="str">
        <f t="shared" si="135"/>
        <v>40</v>
      </c>
      <c r="L1188" s="7">
        <v>0</v>
      </c>
      <c r="M1188" s="7" t="s">
        <v>2609</v>
      </c>
      <c r="N1188" s="7">
        <f>_xlfn.XLOOKUP(A1188,[1]SKU!$A:$A,[1]SKU!$Z:$Z)</f>
        <v>6200000</v>
      </c>
    </row>
    <row r="1189" spans="1:14">
      <c r="A1189" s="1" t="s">
        <v>5947</v>
      </c>
      <c r="B1189" s="2" t="s">
        <v>4472</v>
      </c>
      <c r="C1189" s="2" t="s">
        <v>1468</v>
      </c>
      <c r="D1189" s="2" t="s">
        <v>5948</v>
      </c>
      <c r="E1189" s="7" t="str">
        <f t="shared" si="129"/>
        <v>TKC</v>
      </c>
      <c r="F1189" s="7" t="str">
        <f t="shared" si="130"/>
        <v>UNI</v>
      </c>
      <c r="G1189" s="7" t="str">
        <f t="shared" si="131"/>
        <v>FNB</v>
      </c>
      <c r="H1189" s="7" t="str">
        <f t="shared" si="132"/>
        <v>CFD</v>
      </c>
      <c r="I1189" s="7" t="str">
        <f t="shared" si="133"/>
        <v>ARA</v>
      </c>
      <c r="J1189" s="7" t="str">
        <f t="shared" si="134"/>
        <v>NON</v>
      </c>
      <c r="K1189" s="7" t="str">
        <f t="shared" si="135"/>
        <v>250g</v>
      </c>
      <c r="L1189" s="7">
        <v>0</v>
      </c>
      <c r="M1189" s="7" t="s">
        <v>2609</v>
      </c>
      <c r="N1189" s="7">
        <f>_xlfn.XLOOKUP(A1189,[1]SKU!$A:$A,[1]SKU!$Z:$Z)</f>
        <v>109000</v>
      </c>
    </row>
    <row r="1190" spans="1:14">
      <c r="A1190" s="1" t="s">
        <v>1469</v>
      </c>
      <c r="B1190" s="2" t="s">
        <v>3</v>
      </c>
      <c r="C1190" s="2" t="s">
        <v>330</v>
      </c>
      <c r="D1190" s="2" t="s">
        <v>1470</v>
      </c>
      <c r="E1190" s="7" t="str">
        <f t="shared" si="129"/>
        <v>GFN</v>
      </c>
      <c r="F1190" s="7" t="str">
        <f t="shared" si="130"/>
        <v>KID</v>
      </c>
      <c r="G1190" s="7" t="str">
        <f t="shared" si="131"/>
        <v>SHS</v>
      </c>
      <c r="H1190" s="7" t="str">
        <f t="shared" si="132"/>
        <v>EBT</v>
      </c>
      <c r="I1190" s="7" t="str">
        <f t="shared" si="133"/>
        <v>GSP</v>
      </c>
      <c r="J1190" s="7" t="str">
        <f t="shared" si="134"/>
        <v>BLK</v>
      </c>
      <c r="K1190" s="7" t="str">
        <f t="shared" si="135"/>
        <v>10</v>
      </c>
      <c r="L1190" s="7" t="s">
        <v>2752</v>
      </c>
      <c r="M1190" s="7" t="s">
        <v>4463</v>
      </c>
      <c r="N1190" s="7">
        <f>_xlfn.XLOOKUP(A1190,[1]SKU!$A:$A,[1]SKU!$Z:$Z)</f>
        <v>690000</v>
      </c>
    </row>
    <row r="1191" spans="1:14">
      <c r="A1191" s="1" t="s">
        <v>5949</v>
      </c>
      <c r="B1191" s="2" t="s">
        <v>4472</v>
      </c>
      <c r="C1191" s="2" t="s">
        <v>1063</v>
      </c>
      <c r="D1191" s="2" t="s">
        <v>5950</v>
      </c>
      <c r="E1191" s="7" t="str">
        <f t="shared" si="129"/>
        <v>DSP</v>
      </c>
      <c r="F1191" s="7" t="str">
        <f t="shared" si="130"/>
        <v>UNI</v>
      </c>
      <c r="G1191" s="7" t="str">
        <f t="shared" si="131"/>
        <v>HDR</v>
      </c>
      <c r="H1191" s="7" t="str">
        <f t="shared" si="132"/>
        <v>TRA</v>
      </c>
      <c r="I1191" s="7" t="str">
        <f t="shared" si="133"/>
        <v>ST1</v>
      </c>
      <c r="J1191" s="7" t="str">
        <f t="shared" si="134"/>
        <v>DRE</v>
      </c>
      <c r="K1191" s="7" t="str">
        <f t="shared" si="135"/>
        <v>0</v>
      </c>
      <c r="L1191" s="7">
        <v>0</v>
      </c>
      <c r="M1191" s="7" t="s">
        <v>2609</v>
      </c>
      <c r="N1191" s="7">
        <f>_xlfn.XLOOKUP(A1191,[1]SKU!$A:$A,[1]SKU!$Z:$Z)</f>
        <v>2350000</v>
      </c>
    </row>
    <row r="1192" spans="1:14">
      <c r="A1192" s="1" t="s">
        <v>1471</v>
      </c>
      <c r="B1192" s="2" t="s">
        <v>3</v>
      </c>
      <c r="C1192" s="2" t="s">
        <v>787</v>
      </c>
      <c r="D1192" s="2" t="s">
        <v>1472</v>
      </c>
      <c r="E1192" s="7" t="str">
        <f t="shared" si="129"/>
        <v>GOR</v>
      </c>
      <c r="F1192" s="7" t="str">
        <f t="shared" si="130"/>
        <v>MEN</v>
      </c>
      <c r="G1192" s="7" t="str">
        <f t="shared" si="131"/>
        <v>TSS</v>
      </c>
      <c r="H1192" s="7" t="str">
        <f t="shared" si="132"/>
        <v>ONE</v>
      </c>
      <c r="I1192" s="7" t="str">
        <f t="shared" si="133"/>
        <v>LLY</v>
      </c>
      <c r="J1192" s="7" t="str">
        <f t="shared" si="134"/>
        <v>BOR</v>
      </c>
      <c r="K1192" s="7" t="str">
        <f t="shared" si="135"/>
        <v>XXL</v>
      </c>
      <c r="L1192" s="7" t="s">
        <v>2018</v>
      </c>
      <c r="M1192" s="7" t="s">
        <v>4462</v>
      </c>
      <c r="N1192" s="7">
        <f>_xlfn.XLOOKUP(A1192,[1]SKU!$A:$A,[1]SKU!$Z:$Z)</f>
        <v>990000</v>
      </c>
    </row>
    <row r="1193" spans="1:14">
      <c r="A1193" s="1" t="s">
        <v>5951</v>
      </c>
      <c r="B1193" s="2" t="s">
        <v>4472</v>
      </c>
      <c r="C1193" s="2" t="s">
        <v>5952</v>
      </c>
      <c r="D1193" s="2" t="s">
        <v>5953</v>
      </c>
      <c r="E1193" s="7" t="str">
        <f t="shared" si="129"/>
        <v>HAM</v>
      </c>
      <c r="F1193" s="7" t="str">
        <f t="shared" si="130"/>
        <v>UNI</v>
      </c>
      <c r="G1193" s="7" t="str">
        <f t="shared" si="131"/>
        <v>JEW</v>
      </c>
      <c r="H1193" s="7" t="str">
        <f t="shared" si="132"/>
        <v>NEC</v>
      </c>
      <c r="I1193" s="7" t="str">
        <f t="shared" si="133"/>
        <v>079</v>
      </c>
      <c r="J1193" s="7" t="str">
        <f t="shared" si="134"/>
        <v>MIX</v>
      </c>
      <c r="K1193" s="7" t="str">
        <f t="shared" si="135"/>
        <v>0</v>
      </c>
      <c r="L1193" s="7">
        <v>0</v>
      </c>
      <c r="M1193" s="7" t="s">
        <v>2609</v>
      </c>
      <c r="N1193" s="7">
        <f>_xlfn.XLOOKUP(A1193,[1]SKU!$A:$A,[1]SKU!$Z:$Z)</f>
        <v>4200000</v>
      </c>
    </row>
    <row r="1194" spans="1:14">
      <c r="A1194" s="1" t="s">
        <v>5954</v>
      </c>
      <c r="B1194" s="2" t="s">
        <v>4481</v>
      </c>
      <c r="C1194" s="2" t="s">
        <v>1474</v>
      </c>
      <c r="D1194" s="2" t="s">
        <v>5955</v>
      </c>
      <c r="E1194" s="7" t="str">
        <f t="shared" si="129"/>
        <v>PAS</v>
      </c>
      <c r="F1194" s="7" t="str">
        <f t="shared" si="130"/>
        <v>UNI</v>
      </c>
      <c r="G1194" s="7" t="str">
        <f t="shared" si="131"/>
        <v>ART</v>
      </c>
      <c r="H1194" s="7" t="str">
        <f t="shared" si="132"/>
        <v>ART</v>
      </c>
      <c r="I1194" s="7" t="str">
        <f t="shared" si="133"/>
        <v>HAQ</v>
      </c>
      <c r="J1194" s="7" t="str">
        <f t="shared" si="134"/>
        <v>MIX</v>
      </c>
      <c r="K1194" s="7" t="str">
        <f t="shared" si="135"/>
        <v>A4</v>
      </c>
      <c r="L1194" s="7">
        <v>0</v>
      </c>
      <c r="M1194" s="7" t="s">
        <v>2609</v>
      </c>
      <c r="N1194" s="7">
        <f>_xlfn.XLOOKUP(A1194,[1]SKU!$A:$A,[1]SKU!$Z:$Z)</f>
        <v>2500000</v>
      </c>
    </row>
    <row r="1195" spans="1:14">
      <c r="A1195" s="1" t="s">
        <v>1475</v>
      </c>
      <c r="B1195" s="2" t="s">
        <v>3</v>
      </c>
      <c r="C1195" s="2" t="s">
        <v>23</v>
      </c>
      <c r="D1195" s="2" t="s">
        <v>1476</v>
      </c>
      <c r="E1195" s="7" t="str">
        <f t="shared" si="129"/>
        <v>GSL</v>
      </c>
      <c r="F1195" s="7" t="str">
        <f t="shared" si="130"/>
        <v>MEN</v>
      </c>
      <c r="G1195" s="7" t="str">
        <f t="shared" si="131"/>
        <v>TTS</v>
      </c>
      <c r="H1195" s="7" t="str">
        <f t="shared" si="132"/>
        <v>ONE</v>
      </c>
      <c r="I1195" s="7" t="str">
        <f t="shared" si="133"/>
        <v>URB</v>
      </c>
      <c r="J1195" s="7" t="str">
        <f t="shared" si="134"/>
        <v>WHI</v>
      </c>
      <c r="K1195" s="7" t="str">
        <f t="shared" si="135"/>
        <v>M</v>
      </c>
      <c r="L1195" s="7" t="s">
        <v>2310</v>
      </c>
      <c r="M1195" s="7" t="s">
        <v>4469</v>
      </c>
      <c r="N1195" s="7">
        <f>_xlfn.XLOOKUP(A1195,[1]SKU!$A:$A,[1]SKU!$Z:$Z)</f>
        <v>750000</v>
      </c>
    </row>
    <row r="1196" spans="1:14">
      <c r="A1196" s="1" t="s">
        <v>1477</v>
      </c>
      <c r="B1196" s="2" t="s">
        <v>3</v>
      </c>
      <c r="C1196" s="2" t="s">
        <v>1189</v>
      </c>
      <c r="D1196" s="2" t="s">
        <v>1478</v>
      </c>
      <c r="E1196" s="7" t="str">
        <f t="shared" si="129"/>
        <v>GBA</v>
      </c>
      <c r="F1196" s="7" t="str">
        <f t="shared" si="130"/>
        <v>MEN</v>
      </c>
      <c r="G1196" s="7" t="str">
        <f t="shared" si="131"/>
        <v>TSS</v>
      </c>
      <c r="H1196" s="7" t="str">
        <f t="shared" si="132"/>
        <v>ONE</v>
      </c>
      <c r="I1196" s="7" t="str">
        <f t="shared" si="133"/>
        <v>NBP</v>
      </c>
      <c r="J1196" s="7" t="str">
        <f t="shared" si="134"/>
        <v>WHI</v>
      </c>
      <c r="K1196" s="7" t="str">
        <f t="shared" si="135"/>
        <v>M</v>
      </c>
      <c r="L1196" s="7" t="s">
        <v>2018</v>
      </c>
      <c r="M1196" s="7" t="s">
        <v>4462</v>
      </c>
      <c r="N1196" s="7">
        <f>_xlfn.XLOOKUP(A1196,[1]SKU!$A:$A,[1]SKU!$Z:$Z)</f>
        <v>1650000</v>
      </c>
    </row>
    <row r="1197" spans="1:14">
      <c r="A1197" s="1" t="s">
        <v>5956</v>
      </c>
      <c r="B1197" s="2" t="s">
        <v>4472</v>
      </c>
      <c r="C1197" s="2" t="s">
        <v>1479</v>
      </c>
      <c r="D1197" s="2" t="s">
        <v>5957</v>
      </c>
      <c r="E1197" s="7" t="str">
        <f t="shared" si="129"/>
        <v>DSP</v>
      </c>
      <c r="F1197" s="7" t="str">
        <f t="shared" si="130"/>
        <v>UNI</v>
      </c>
      <c r="G1197" s="7" t="str">
        <f t="shared" si="131"/>
        <v>BAG</v>
      </c>
      <c r="H1197" s="7" t="str">
        <f t="shared" si="132"/>
        <v>BEL</v>
      </c>
      <c r="I1197" s="7" t="str">
        <f t="shared" si="133"/>
        <v>GAU</v>
      </c>
      <c r="J1197" s="7" t="str">
        <f t="shared" si="134"/>
        <v>CHE</v>
      </c>
      <c r="K1197" s="7" t="str">
        <f t="shared" si="135"/>
        <v>0</v>
      </c>
      <c r="L1197" s="7">
        <v>0</v>
      </c>
      <c r="M1197" s="7" t="s">
        <v>2609</v>
      </c>
      <c r="N1197" s="7">
        <f>_xlfn.XLOOKUP(A1197,[1]SKU!$A:$A,[1]SKU!$Z:$Z)</f>
        <v>4700000</v>
      </c>
    </row>
    <row r="1198" spans="1:14">
      <c r="A1198" s="1" t="s">
        <v>1480</v>
      </c>
      <c r="B1198" s="2" t="s">
        <v>3</v>
      </c>
      <c r="C1198" s="2" t="s">
        <v>81</v>
      </c>
      <c r="D1198" s="2" t="s">
        <v>1481</v>
      </c>
      <c r="E1198" s="7" t="str">
        <f t="shared" si="129"/>
        <v>GSU</v>
      </c>
      <c r="F1198" s="7" t="str">
        <f t="shared" si="130"/>
        <v>MEN</v>
      </c>
      <c r="G1198" s="7" t="str">
        <f t="shared" si="131"/>
        <v>POL</v>
      </c>
      <c r="H1198" s="7" t="str">
        <f t="shared" si="132"/>
        <v>MAN</v>
      </c>
      <c r="I1198" s="7" t="str">
        <f t="shared" si="133"/>
        <v>JUN</v>
      </c>
      <c r="J1198" s="7" t="str">
        <f t="shared" si="134"/>
        <v>WHI</v>
      </c>
      <c r="K1198" s="7" t="str">
        <f t="shared" si="135"/>
        <v>L</v>
      </c>
      <c r="L1198" s="7" t="s">
        <v>1995</v>
      </c>
      <c r="M1198" s="7" t="s">
        <v>4468</v>
      </c>
      <c r="N1198" s="7">
        <f>_xlfn.XLOOKUP(A1198,[1]SKU!$A:$A,[1]SKU!$Z:$Z)</f>
        <v>1190000</v>
      </c>
    </row>
    <row r="1199" spans="1:14">
      <c r="A1199" s="1" t="s">
        <v>5958</v>
      </c>
      <c r="B1199" s="2" t="s">
        <v>4472</v>
      </c>
      <c r="C1199" s="2" t="s">
        <v>1482</v>
      </c>
      <c r="D1199" s="2" t="s">
        <v>5959</v>
      </c>
      <c r="E1199" s="7" t="str">
        <f t="shared" si="129"/>
        <v>MAZ</v>
      </c>
      <c r="F1199" s="7" t="str">
        <f t="shared" si="130"/>
        <v>UNI</v>
      </c>
      <c r="G1199" s="7" t="str">
        <f t="shared" si="131"/>
        <v>SOU</v>
      </c>
      <c r="H1199" s="7" t="str">
        <f t="shared" si="132"/>
        <v>GAM</v>
      </c>
      <c r="I1199" s="7" t="str">
        <f t="shared" si="133"/>
        <v>TRO</v>
      </c>
      <c r="J1199" s="7" t="str">
        <f t="shared" si="134"/>
        <v>WOE</v>
      </c>
      <c r="K1199" s="7" t="str">
        <f t="shared" si="135"/>
        <v>0</v>
      </c>
      <c r="L1199" s="7">
        <v>0</v>
      </c>
      <c r="M1199" s="7" t="s">
        <v>2609</v>
      </c>
      <c r="N1199" s="7">
        <f>_xlfn.XLOOKUP(A1199,[1]SKU!$A:$A,[1]SKU!$Z:$Z)</f>
        <v>4490000</v>
      </c>
    </row>
    <row r="1200" spans="1:14">
      <c r="A1200" s="1" t="s">
        <v>1483</v>
      </c>
      <c r="B1200" s="2" t="s">
        <v>3</v>
      </c>
      <c r="C1200" s="2" t="s">
        <v>517</v>
      </c>
      <c r="D1200" s="2" t="s">
        <v>1484</v>
      </c>
      <c r="E1200" s="7" t="str">
        <f t="shared" si="129"/>
        <v>GSU</v>
      </c>
      <c r="F1200" s="7" t="str">
        <f t="shared" si="130"/>
        <v>MEN</v>
      </c>
      <c r="G1200" s="7" t="str">
        <f t="shared" si="131"/>
        <v>TSS</v>
      </c>
      <c r="H1200" s="7" t="str">
        <f t="shared" si="132"/>
        <v>ONE</v>
      </c>
      <c r="I1200" s="7" t="str">
        <f t="shared" si="133"/>
        <v>BBP</v>
      </c>
      <c r="J1200" s="7" t="str">
        <f t="shared" si="134"/>
        <v>VIO</v>
      </c>
      <c r="K1200" s="7" t="str">
        <f t="shared" si="135"/>
        <v>M</v>
      </c>
      <c r="L1200" s="7" t="s">
        <v>2018</v>
      </c>
      <c r="M1200" s="7" t="s">
        <v>4462</v>
      </c>
      <c r="N1200" s="7">
        <f>_xlfn.XLOOKUP(A1200,[1]SKU!$A:$A,[1]SKU!$Z:$Z)</f>
        <v>1090000</v>
      </c>
    </row>
    <row r="1201" spans="1:14">
      <c r="A1201" s="1" t="s">
        <v>5960</v>
      </c>
      <c r="B1201" s="2" t="s">
        <v>4472</v>
      </c>
      <c r="C1201" s="2" t="s">
        <v>5961</v>
      </c>
      <c r="D1201" s="2" t="s">
        <v>5962</v>
      </c>
      <c r="E1201" s="7" t="str">
        <f t="shared" si="129"/>
        <v>EDE</v>
      </c>
      <c r="F1201" s="7" t="str">
        <f t="shared" si="130"/>
        <v>UNI</v>
      </c>
      <c r="G1201" s="7" t="str">
        <f t="shared" si="131"/>
        <v>BAG</v>
      </c>
      <c r="H1201" s="7" t="str">
        <f t="shared" si="132"/>
        <v>TTB</v>
      </c>
      <c r="I1201" s="7" t="str">
        <f t="shared" si="133"/>
        <v>HO1</v>
      </c>
      <c r="J1201" s="7" t="str">
        <f t="shared" si="134"/>
        <v>PIN</v>
      </c>
      <c r="K1201" s="7" t="str">
        <f t="shared" si="135"/>
        <v>0</v>
      </c>
      <c r="L1201" s="7">
        <v>0</v>
      </c>
      <c r="M1201" s="7" t="s">
        <v>2609</v>
      </c>
      <c r="N1201" s="7">
        <f>_xlfn.XLOOKUP(A1201,[1]SKU!$A:$A,[1]SKU!$Z:$Z)</f>
        <v>470000</v>
      </c>
    </row>
    <row r="1202" spans="1:14">
      <c r="A1202" s="1" t="s">
        <v>5963</v>
      </c>
      <c r="B1202" s="2" t="s">
        <v>4472</v>
      </c>
      <c r="C1202" s="2" t="s">
        <v>5964</v>
      </c>
      <c r="D1202" s="2" t="s">
        <v>5965</v>
      </c>
      <c r="E1202" s="7" t="str">
        <f t="shared" si="129"/>
        <v>BLS</v>
      </c>
      <c r="F1202" s="7" t="str">
        <f t="shared" si="130"/>
        <v>UNI</v>
      </c>
      <c r="G1202" s="7" t="str">
        <f t="shared" si="131"/>
        <v>FNB</v>
      </c>
      <c r="H1202" s="7" t="str">
        <f t="shared" si="132"/>
        <v>SAL</v>
      </c>
      <c r="I1202" s="7" t="str">
        <f t="shared" si="133"/>
        <v>015</v>
      </c>
      <c r="J1202" s="7" t="str">
        <f t="shared" si="134"/>
        <v>MIX</v>
      </c>
      <c r="K1202" s="7" t="str">
        <f t="shared" si="135"/>
        <v>55g</v>
      </c>
      <c r="L1202" s="7">
        <v>0</v>
      </c>
      <c r="M1202" s="7" t="s">
        <v>2609</v>
      </c>
      <c r="N1202" s="7">
        <f>_xlfn.XLOOKUP(A1202,[1]SKU!$A:$A,[1]SKU!$Z:$Z)</f>
        <v>215000</v>
      </c>
    </row>
    <row r="1203" spans="1:14">
      <c r="A1203" s="1" t="s">
        <v>5966</v>
      </c>
      <c r="B1203" s="2" t="s">
        <v>4472</v>
      </c>
      <c r="C1203" s="2" t="s">
        <v>5467</v>
      </c>
      <c r="D1203" s="2" t="s">
        <v>5967</v>
      </c>
      <c r="E1203" s="7" t="str">
        <f t="shared" si="129"/>
        <v>NGO</v>
      </c>
      <c r="F1203" s="7" t="str">
        <f t="shared" si="130"/>
        <v>UNI</v>
      </c>
      <c r="G1203" s="7" t="str">
        <f t="shared" si="131"/>
        <v>FWR</v>
      </c>
      <c r="H1203" s="7" t="str">
        <f t="shared" si="132"/>
        <v>SNE</v>
      </c>
      <c r="I1203" s="7" t="str">
        <f t="shared" si="133"/>
        <v>MCS</v>
      </c>
      <c r="J1203" s="7" t="str">
        <f t="shared" si="134"/>
        <v>BSR</v>
      </c>
      <c r="K1203" s="7" t="str">
        <f t="shared" si="135"/>
        <v>37</v>
      </c>
      <c r="L1203" s="7">
        <v>0</v>
      </c>
      <c r="M1203" s="7" t="s">
        <v>2609</v>
      </c>
      <c r="N1203" s="7">
        <f>_xlfn.XLOOKUP(A1203,[1]SKU!$A:$A,[1]SKU!$Z:$Z)</f>
        <v>2650000</v>
      </c>
    </row>
    <row r="1204" spans="1:14">
      <c r="A1204" s="1" t="s">
        <v>1485</v>
      </c>
      <c r="B1204" s="2" t="s">
        <v>3</v>
      </c>
      <c r="C1204" s="2" t="s">
        <v>229</v>
      </c>
      <c r="D1204" s="2" t="s">
        <v>1486</v>
      </c>
      <c r="E1204" s="7" t="str">
        <f t="shared" si="129"/>
        <v>GSU</v>
      </c>
      <c r="F1204" s="7" t="str">
        <f t="shared" si="130"/>
        <v>MEN</v>
      </c>
      <c r="G1204" s="7" t="str">
        <f t="shared" si="131"/>
        <v>POL</v>
      </c>
      <c r="H1204" s="7" t="str">
        <f t="shared" si="132"/>
        <v>MAN</v>
      </c>
      <c r="I1204" s="7" t="str">
        <f t="shared" si="133"/>
        <v>RFT</v>
      </c>
      <c r="J1204" s="7" t="str">
        <f t="shared" si="134"/>
        <v>VIO</v>
      </c>
      <c r="K1204" s="7" t="str">
        <f t="shared" si="135"/>
        <v>L</v>
      </c>
      <c r="L1204" s="7" t="s">
        <v>1995</v>
      </c>
      <c r="M1204" s="7" t="s">
        <v>4468</v>
      </c>
      <c r="N1204" s="7">
        <f>_xlfn.XLOOKUP(A1204,[1]SKU!$A:$A,[1]SKU!$Z:$Z)</f>
        <v>1190000</v>
      </c>
    </row>
    <row r="1205" spans="1:14">
      <c r="A1205" s="1" t="s">
        <v>5968</v>
      </c>
      <c r="B1205" s="2" t="s">
        <v>4472</v>
      </c>
      <c r="C1205" s="2" t="s">
        <v>1000</v>
      </c>
      <c r="D1205" s="2" t="s">
        <v>5969</v>
      </c>
      <c r="E1205" s="7" t="str">
        <f t="shared" si="129"/>
        <v>DSP</v>
      </c>
      <c r="F1205" s="7" t="str">
        <f t="shared" si="130"/>
        <v>UNI</v>
      </c>
      <c r="G1205" s="7" t="str">
        <f t="shared" si="131"/>
        <v>BAG</v>
      </c>
      <c r="H1205" s="7" t="str">
        <f t="shared" si="132"/>
        <v>CCR</v>
      </c>
      <c r="I1205" s="7" t="str">
        <f t="shared" si="133"/>
        <v>AIP</v>
      </c>
      <c r="J1205" s="7" t="str">
        <f t="shared" si="134"/>
        <v>BLK</v>
      </c>
      <c r="K1205" s="7" t="str">
        <f t="shared" si="135"/>
        <v>0</v>
      </c>
      <c r="L1205" s="7">
        <v>0</v>
      </c>
      <c r="M1205" s="7" t="s">
        <v>2609</v>
      </c>
      <c r="N1205" s="7">
        <f>_xlfn.XLOOKUP(A1205,[1]SKU!$A:$A,[1]SKU!$Z:$Z)</f>
        <v>3050000</v>
      </c>
    </row>
    <row r="1206" spans="1:14">
      <c r="A1206" s="1" t="s">
        <v>1487</v>
      </c>
      <c r="B1206" s="2" t="s">
        <v>3</v>
      </c>
      <c r="C1206" s="2" t="s">
        <v>517</v>
      </c>
      <c r="D1206" s="2" t="s">
        <v>1488</v>
      </c>
      <c r="E1206" s="7" t="str">
        <f t="shared" si="129"/>
        <v>GSP</v>
      </c>
      <c r="F1206" s="7" t="str">
        <f t="shared" si="130"/>
        <v>MEN</v>
      </c>
      <c r="G1206" s="7" t="str">
        <f t="shared" si="131"/>
        <v>TSS</v>
      </c>
      <c r="H1206" s="7" t="str">
        <f t="shared" si="132"/>
        <v>ONE</v>
      </c>
      <c r="I1206" s="7" t="str">
        <f t="shared" si="133"/>
        <v>BBP</v>
      </c>
      <c r="J1206" s="7" t="str">
        <f t="shared" si="134"/>
        <v>VIO</v>
      </c>
      <c r="K1206" s="7" t="str">
        <f t="shared" si="135"/>
        <v>M</v>
      </c>
      <c r="L1206" s="7" t="s">
        <v>2018</v>
      </c>
      <c r="M1206" s="7" t="s">
        <v>4462</v>
      </c>
      <c r="N1206" s="7">
        <f>_xlfn.XLOOKUP(A1206,[1]SKU!$A:$A,[1]SKU!$Z:$Z)</f>
        <v>990000</v>
      </c>
    </row>
    <row r="1207" spans="1:14">
      <c r="A1207" s="1" t="s">
        <v>1489</v>
      </c>
      <c r="B1207" s="2" t="s">
        <v>3</v>
      </c>
      <c r="C1207" s="2" t="s">
        <v>268</v>
      </c>
      <c r="D1207" s="2" t="s">
        <v>1490</v>
      </c>
      <c r="E1207" s="7" t="str">
        <f t="shared" si="129"/>
        <v>GBA</v>
      </c>
      <c r="F1207" s="7" t="str">
        <f t="shared" si="130"/>
        <v>MEN</v>
      </c>
      <c r="G1207" s="7" t="str">
        <f t="shared" si="131"/>
        <v>TSS</v>
      </c>
      <c r="H1207" s="7" t="str">
        <f t="shared" si="132"/>
        <v>ONE</v>
      </c>
      <c r="I1207" s="7" t="str">
        <f t="shared" si="133"/>
        <v>SSY</v>
      </c>
      <c r="J1207" s="7" t="str">
        <f t="shared" si="134"/>
        <v>GRE</v>
      </c>
      <c r="K1207" s="7" t="str">
        <f t="shared" si="135"/>
        <v>XL</v>
      </c>
      <c r="L1207" s="7" t="s">
        <v>2018</v>
      </c>
      <c r="M1207" s="7" t="s">
        <v>4462</v>
      </c>
      <c r="N1207" s="7">
        <f>_xlfn.XLOOKUP(A1207,[1]SKU!$A:$A,[1]SKU!$Z:$Z)</f>
        <v>710000</v>
      </c>
    </row>
    <row r="1208" spans="1:14">
      <c r="A1208" s="1" t="s">
        <v>5970</v>
      </c>
      <c r="B1208" s="2" t="s">
        <v>4481</v>
      </c>
      <c r="C1208" s="2" t="s">
        <v>1491</v>
      </c>
      <c r="D1208" s="2" t="s">
        <v>5971</v>
      </c>
      <c r="E1208" s="7" t="str">
        <f t="shared" si="129"/>
        <v>PAS</v>
      </c>
      <c r="F1208" s="7" t="str">
        <f t="shared" si="130"/>
        <v>UNI</v>
      </c>
      <c r="G1208" s="7" t="str">
        <f t="shared" si="131"/>
        <v>ART</v>
      </c>
      <c r="H1208" s="7" t="str">
        <f t="shared" si="132"/>
        <v>ART</v>
      </c>
      <c r="I1208" s="7" t="str">
        <f t="shared" si="133"/>
        <v>GRY</v>
      </c>
      <c r="J1208" s="7" t="str">
        <f t="shared" si="134"/>
        <v>MIX</v>
      </c>
      <c r="K1208" s="7" t="str">
        <f t="shared" si="135"/>
        <v>A5</v>
      </c>
      <c r="L1208" s="7">
        <v>0</v>
      </c>
      <c r="M1208" s="7" t="s">
        <v>2609</v>
      </c>
      <c r="N1208" s="7">
        <f>_xlfn.XLOOKUP(A1208,[1]SKU!$A:$A,[1]SKU!$Z:$Z)</f>
        <v>1800000</v>
      </c>
    </row>
    <row r="1209" spans="1:14">
      <c r="A1209" s="1" t="s">
        <v>5972</v>
      </c>
      <c r="B1209" s="2" t="s">
        <v>4472</v>
      </c>
      <c r="C1209" s="2" t="s">
        <v>5973</v>
      </c>
      <c r="D1209" s="2" t="s">
        <v>5974</v>
      </c>
      <c r="E1209" s="7" t="str">
        <f t="shared" si="129"/>
        <v>TOH</v>
      </c>
      <c r="F1209" s="7" t="str">
        <f t="shared" si="130"/>
        <v>UNI</v>
      </c>
      <c r="G1209" s="7" t="str">
        <f t="shared" si="131"/>
        <v>ACC</v>
      </c>
      <c r="H1209" s="7" t="str">
        <f t="shared" si="132"/>
        <v>WAL</v>
      </c>
      <c r="I1209" s="7" t="str">
        <f t="shared" si="133"/>
        <v>APO</v>
      </c>
      <c r="J1209" s="7" t="str">
        <f t="shared" si="134"/>
        <v>MIX</v>
      </c>
      <c r="K1209" s="7" t="str">
        <f t="shared" si="135"/>
        <v>0</v>
      </c>
      <c r="L1209" s="7">
        <v>0</v>
      </c>
      <c r="M1209" s="7" t="s">
        <v>2609</v>
      </c>
      <c r="N1209" s="7">
        <f>_xlfn.XLOOKUP(A1209,[1]SKU!$A:$A,[1]SKU!$Z:$Z)</f>
        <v>210000</v>
      </c>
    </row>
    <row r="1210" spans="1:14">
      <c r="A1210" s="1" t="s">
        <v>1492</v>
      </c>
      <c r="B1210" s="2" t="s">
        <v>3</v>
      </c>
      <c r="C1210" s="2" t="s">
        <v>33</v>
      </c>
      <c r="D1210" s="2" t="s">
        <v>1493</v>
      </c>
      <c r="E1210" s="7" t="str">
        <f t="shared" si="129"/>
        <v>GBA</v>
      </c>
      <c r="F1210" s="7" t="str">
        <f t="shared" si="130"/>
        <v>MEN</v>
      </c>
      <c r="G1210" s="7" t="str">
        <f t="shared" si="131"/>
        <v>TSS</v>
      </c>
      <c r="H1210" s="7" t="str">
        <f t="shared" si="132"/>
        <v>ONE</v>
      </c>
      <c r="I1210" s="7" t="str">
        <f t="shared" si="133"/>
        <v>VTM</v>
      </c>
      <c r="J1210" s="7" t="str">
        <f t="shared" si="134"/>
        <v>GRE</v>
      </c>
      <c r="K1210" s="7" t="str">
        <f t="shared" si="135"/>
        <v>L</v>
      </c>
      <c r="L1210" s="7" t="s">
        <v>2018</v>
      </c>
      <c r="M1210" s="7" t="s">
        <v>4462</v>
      </c>
      <c r="N1210" s="7">
        <f>_xlfn.XLOOKUP(A1210,[1]SKU!$A:$A,[1]SKU!$Z:$Z)</f>
        <v>710000</v>
      </c>
    </row>
    <row r="1211" spans="1:14">
      <c r="A1211" s="1" t="s">
        <v>1494</v>
      </c>
      <c r="B1211" s="2" t="s">
        <v>3</v>
      </c>
      <c r="C1211" s="2" t="s">
        <v>1228</v>
      </c>
      <c r="D1211" s="2" t="s">
        <v>1495</v>
      </c>
      <c r="E1211" s="7" t="str">
        <f t="shared" si="129"/>
        <v>GCL</v>
      </c>
      <c r="F1211" s="7" t="str">
        <f t="shared" si="130"/>
        <v>WOM</v>
      </c>
      <c r="G1211" s="7" t="str">
        <f t="shared" si="131"/>
        <v>CRO</v>
      </c>
      <c r="H1211" s="7" t="str">
        <f t="shared" si="132"/>
        <v>ONE</v>
      </c>
      <c r="I1211" s="7" t="str">
        <f t="shared" si="133"/>
        <v>LUA</v>
      </c>
      <c r="J1211" s="7" t="str">
        <f t="shared" si="134"/>
        <v>RED</v>
      </c>
      <c r="K1211" s="7" t="str">
        <f t="shared" si="135"/>
        <v>S</v>
      </c>
      <c r="L1211" s="7" t="s">
        <v>2453</v>
      </c>
      <c r="M1211" s="7" t="s">
        <v>4463</v>
      </c>
      <c r="N1211" s="7">
        <f>_xlfn.XLOOKUP(A1211,[1]SKU!$A:$A,[1]SKU!$Z:$Z)</f>
        <v>1590000</v>
      </c>
    </row>
    <row r="1212" spans="1:14">
      <c r="A1212" s="1" t="s">
        <v>1496</v>
      </c>
      <c r="B1212" s="2" t="s">
        <v>3</v>
      </c>
      <c r="C1212" s="2" t="s">
        <v>75</v>
      </c>
      <c r="D1212" s="2" t="s">
        <v>1497</v>
      </c>
      <c r="E1212" s="7" t="str">
        <f t="shared" si="129"/>
        <v>GSL</v>
      </c>
      <c r="F1212" s="7" t="str">
        <f t="shared" si="130"/>
        <v>WOM</v>
      </c>
      <c r="G1212" s="7" t="str">
        <f t="shared" si="131"/>
        <v>APP</v>
      </c>
      <c r="H1212" s="7" t="str">
        <f t="shared" si="132"/>
        <v>BNE</v>
      </c>
      <c r="I1212" s="7" t="str">
        <f t="shared" si="133"/>
        <v>HOA</v>
      </c>
      <c r="J1212" s="7" t="str">
        <f t="shared" si="134"/>
        <v>WHI</v>
      </c>
      <c r="K1212" s="7" t="str">
        <f t="shared" si="135"/>
        <v>XL</v>
      </c>
      <c r="L1212" s="7" t="s">
        <v>2117</v>
      </c>
      <c r="M1212" s="7" t="s">
        <v>2117</v>
      </c>
      <c r="N1212" s="7">
        <f>_xlfn.XLOOKUP(A1212,[1]SKU!$A:$A,[1]SKU!$Z:$Z)</f>
        <v>750000</v>
      </c>
    </row>
    <row r="1213" spans="1:14">
      <c r="A1213" s="1" t="s">
        <v>1498</v>
      </c>
      <c r="B1213" s="2" t="s">
        <v>3</v>
      </c>
      <c r="C1213" s="2" t="s">
        <v>38</v>
      </c>
      <c r="D1213" s="2" t="s">
        <v>1499</v>
      </c>
      <c r="E1213" s="7" t="str">
        <f t="shared" si="129"/>
        <v>GLI</v>
      </c>
      <c r="F1213" s="7" t="str">
        <f t="shared" si="130"/>
        <v>MEN</v>
      </c>
      <c r="G1213" s="7" t="str">
        <f t="shared" si="131"/>
        <v>SIS</v>
      </c>
      <c r="H1213" s="7" t="str">
        <f t="shared" si="132"/>
        <v>MAN</v>
      </c>
      <c r="I1213" s="7" t="str">
        <f t="shared" si="133"/>
        <v>LOG</v>
      </c>
      <c r="J1213" s="7" t="str">
        <f t="shared" si="134"/>
        <v>CAM</v>
      </c>
      <c r="K1213" s="7" t="str">
        <f t="shared" si="135"/>
        <v>S</v>
      </c>
      <c r="L1213" s="7" t="s">
        <v>2211</v>
      </c>
      <c r="M1213" s="7" t="s">
        <v>4464</v>
      </c>
      <c r="N1213" s="7">
        <f>_xlfn.XLOOKUP(A1213,[1]SKU!$A:$A,[1]SKU!$Z:$Z)</f>
        <v>2790000</v>
      </c>
    </row>
    <row r="1214" spans="1:14">
      <c r="A1214" s="1" t="s">
        <v>5975</v>
      </c>
      <c r="B1214" s="2" t="s">
        <v>4472</v>
      </c>
      <c r="C1214" s="2" t="s">
        <v>5976</v>
      </c>
      <c r="D1214" s="2" t="s">
        <v>5977</v>
      </c>
      <c r="E1214" s="7" t="str">
        <f t="shared" si="129"/>
        <v>EDE</v>
      </c>
      <c r="F1214" s="7" t="str">
        <f t="shared" si="130"/>
        <v>UNI</v>
      </c>
      <c r="G1214" s="7" t="str">
        <f t="shared" si="131"/>
        <v>BAG</v>
      </c>
      <c r="H1214" s="7" t="str">
        <f t="shared" si="132"/>
        <v>ETB</v>
      </c>
      <c r="I1214" s="7" t="str">
        <f t="shared" si="133"/>
        <v>MIX</v>
      </c>
      <c r="J1214" s="7" t="str">
        <f t="shared" si="134"/>
        <v>MIX</v>
      </c>
      <c r="K1214" s="7" t="str">
        <f t="shared" si="135"/>
        <v>0</v>
      </c>
      <c r="L1214" s="7">
        <v>0</v>
      </c>
      <c r="M1214" s="7" t="s">
        <v>2609</v>
      </c>
      <c r="N1214" s="7">
        <f>_xlfn.XLOOKUP(A1214,[1]SKU!$A:$A,[1]SKU!$Z:$Z)</f>
        <v>495000</v>
      </c>
    </row>
    <row r="1215" spans="1:14">
      <c r="A1215" s="1" t="s">
        <v>5978</v>
      </c>
      <c r="B1215" s="2" t="s">
        <v>4472</v>
      </c>
      <c r="C1215" s="2" t="s">
        <v>5599</v>
      </c>
      <c r="D1215" s="2" t="s">
        <v>5979</v>
      </c>
      <c r="E1215" s="7" t="str">
        <f t="shared" si="129"/>
        <v>HAM</v>
      </c>
      <c r="F1215" s="7" t="str">
        <f t="shared" si="130"/>
        <v>UNI</v>
      </c>
      <c r="G1215" s="7" t="str">
        <f t="shared" si="131"/>
        <v>JEW</v>
      </c>
      <c r="H1215" s="7" t="str">
        <f t="shared" si="132"/>
        <v>NEC</v>
      </c>
      <c r="I1215" s="7" t="str">
        <f t="shared" si="133"/>
        <v>D12</v>
      </c>
      <c r="J1215" s="7" t="str">
        <f t="shared" si="134"/>
        <v>MIX</v>
      </c>
      <c r="K1215" s="7" t="str">
        <f t="shared" si="135"/>
        <v>0</v>
      </c>
      <c r="L1215" s="7">
        <v>0</v>
      </c>
      <c r="M1215" s="7" t="s">
        <v>2609</v>
      </c>
      <c r="N1215" s="7">
        <f>_xlfn.XLOOKUP(A1215,[1]SKU!$A:$A,[1]SKU!$Z:$Z)</f>
        <v>1650000</v>
      </c>
    </row>
    <row r="1216" spans="1:14">
      <c r="A1216" s="1" t="s">
        <v>5980</v>
      </c>
      <c r="B1216" s="2" t="s">
        <v>4472</v>
      </c>
      <c r="C1216" s="2" t="s">
        <v>36</v>
      </c>
      <c r="D1216" s="2" t="s">
        <v>5981</v>
      </c>
      <c r="E1216" s="7" t="str">
        <f t="shared" si="129"/>
        <v>PSD</v>
      </c>
      <c r="F1216" s="7" t="str">
        <f t="shared" si="130"/>
        <v>UNI</v>
      </c>
      <c r="G1216" s="7" t="str">
        <f t="shared" si="131"/>
        <v>SOU</v>
      </c>
      <c r="H1216" s="7" t="str">
        <f t="shared" si="132"/>
        <v>DEC</v>
      </c>
      <c r="I1216" s="7" t="str">
        <f t="shared" si="133"/>
        <v>SIB</v>
      </c>
      <c r="J1216" s="7" t="str">
        <f t="shared" si="134"/>
        <v>RED</v>
      </c>
      <c r="K1216" s="7" t="str">
        <f t="shared" si="135"/>
        <v>14</v>
      </c>
      <c r="L1216" s="7">
        <v>0</v>
      </c>
      <c r="M1216" s="7" t="s">
        <v>2609</v>
      </c>
      <c r="N1216" s="7">
        <f>_xlfn.XLOOKUP(A1216,[1]SKU!$A:$A,[1]SKU!$Z:$Z)</f>
        <v>550000</v>
      </c>
    </row>
    <row r="1217" spans="1:14">
      <c r="A1217" s="1" t="s">
        <v>1501</v>
      </c>
      <c r="B1217" s="2" t="s">
        <v>19</v>
      </c>
      <c r="C1217" s="2" t="s">
        <v>306</v>
      </c>
      <c r="D1217" s="2" t="s">
        <v>1502</v>
      </c>
      <c r="E1217" s="7" t="str">
        <f t="shared" si="129"/>
        <v>OTH</v>
      </c>
      <c r="F1217" s="7" t="str">
        <f t="shared" si="130"/>
        <v>UNI</v>
      </c>
      <c r="G1217" s="7" t="str">
        <f t="shared" si="131"/>
        <v>BAG</v>
      </c>
      <c r="H1217" s="7" t="str">
        <f t="shared" si="132"/>
        <v>PCE</v>
      </c>
      <c r="I1217" s="7" t="str">
        <f t="shared" si="133"/>
        <v>PCE</v>
      </c>
      <c r="J1217" s="7" t="str">
        <f t="shared" si="134"/>
        <v>NAV</v>
      </c>
      <c r="K1217" s="7" t="str">
        <f t="shared" si="135"/>
        <v>0</v>
      </c>
      <c r="L1217" s="7">
        <v>0</v>
      </c>
      <c r="M1217" s="7" t="s">
        <v>2609</v>
      </c>
      <c r="N1217" s="7">
        <f>_xlfn.XLOOKUP(A1217,[1]SKU!$A:$A,[1]SKU!$Z:$Z)</f>
        <v>395000</v>
      </c>
    </row>
    <row r="1218" spans="1:14">
      <c r="A1218" s="1" t="s">
        <v>5982</v>
      </c>
      <c r="B1218" s="2" t="s">
        <v>4472</v>
      </c>
      <c r="C1218" s="2" t="s">
        <v>5983</v>
      </c>
      <c r="D1218" s="2" t="s">
        <v>5984</v>
      </c>
      <c r="E1218" s="7" t="str">
        <f t="shared" ref="E1218:E1281" si="136">_xlfn.TEXTBEFORE(_xlfn.TEXTAFTER(D1218,"-"),"-")</f>
        <v>HAM</v>
      </c>
      <c r="F1218" s="7" t="str">
        <f t="shared" si="130"/>
        <v>UNI</v>
      </c>
      <c r="G1218" s="7" t="str">
        <f t="shared" si="131"/>
        <v>JEW</v>
      </c>
      <c r="H1218" s="7" t="str">
        <f t="shared" si="132"/>
        <v>NEC</v>
      </c>
      <c r="I1218" s="7" t="str">
        <f t="shared" si="133"/>
        <v>N10</v>
      </c>
      <c r="J1218" s="7" t="str">
        <f t="shared" si="134"/>
        <v>MIX</v>
      </c>
      <c r="K1218" s="7" t="str">
        <f t="shared" si="135"/>
        <v>0</v>
      </c>
      <c r="L1218" s="7">
        <v>0</v>
      </c>
      <c r="M1218" s="7" t="s">
        <v>2609</v>
      </c>
      <c r="N1218" s="7">
        <f>_xlfn.XLOOKUP(A1218,[1]SKU!$A:$A,[1]SKU!$Z:$Z)</f>
        <v>1200000</v>
      </c>
    </row>
    <row r="1219" spans="1:14">
      <c r="A1219" s="1" t="s">
        <v>1504</v>
      </c>
      <c r="B1219" s="2" t="s">
        <v>3</v>
      </c>
      <c r="C1219" s="2" t="s">
        <v>92</v>
      </c>
      <c r="D1219" s="2" t="s">
        <v>1505</v>
      </c>
      <c r="E1219" s="7" t="str">
        <f t="shared" si="136"/>
        <v>GOR</v>
      </c>
      <c r="F1219" s="7" t="str">
        <f t="shared" si="130"/>
        <v>MEN</v>
      </c>
      <c r="G1219" s="7" t="str">
        <f t="shared" si="131"/>
        <v>TSS</v>
      </c>
      <c r="H1219" s="7" t="str">
        <f t="shared" si="132"/>
        <v>ONE</v>
      </c>
      <c r="I1219" s="7" t="str">
        <f t="shared" si="133"/>
        <v>SVR</v>
      </c>
      <c r="J1219" s="7" t="str">
        <f t="shared" si="134"/>
        <v>WHI</v>
      </c>
      <c r="K1219" s="7" t="str">
        <f t="shared" si="135"/>
        <v>XXL</v>
      </c>
      <c r="L1219" s="7" t="s">
        <v>2018</v>
      </c>
      <c r="M1219" s="7" t="s">
        <v>4462</v>
      </c>
      <c r="N1219" s="7">
        <f>_xlfn.XLOOKUP(A1219,[1]SKU!$A:$A,[1]SKU!$Z:$Z)</f>
        <v>990000</v>
      </c>
    </row>
    <row r="1220" spans="1:14">
      <c r="A1220" s="1" t="s">
        <v>1506</v>
      </c>
      <c r="B1220" s="2" t="s">
        <v>3</v>
      </c>
      <c r="C1220" s="2" t="s">
        <v>38</v>
      </c>
      <c r="D1220" s="2" t="s">
        <v>1507</v>
      </c>
      <c r="E1220" s="7" t="str">
        <f t="shared" si="136"/>
        <v>GPI</v>
      </c>
      <c r="F1220" s="7" t="str">
        <f t="shared" si="130"/>
        <v>MEN</v>
      </c>
      <c r="G1220" s="7" t="str">
        <f t="shared" si="131"/>
        <v>POL</v>
      </c>
      <c r="H1220" s="7" t="str">
        <f t="shared" si="132"/>
        <v>RIB</v>
      </c>
      <c r="I1220" s="7" t="str">
        <f t="shared" si="133"/>
        <v>LOG</v>
      </c>
      <c r="J1220" s="7" t="str">
        <f t="shared" si="134"/>
        <v>AGD</v>
      </c>
      <c r="K1220" s="7" t="str">
        <f t="shared" si="135"/>
        <v>L</v>
      </c>
      <c r="L1220" s="7" t="s">
        <v>1995</v>
      </c>
      <c r="M1220" s="7" t="s">
        <v>4468</v>
      </c>
      <c r="N1220" s="7">
        <f>_xlfn.XLOOKUP(A1220,[1]SKU!$A:$A,[1]SKU!$Z:$Z)</f>
        <v>1390000</v>
      </c>
    </row>
    <row r="1221" spans="1:14">
      <c r="A1221" s="1" t="s">
        <v>1508</v>
      </c>
      <c r="B1221" s="2" t="s">
        <v>3</v>
      </c>
      <c r="C1221" s="2" t="s">
        <v>154</v>
      </c>
      <c r="D1221" s="2" t="s">
        <v>1509</v>
      </c>
      <c r="E1221" s="7" t="str">
        <f t="shared" si="136"/>
        <v>GCL</v>
      </c>
      <c r="F1221" s="7" t="str">
        <f t="shared" si="130"/>
        <v>MEN</v>
      </c>
      <c r="G1221" s="7" t="str">
        <f t="shared" si="131"/>
        <v>TSO</v>
      </c>
      <c r="H1221" s="7" t="str">
        <f t="shared" si="132"/>
        <v>ONE</v>
      </c>
      <c r="I1221" s="7" t="str">
        <f t="shared" si="133"/>
        <v>TNT</v>
      </c>
      <c r="J1221" s="7" t="str">
        <f t="shared" si="134"/>
        <v>WHI</v>
      </c>
      <c r="K1221" s="7" t="str">
        <f t="shared" si="135"/>
        <v>M</v>
      </c>
      <c r="L1221" s="7" t="s">
        <v>2071</v>
      </c>
      <c r="M1221" s="7" t="s">
        <v>4462</v>
      </c>
      <c r="N1221" s="7">
        <f>_xlfn.XLOOKUP(A1221,[1]SKU!$A:$A,[1]SKU!$Z:$Z)</f>
        <v>1390000</v>
      </c>
    </row>
    <row r="1222" spans="1:14">
      <c r="A1222" s="1" t="s">
        <v>1510</v>
      </c>
      <c r="B1222" s="2" t="s">
        <v>3</v>
      </c>
      <c r="C1222" s="2" t="s">
        <v>674</v>
      </c>
      <c r="D1222" s="2" t="s">
        <v>1511</v>
      </c>
      <c r="E1222" s="7" t="str">
        <f t="shared" si="136"/>
        <v>GOR</v>
      </c>
      <c r="F1222" s="7" t="str">
        <f t="shared" si="130"/>
        <v>MEN</v>
      </c>
      <c r="G1222" s="7" t="str">
        <f t="shared" si="131"/>
        <v>TSS</v>
      </c>
      <c r="H1222" s="7" t="str">
        <f t="shared" si="132"/>
        <v>ONE</v>
      </c>
      <c r="I1222" s="7" t="str">
        <f t="shared" si="133"/>
        <v>TPO</v>
      </c>
      <c r="J1222" s="7" t="str">
        <f t="shared" si="134"/>
        <v>WHI</v>
      </c>
      <c r="K1222" s="7" t="str">
        <f t="shared" si="135"/>
        <v>M</v>
      </c>
      <c r="L1222" s="7" t="s">
        <v>2018</v>
      </c>
      <c r="M1222" s="7" t="s">
        <v>4462</v>
      </c>
      <c r="N1222" s="7">
        <f>_xlfn.XLOOKUP(A1222,[1]SKU!$A:$A,[1]SKU!$Z:$Z)</f>
        <v>990000</v>
      </c>
    </row>
    <row r="1223" spans="1:14">
      <c r="A1223" s="1" t="s">
        <v>5985</v>
      </c>
      <c r="B1223" s="2" t="s">
        <v>4472</v>
      </c>
      <c r="C1223" s="2" t="s">
        <v>4547</v>
      </c>
      <c r="D1223" s="2" t="s">
        <v>5986</v>
      </c>
      <c r="E1223" s="7" t="str">
        <f t="shared" si="136"/>
        <v>HAM</v>
      </c>
      <c r="F1223" s="7" t="str">
        <f t="shared" si="130"/>
        <v>UNI</v>
      </c>
      <c r="G1223" s="7" t="str">
        <f t="shared" si="131"/>
        <v>JEW</v>
      </c>
      <c r="H1223" s="7" t="str">
        <f t="shared" si="132"/>
        <v>NEC</v>
      </c>
      <c r="I1223" s="7" t="str">
        <f t="shared" si="133"/>
        <v>088</v>
      </c>
      <c r="J1223" s="7" t="str">
        <f t="shared" si="134"/>
        <v>MIX</v>
      </c>
      <c r="K1223" s="7" t="str">
        <f t="shared" si="135"/>
        <v>0</v>
      </c>
      <c r="L1223" s="7">
        <v>0</v>
      </c>
      <c r="M1223" s="7" t="s">
        <v>2609</v>
      </c>
      <c r="N1223" s="7">
        <f>_xlfn.XLOOKUP(A1223,[1]SKU!$A:$A,[1]SKU!$Z:$Z)</f>
        <v>2200000</v>
      </c>
    </row>
    <row r="1224" spans="1:14">
      <c r="A1224" s="1" t="s">
        <v>1513</v>
      </c>
      <c r="B1224" s="2" t="s">
        <v>3</v>
      </c>
      <c r="C1224" s="2" t="s">
        <v>532</v>
      </c>
      <c r="D1224" s="2" t="s">
        <v>1514</v>
      </c>
      <c r="E1224" s="7" t="str">
        <f t="shared" si="136"/>
        <v>GBA</v>
      </c>
      <c r="F1224" s="7" t="str">
        <f t="shared" si="130"/>
        <v>MEN</v>
      </c>
      <c r="G1224" s="7" t="str">
        <f t="shared" si="131"/>
        <v>TSS</v>
      </c>
      <c r="H1224" s="7" t="str">
        <f t="shared" si="132"/>
        <v>ONE</v>
      </c>
      <c r="I1224" s="7" t="str">
        <f t="shared" si="133"/>
        <v>SCR</v>
      </c>
      <c r="J1224" s="7" t="str">
        <f t="shared" si="134"/>
        <v>WHI</v>
      </c>
      <c r="K1224" s="7" t="str">
        <f t="shared" si="135"/>
        <v>S</v>
      </c>
      <c r="L1224" s="7" t="s">
        <v>2018</v>
      </c>
      <c r="M1224" s="7" t="s">
        <v>4462</v>
      </c>
      <c r="N1224" s="7">
        <f>_xlfn.XLOOKUP(A1224,[1]SKU!$A:$A,[1]SKU!$Z:$Z)</f>
        <v>950000</v>
      </c>
    </row>
    <row r="1225" spans="1:14">
      <c r="A1225" s="1" t="s">
        <v>5987</v>
      </c>
      <c r="B1225" s="2" t="s">
        <v>4472</v>
      </c>
      <c r="C1225" s="2" t="s">
        <v>5988</v>
      </c>
      <c r="D1225" s="2" t="s">
        <v>5989</v>
      </c>
      <c r="E1225" s="7" t="str">
        <f t="shared" si="136"/>
        <v>EDE</v>
      </c>
      <c r="F1225" s="7" t="str">
        <f t="shared" si="130"/>
        <v>UNI</v>
      </c>
      <c r="G1225" s="7" t="str">
        <f t="shared" si="131"/>
        <v>BAG</v>
      </c>
      <c r="H1225" s="7" t="str">
        <f t="shared" si="132"/>
        <v>TTB</v>
      </c>
      <c r="I1225" s="7" t="str">
        <f t="shared" si="133"/>
        <v>DAO</v>
      </c>
      <c r="J1225" s="7" t="str">
        <f t="shared" si="134"/>
        <v>BLU</v>
      </c>
      <c r="K1225" s="7" t="str">
        <f t="shared" si="135"/>
        <v>0</v>
      </c>
      <c r="L1225" s="7">
        <v>0</v>
      </c>
      <c r="M1225" s="7" t="s">
        <v>2609</v>
      </c>
      <c r="N1225" s="7">
        <f>_xlfn.XLOOKUP(A1225,[1]SKU!$A:$A,[1]SKU!$Z:$Z)</f>
        <v>470000</v>
      </c>
    </row>
    <row r="1226" spans="1:14">
      <c r="A1226" s="1" t="s">
        <v>5990</v>
      </c>
      <c r="B1226" s="2" t="s">
        <v>4472</v>
      </c>
      <c r="C1226" s="2" t="s">
        <v>4786</v>
      </c>
      <c r="D1226" s="2" t="s">
        <v>5991</v>
      </c>
      <c r="E1226" s="7" t="str">
        <f t="shared" si="136"/>
        <v>HAM</v>
      </c>
      <c r="F1226" s="7" t="str">
        <f t="shared" si="130"/>
        <v>UNI</v>
      </c>
      <c r="G1226" s="7" t="str">
        <f t="shared" si="131"/>
        <v>JEW</v>
      </c>
      <c r="H1226" s="7" t="str">
        <f t="shared" si="132"/>
        <v>NEC</v>
      </c>
      <c r="I1226" s="7" t="str">
        <f t="shared" si="133"/>
        <v>137</v>
      </c>
      <c r="J1226" s="7" t="str">
        <f t="shared" si="134"/>
        <v>MIX</v>
      </c>
      <c r="K1226" s="7" t="str">
        <f t="shared" si="135"/>
        <v>0</v>
      </c>
      <c r="L1226" s="7">
        <v>0</v>
      </c>
      <c r="M1226" s="7" t="s">
        <v>2609</v>
      </c>
      <c r="N1226" s="7">
        <f>_xlfn.XLOOKUP(A1226,[1]SKU!$A:$A,[1]SKU!$Z:$Z)</f>
        <v>3000000</v>
      </c>
    </row>
    <row r="1227" spans="1:14">
      <c r="A1227" s="1" t="s">
        <v>5992</v>
      </c>
      <c r="B1227" s="2" t="s">
        <v>4472</v>
      </c>
      <c r="C1227" s="2" t="s">
        <v>5707</v>
      </c>
      <c r="D1227" s="2" t="s">
        <v>5993</v>
      </c>
      <c r="E1227" s="7" t="str">
        <f t="shared" si="136"/>
        <v>HAM</v>
      </c>
      <c r="F1227" s="7" t="str">
        <f t="shared" si="130"/>
        <v>UNI</v>
      </c>
      <c r="G1227" s="7" t="str">
        <f t="shared" si="131"/>
        <v>JEW</v>
      </c>
      <c r="H1227" s="7" t="str">
        <f t="shared" si="132"/>
        <v>NEC</v>
      </c>
      <c r="I1227" s="7" t="str">
        <f t="shared" si="133"/>
        <v>D74</v>
      </c>
      <c r="J1227" s="7" t="str">
        <f t="shared" si="134"/>
        <v>MIX</v>
      </c>
      <c r="K1227" s="7" t="str">
        <f t="shared" si="135"/>
        <v>0</v>
      </c>
      <c r="L1227" s="7">
        <v>0</v>
      </c>
      <c r="M1227" s="7" t="s">
        <v>2609</v>
      </c>
      <c r="N1227" s="7">
        <f>_xlfn.XLOOKUP(A1227,[1]SKU!$A:$A,[1]SKU!$Z:$Z)</f>
        <v>1800000</v>
      </c>
    </row>
    <row r="1228" spans="1:14">
      <c r="A1228" s="1" t="s">
        <v>5994</v>
      </c>
      <c r="B1228" s="2" t="s">
        <v>4472</v>
      </c>
      <c r="C1228" s="2" t="s">
        <v>5995</v>
      </c>
      <c r="D1228" s="2" t="s">
        <v>5996</v>
      </c>
      <c r="E1228" s="7" t="str">
        <f t="shared" si="136"/>
        <v>LAN</v>
      </c>
      <c r="F1228" s="7" t="str">
        <f t="shared" si="130"/>
        <v>UNI</v>
      </c>
      <c r="G1228" s="7" t="str">
        <f t="shared" si="131"/>
        <v>HWR</v>
      </c>
      <c r="H1228" s="7" t="str">
        <f t="shared" si="132"/>
        <v>SC2</v>
      </c>
      <c r="I1228" s="7" t="str">
        <f t="shared" si="133"/>
        <v>NPG</v>
      </c>
      <c r="J1228" s="7" t="str">
        <f t="shared" si="134"/>
        <v>PUR</v>
      </c>
      <c r="K1228" s="7" t="str">
        <f t="shared" si="135"/>
        <v>90x90</v>
      </c>
      <c r="L1228" s="7">
        <v>0</v>
      </c>
      <c r="M1228" s="7" t="s">
        <v>2609</v>
      </c>
      <c r="N1228" s="7">
        <f>_xlfn.XLOOKUP(A1228,[1]SKU!$A:$A,[1]SKU!$Z:$Z)</f>
        <v>989000</v>
      </c>
    </row>
    <row r="1229" spans="1:14">
      <c r="A1229" s="1" t="s">
        <v>5997</v>
      </c>
      <c r="B1229" s="2" t="s">
        <v>4481</v>
      </c>
      <c r="C1229" s="2" t="s">
        <v>1516</v>
      </c>
      <c r="D1229" s="2" t="s">
        <v>5998</v>
      </c>
      <c r="E1229" s="7" t="str">
        <f t="shared" si="136"/>
        <v>PAS</v>
      </c>
      <c r="F1229" s="7" t="str">
        <f t="shared" si="130"/>
        <v>UNI</v>
      </c>
      <c r="G1229" s="7" t="str">
        <f t="shared" si="131"/>
        <v>ART</v>
      </c>
      <c r="H1229" s="7" t="str">
        <f t="shared" si="132"/>
        <v>ART</v>
      </c>
      <c r="I1229" s="7" t="str">
        <f t="shared" si="133"/>
        <v>MEM</v>
      </c>
      <c r="J1229" s="7" t="str">
        <f t="shared" si="134"/>
        <v>MIX</v>
      </c>
      <c r="K1229" s="7" t="str">
        <f t="shared" si="135"/>
        <v>A3</v>
      </c>
      <c r="L1229" s="7">
        <v>0</v>
      </c>
      <c r="M1229" s="7" t="s">
        <v>2609</v>
      </c>
      <c r="N1229" s="7">
        <f>_xlfn.XLOOKUP(A1229,[1]SKU!$A:$A,[1]SKU!$Z:$Z)</f>
        <v>5000000</v>
      </c>
    </row>
    <row r="1230" spans="1:14">
      <c r="A1230" s="1" t="s">
        <v>5999</v>
      </c>
      <c r="B1230" s="2" t="s">
        <v>4472</v>
      </c>
      <c r="C1230" s="2" t="s">
        <v>1007</v>
      </c>
      <c r="D1230" s="2" t="s">
        <v>6000</v>
      </c>
      <c r="E1230" s="7" t="str">
        <f t="shared" si="136"/>
        <v>DSP</v>
      </c>
      <c r="F1230" s="7" t="str">
        <f t="shared" si="130"/>
        <v>UNI</v>
      </c>
      <c r="G1230" s="7" t="str">
        <f t="shared" si="131"/>
        <v>FWR</v>
      </c>
      <c r="H1230" s="7" t="str">
        <f t="shared" si="132"/>
        <v>LES</v>
      </c>
      <c r="I1230" s="7" t="str">
        <f t="shared" si="133"/>
        <v>CHU</v>
      </c>
      <c r="J1230" s="7" t="str">
        <f t="shared" si="134"/>
        <v>LDP</v>
      </c>
      <c r="K1230" s="7" t="str">
        <f t="shared" si="135"/>
        <v>38</v>
      </c>
      <c r="L1230" s="7">
        <v>0</v>
      </c>
      <c r="M1230" s="7" t="s">
        <v>2609</v>
      </c>
      <c r="N1230" s="7">
        <f>_xlfn.XLOOKUP(A1230,[1]SKU!$A:$A,[1]SKU!$Z:$Z)</f>
        <v>7500000</v>
      </c>
    </row>
    <row r="1231" spans="1:14">
      <c r="A1231" s="1" t="s">
        <v>1517</v>
      </c>
      <c r="B1231" s="2" t="s">
        <v>3</v>
      </c>
      <c r="C1231" s="2" t="s">
        <v>233</v>
      </c>
      <c r="D1231" s="2" t="s">
        <v>1518</v>
      </c>
      <c r="E1231" s="7" t="str">
        <f t="shared" si="136"/>
        <v>GOR</v>
      </c>
      <c r="F1231" s="7" t="str">
        <f t="shared" si="130"/>
        <v>MEN</v>
      </c>
      <c r="G1231" s="7" t="str">
        <f t="shared" si="131"/>
        <v>TSS</v>
      </c>
      <c r="H1231" s="7" t="str">
        <f t="shared" si="132"/>
        <v>ONE</v>
      </c>
      <c r="I1231" s="7" t="str">
        <f t="shared" si="133"/>
        <v>SMR</v>
      </c>
      <c r="J1231" s="7" t="str">
        <f t="shared" si="134"/>
        <v>WHI</v>
      </c>
      <c r="K1231" s="7" t="str">
        <f t="shared" si="135"/>
        <v>M</v>
      </c>
      <c r="L1231" s="7" t="s">
        <v>2018</v>
      </c>
      <c r="M1231" s="7" t="s">
        <v>4462</v>
      </c>
      <c r="N1231" s="7">
        <f>_xlfn.XLOOKUP(A1231,[1]SKU!$A:$A,[1]SKU!$Z:$Z)</f>
        <v>790000</v>
      </c>
    </row>
    <row r="1232" spans="1:14">
      <c r="A1232" s="1" t="s">
        <v>6001</v>
      </c>
      <c r="B1232" s="2" t="s">
        <v>4472</v>
      </c>
      <c r="C1232" s="2" t="s">
        <v>6002</v>
      </c>
      <c r="D1232" s="2" t="s">
        <v>6003</v>
      </c>
      <c r="E1232" s="7" t="str">
        <f t="shared" si="136"/>
        <v>LAN</v>
      </c>
      <c r="F1232" s="7" t="str">
        <f t="shared" si="130"/>
        <v>UNI</v>
      </c>
      <c r="G1232" s="7" t="str">
        <f t="shared" si="131"/>
        <v>HWR</v>
      </c>
      <c r="H1232" s="7" t="str">
        <f t="shared" si="132"/>
        <v>SC2</v>
      </c>
      <c r="I1232" s="7" t="str">
        <f t="shared" si="133"/>
        <v>DVN</v>
      </c>
      <c r="J1232" s="7" t="str">
        <f t="shared" si="134"/>
        <v>YEL</v>
      </c>
      <c r="K1232" s="7" t="str">
        <f t="shared" si="135"/>
        <v>60x60</v>
      </c>
      <c r="L1232" s="7">
        <v>0</v>
      </c>
      <c r="M1232" s="7" t="s">
        <v>2609</v>
      </c>
      <c r="N1232" s="7">
        <f>_xlfn.XLOOKUP(A1232,[1]SKU!$A:$A,[1]SKU!$Z:$Z)</f>
        <v>549000</v>
      </c>
    </row>
    <row r="1233" spans="1:14">
      <c r="A1233" s="1" t="s">
        <v>1519</v>
      </c>
      <c r="B1233" s="2" t="s">
        <v>19</v>
      </c>
      <c r="C1233" s="2" t="s">
        <v>330</v>
      </c>
      <c r="D1233" s="2" t="s">
        <v>1520</v>
      </c>
      <c r="E1233" s="7" t="str">
        <f t="shared" si="136"/>
        <v>OTH</v>
      </c>
      <c r="F1233" s="7" t="str">
        <f t="shared" si="130"/>
        <v>UNI</v>
      </c>
      <c r="G1233" s="7" t="str">
        <f t="shared" si="131"/>
        <v>SOU</v>
      </c>
      <c r="H1233" s="7" t="str">
        <f t="shared" si="132"/>
        <v>NBS</v>
      </c>
      <c r="I1233" s="7" t="str">
        <f t="shared" si="133"/>
        <v>GSP</v>
      </c>
      <c r="J1233" s="7" t="str">
        <f t="shared" si="134"/>
        <v>BLU</v>
      </c>
      <c r="K1233" s="7" t="str">
        <f t="shared" si="135"/>
        <v>A6</v>
      </c>
      <c r="L1233" s="7">
        <v>0</v>
      </c>
      <c r="M1233" s="7" t="s">
        <v>2609</v>
      </c>
      <c r="N1233" s="7">
        <f>_xlfn.XLOOKUP(A1233,[1]SKU!$A:$A,[1]SKU!$Z:$Z)</f>
        <v>65000</v>
      </c>
    </row>
    <row r="1234" spans="1:14">
      <c r="A1234" s="1" t="s">
        <v>1521</v>
      </c>
      <c r="B1234" s="2" t="s">
        <v>3</v>
      </c>
      <c r="C1234" s="2" t="s">
        <v>303</v>
      </c>
      <c r="D1234" s="2" t="s">
        <v>1522</v>
      </c>
      <c r="E1234" s="7" t="str">
        <f t="shared" si="136"/>
        <v>GOR</v>
      </c>
      <c r="F1234" s="7" t="str">
        <f t="shared" si="130"/>
        <v>MEN</v>
      </c>
      <c r="G1234" s="7" t="str">
        <f t="shared" si="131"/>
        <v>TSS</v>
      </c>
      <c r="H1234" s="7" t="str">
        <f t="shared" si="132"/>
        <v>ONE</v>
      </c>
      <c r="I1234" s="7" t="str">
        <f t="shared" si="133"/>
        <v>STE</v>
      </c>
      <c r="J1234" s="7" t="str">
        <f t="shared" si="134"/>
        <v>WHI</v>
      </c>
      <c r="K1234" s="7" t="str">
        <f t="shared" si="135"/>
        <v>S</v>
      </c>
      <c r="L1234" s="7" t="s">
        <v>2018</v>
      </c>
      <c r="M1234" s="7" t="s">
        <v>4462</v>
      </c>
      <c r="N1234" s="7">
        <f>_xlfn.XLOOKUP(A1234,[1]SKU!$A:$A,[1]SKU!$Z:$Z)</f>
        <v>790000</v>
      </c>
    </row>
    <row r="1235" spans="1:14">
      <c r="A1235" s="1" t="s">
        <v>6004</v>
      </c>
      <c r="B1235" s="2" t="s">
        <v>4472</v>
      </c>
      <c r="C1235" s="2" t="s">
        <v>721</v>
      </c>
      <c r="D1235" s="2" t="s">
        <v>6005</v>
      </c>
      <c r="E1235" s="7" t="str">
        <f t="shared" si="136"/>
        <v>MAZ</v>
      </c>
      <c r="F1235" s="7" t="str">
        <f t="shared" si="130"/>
        <v>UNI</v>
      </c>
      <c r="G1235" s="7" t="str">
        <f t="shared" si="131"/>
        <v>SOU</v>
      </c>
      <c r="H1235" s="7" t="str">
        <f t="shared" si="132"/>
        <v>GAM</v>
      </c>
      <c r="I1235" s="7" t="str">
        <f t="shared" si="133"/>
        <v>DOM</v>
      </c>
      <c r="J1235" s="7" t="str">
        <f t="shared" si="134"/>
        <v>BRO</v>
      </c>
      <c r="K1235" s="7" t="str">
        <f t="shared" si="135"/>
        <v>0</v>
      </c>
      <c r="L1235" s="7">
        <v>0</v>
      </c>
      <c r="M1235" s="7" t="s">
        <v>2609</v>
      </c>
      <c r="N1235" s="7">
        <f>_xlfn.XLOOKUP(A1235,[1]SKU!$A:$A,[1]SKU!$Z:$Z)</f>
        <v>1390000</v>
      </c>
    </row>
    <row r="1236" spans="1:14">
      <c r="A1236" s="1" t="s">
        <v>6006</v>
      </c>
      <c r="B1236" s="2" t="s">
        <v>4472</v>
      </c>
      <c r="C1236" s="2" t="s">
        <v>6007</v>
      </c>
      <c r="D1236" s="2" t="s">
        <v>6008</v>
      </c>
      <c r="E1236" s="7" t="str">
        <f t="shared" si="136"/>
        <v>LAN</v>
      </c>
      <c r="F1236" s="7" t="str">
        <f t="shared" si="130"/>
        <v>UNI</v>
      </c>
      <c r="G1236" s="7" t="str">
        <f t="shared" si="131"/>
        <v>HWR</v>
      </c>
      <c r="H1236" s="7" t="str">
        <f t="shared" si="132"/>
        <v>SC2</v>
      </c>
      <c r="I1236" s="7" t="str">
        <f t="shared" si="133"/>
        <v>DBN</v>
      </c>
      <c r="J1236" s="7" t="str">
        <f t="shared" si="134"/>
        <v>BLU</v>
      </c>
      <c r="K1236" s="7" t="str">
        <f t="shared" si="135"/>
        <v>90x90</v>
      </c>
      <c r="L1236" s="7">
        <v>0</v>
      </c>
      <c r="M1236" s="7" t="s">
        <v>2609</v>
      </c>
      <c r="N1236" s="7">
        <f>_xlfn.XLOOKUP(A1236,[1]SKU!$A:$A,[1]SKU!$Z:$Z)</f>
        <v>989000</v>
      </c>
    </row>
    <row r="1237" spans="1:14">
      <c r="A1237" s="1" t="s">
        <v>1523</v>
      </c>
      <c r="B1237" s="2" t="s">
        <v>3</v>
      </c>
      <c r="C1237" s="2" t="s">
        <v>167</v>
      </c>
      <c r="D1237" s="2" t="s">
        <v>1524</v>
      </c>
      <c r="E1237" s="7" t="str">
        <f t="shared" si="136"/>
        <v>GSL</v>
      </c>
      <c r="F1237" s="7" t="str">
        <f t="shared" si="130"/>
        <v>KID</v>
      </c>
      <c r="G1237" s="7" t="str">
        <f t="shared" si="131"/>
        <v>TSS</v>
      </c>
      <c r="H1237" s="7" t="str">
        <f t="shared" si="132"/>
        <v>ONE</v>
      </c>
      <c r="I1237" s="7" t="str">
        <f t="shared" si="133"/>
        <v>TJM</v>
      </c>
      <c r="J1237" s="7" t="str">
        <f t="shared" si="134"/>
        <v>GPE</v>
      </c>
      <c r="K1237" s="7" t="str">
        <f t="shared" si="135"/>
        <v>8</v>
      </c>
      <c r="L1237" s="7" t="s">
        <v>2018</v>
      </c>
      <c r="M1237" s="7" t="s">
        <v>4462</v>
      </c>
      <c r="N1237" s="7">
        <f>_xlfn.XLOOKUP(A1237,[1]SKU!$A:$A,[1]SKU!$Z:$Z)</f>
        <v>550000</v>
      </c>
    </row>
    <row r="1238" spans="1:14">
      <c r="A1238" s="1" t="s">
        <v>6009</v>
      </c>
      <c r="B1238" s="2" t="s">
        <v>4472</v>
      </c>
      <c r="C1238" s="2" t="s">
        <v>1525</v>
      </c>
      <c r="D1238" s="2" t="s">
        <v>6010</v>
      </c>
      <c r="E1238" s="7" t="str">
        <f t="shared" si="136"/>
        <v>GAR</v>
      </c>
      <c r="F1238" s="7" t="str">
        <f t="shared" si="130"/>
        <v>UNI</v>
      </c>
      <c r="G1238" s="7" t="str">
        <f t="shared" si="131"/>
        <v>SOU</v>
      </c>
      <c r="H1238" s="7" t="str">
        <f t="shared" si="132"/>
        <v>SOP</v>
      </c>
      <c r="I1238" s="7" t="str">
        <f t="shared" si="133"/>
        <v>LBS</v>
      </c>
      <c r="J1238" s="7" t="str">
        <f t="shared" si="134"/>
        <v>MIX</v>
      </c>
      <c r="K1238" s="7" t="str">
        <f t="shared" si="135"/>
        <v>0</v>
      </c>
      <c r="L1238" s="7">
        <v>0</v>
      </c>
      <c r="M1238" s="7" t="s">
        <v>2609</v>
      </c>
      <c r="N1238" s="7">
        <f>_xlfn.XLOOKUP(A1238,[1]SKU!$A:$A,[1]SKU!$Z:$Z)</f>
        <v>115000</v>
      </c>
    </row>
    <row r="1239" spans="1:14">
      <c r="A1239" s="1" t="s">
        <v>6011</v>
      </c>
      <c r="B1239" s="2" t="s">
        <v>4472</v>
      </c>
      <c r="C1239" s="2" t="s">
        <v>99</v>
      </c>
      <c r="D1239" s="2" t="s">
        <v>6012</v>
      </c>
      <c r="E1239" s="7" t="str">
        <f t="shared" si="136"/>
        <v>DSP</v>
      </c>
      <c r="F1239" s="7" t="str">
        <f t="shared" si="130"/>
        <v>UNI</v>
      </c>
      <c r="G1239" s="7" t="str">
        <f t="shared" si="131"/>
        <v>FWR</v>
      </c>
      <c r="H1239" s="7" t="str">
        <f t="shared" si="132"/>
        <v>LES</v>
      </c>
      <c r="I1239" s="7" t="str">
        <f t="shared" si="133"/>
        <v>PHD</v>
      </c>
      <c r="J1239" s="7" t="str">
        <f t="shared" si="134"/>
        <v>CHA</v>
      </c>
      <c r="K1239" s="7" t="str">
        <f t="shared" si="135"/>
        <v>44</v>
      </c>
      <c r="L1239" s="7">
        <v>0</v>
      </c>
      <c r="M1239" s="7" t="s">
        <v>2609</v>
      </c>
      <c r="N1239" s="7">
        <f>_xlfn.XLOOKUP(A1239,[1]SKU!$A:$A,[1]SKU!$Z:$Z)</f>
        <v>7500000</v>
      </c>
    </row>
    <row r="1240" spans="1:14">
      <c r="A1240" s="1" t="s">
        <v>1526</v>
      </c>
      <c r="B1240" s="2" t="s">
        <v>3</v>
      </c>
      <c r="C1240" s="2" t="s">
        <v>268</v>
      </c>
      <c r="D1240" s="2" t="s">
        <v>1527</v>
      </c>
      <c r="E1240" s="7" t="str">
        <f t="shared" si="136"/>
        <v>GBA</v>
      </c>
      <c r="F1240" s="7" t="str">
        <f t="shared" si="130"/>
        <v>MEN</v>
      </c>
      <c r="G1240" s="7" t="str">
        <f t="shared" si="131"/>
        <v>TSP</v>
      </c>
      <c r="H1240" s="7" t="str">
        <f t="shared" si="132"/>
        <v>ONE</v>
      </c>
      <c r="I1240" s="7" t="str">
        <f t="shared" si="133"/>
        <v>SSY</v>
      </c>
      <c r="J1240" s="7" t="str">
        <f t="shared" si="134"/>
        <v>GRE</v>
      </c>
      <c r="K1240" s="7" t="str">
        <f t="shared" si="135"/>
        <v>XL</v>
      </c>
      <c r="L1240" s="7" t="s">
        <v>2085</v>
      </c>
      <c r="M1240" s="7" t="s">
        <v>4462</v>
      </c>
      <c r="N1240" s="7">
        <f>_xlfn.XLOOKUP(A1240,[1]SKU!$A:$A,[1]SKU!$Z:$Z)</f>
        <v>710000</v>
      </c>
    </row>
    <row r="1241" spans="1:14">
      <c r="A1241" s="1" t="s">
        <v>1528</v>
      </c>
      <c r="B1241" s="2" t="s">
        <v>3</v>
      </c>
      <c r="C1241" s="2" t="s">
        <v>113</v>
      </c>
      <c r="D1241" s="2" t="s">
        <v>1529</v>
      </c>
      <c r="E1241" s="7" t="str">
        <f t="shared" si="136"/>
        <v>GFI</v>
      </c>
      <c r="F1241" s="7" t="str">
        <f t="shared" si="130"/>
        <v>MEN</v>
      </c>
      <c r="G1241" s="7" t="str">
        <f t="shared" si="131"/>
        <v>SWL</v>
      </c>
      <c r="H1241" s="7" t="str">
        <f t="shared" si="132"/>
        <v>ONE</v>
      </c>
      <c r="I1241" s="7" t="str">
        <f t="shared" si="133"/>
        <v>TCS</v>
      </c>
      <c r="J1241" s="7" t="str">
        <f t="shared" si="134"/>
        <v>BLK</v>
      </c>
      <c r="K1241" s="7" t="str">
        <f t="shared" si="135"/>
        <v>S</v>
      </c>
      <c r="L1241" s="7" t="s">
        <v>2581</v>
      </c>
      <c r="M1241" s="7" t="s">
        <v>4464</v>
      </c>
      <c r="N1241" s="7">
        <f>_xlfn.XLOOKUP(A1241,[1]SKU!$A:$A,[1]SKU!$Z:$Z)</f>
        <v>1390000</v>
      </c>
    </row>
    <row r="1242" spans="1:14">
      <c r="A1242" s="1" t="s">
        <v>1530</v>
      </c>
      <c r="B1242" s="2" t="s">
        <v>3</v>
      </c>
      <c r="C1242" s="2" t="s">
        <v>622</v>
      </c>
      <c r="D1242" s="2" t="s">
        <v>1531</v>
      </c>
      <c r="E1242" s="7" t="str">
        <f t="shared" si="136"/>
        <v>GSU</v>
      </c>
      <c r="F1242" s="7" t="str">
        <f t="shared" si="130"/>
        <v>WOM</v>
      </c>
      <c r="G1242" s="7" t="str">
        <f t="shared" si="131"/>
        <v>TSP</v>
      </c>
      <c r="H1242" s="7" t="str">
        <f t="shared" si="132"/>
        <v>ONE</v>
      </c>
      <c r="I1242" s="7" t="str">
        <f t="shared" si="133"/>
        <v>SF2</v>
      </c>
      <c r="J1242" s="7" t="str">
        <f t="shared" si="134"/>
        <v>NI</v>
      </c>
      <c r="K1242" s="7" t="str">
        <f t="shared" si="135"/>
        <v>XL</v>
      </c>
      <c r="L1242" s="7" t="s">
        <v>2085</v>
      </c>
      <c r="M1242" s="7" t="s">
        <v>4462</v>
      </c>
      <c r="N1242" s="7">
        <f>_xlfn.XLOOKUP(A1242,[1]SKU!$A:$A,[1]SKU!$Z:$Z)</f>
        <v>1790000</v>
      </c>
    </row>
    <row r="1243" spans="1:14">
      <c r="A1243" s="1" t="s">
        <v>6013</v>
      </c>
      <c r="B1243" s="2" t="s">
        <v>4472</v>
      </c>
      <c r="C1243" s="2" t="s">
        <v>6014</v>
      </c>
      <c r="D1243" s="2" t="s">
        <v>6015</v>
      </c>
      <c r="E1243" s="7" t="str">
        <f t="shared" si="136"/>
        <v>LAN</v>
      </c>
      <c r="F1243" s="7" t="str">
        <f t="shared" si="130"/>
        <v>UNI</v>
      </c>
      <c r="G1243" s="7" t="str">
        <f t="shared" si="131"/>
        <v>HWR</v>
      </c>
      <c r="H1243" s="7" t="str">
        <f t="shared" si="132"/>
        <v>SC2</v>
      </c>
      <c r="I1243" s="7" t="str">
        <f t="shared" si="133"/>
        <v>TGG</v>
      </c>
      <c r="J1243" s="7" t="str">
        <f t="shared" si="134"/>
        <v>GRN</v>
      </c>
      <c r="K1243" s="7" t="str">
        <f t="shared" si="135"/>
        <v>55x55</v>
      </c>
      <c r="L1243" s="7">
        <v>0</v>
      </c>
      <c r="M1243" s="7" t="s">
        <v>2609</v>
      </c>
      <c r="N1243" s="7">
        <f>_xlfn.XLOOKUP(A1243,[1]SKU!$A:$A,[1]SKU!$Z:$Z)</f>
        <v>549000</v>
      </c>
    </row>
    <row r="1244" spans="1:14">
      <c r="A1244" s="1" t="s">
        <v>1532</v>
      </c>
      <c r="B1244" s="2" t="s">
        <v>3</v>
      </c>
      <c r="C1244" s="2" t="s">
        <v>815</v>
      </c>
      <c r="D1244" s="2" t="s">
        <v>1533</v>
      </c>
      <c r="E1244" s="7" t="str">
        <f t="shared" si="136"/>
        <v>GSP</v>
      </c>
      <c r="F1244" s="7" t="str">
        <f t="shared" ref="F1244:F1307" si="137">_xlfn.TEXTBEFORE(_xlfn.TEXTAFTER(D1244,"-",2),"-")</f>
        <v>MEN</v>
      </c>
      <c r="G1244" s="7" t="str">
        <f t="shared" ref="G1244:G1307" si="138">_xlfn.TEXTBEFORE(_xlfn.TEXTAFTER(D1244,"-",3),"-")</f>
        <v>POL</v>
      </c>
      <c r="H1244" s="7" t="str">
        <f t="shared" ref="H1244:H1307" si="139">_xlfn.TEXTBEFORE(_xlfn.TEXTAFTER(D1244,"-",4),"-")</f>
        <v>MAN</v>
      </c>
      <c r="I1244" s="7" t="str">
        <f t="shared" ref="I1244:I1307" si="140">_xlfn.TEXTBEFORE(_xlfn.TEXTAFTER(D1244,"-",5),"-")</f>
        <v>CHA</v>
      </c>
      <c r="J1244" s="7" t="str">
        <f t="shared" ref="J1244:J1307" si="141">_xlfn.TEXTBEFORE(_xlfn.TEXTAFTER(D1244,"-",6),"-")</f>
        <v>BLK</v>
      </c>
      <c r="K1244" s="7" t="str">
        <f t="shared" ref="K1244:K1307" si="142">_xlfn.TEXTAFTER(D1244,"-",7)</f>
        <v>XXL</v>
      </c>
      <c r="L1244" s="7" t="s">
        <v>1995</v>
      </c>
      <c r="M1244" s="7" t="s">
        <v>4468</v>
      </c>
      <c r="N1244" s="7">
        <f>_xlfn.XLOOKUP(A1244,[1]SKU!$A:$A,[1]SKU!$Z:$Z)</f>
        <v>1090000</v>
      </c>
    </row>
    <row r="1245" spans="1:14">
      <c r="A1245" s="1" t="s">
        <v>6016</v>
      </c>
      <c r="B1245" s="2" t="s">
        <v>4472</v>
      </c>
      <c r="C1245" s="2" t="s">
        <v>6017</v>
      </c>
      <c r="D1245" s="2" t="s">
        <v>6018</v>
      </c>
      <c r="E1245" s="7" t="str">
        <f t="shared" si="136"/>
        <v>LAN</v>
      </c>
      <c r="F1245" s="7" t="str">
        <f t="shared" si="137"/>
        <v>UNI</v>
      </c>
      <c r="G1245" s="7" t="str">
        <f t="shared" si="138"/>
        <v>HWR</v>
      </c>
      <c r="H1245" s="7" t="str">
        <f t="shared" si="139"/>
        <v>SC1</v>
      </c>
      <c r="I1245" s="7" t="str">
        <f t="shared" si="140"/>
        <v>HBT</v>
      </c>
      <c r="J1245" s="7" t="str">
        <f t="shared" si="141"/>
        <v>ORA</v>
      </c>
      <c r="K1245" s="7" t="str">
        <f t="shared" si="142"/>
        <v>90x90</v>
      </c>
      <c r="L1245" s="7">
        <v>0</v>
      </c>
      <c r="M1245" s="7" t="s">
        <v>2609</v>
      </c>
      <c r="N1245" s="7">
        <f>_xlfn.XLOOKUP(A1245,[1]SKU!$A:$A,[1]SKU!$Z:$Z)</f>
        <v>849000</v>
      </c>
    </row>
    <row r="1246" spans="1:14">
      <c r="A1246" s="1" t="s">
        <v>1534</v>
      </c>
      <c r="B1246" s="2" t="s">
        <v>3</v>
      </c>
      <c r="C1246" s="2" t="s">
        <v>412</v>
      </c>
      <c r="D1246" s="2" t="s">
        <v>1535</v>
      </c>
      <c r="E1246" s="7" t="str">
        <f t="shared" si="136"/>
        <v>GCV</v>
      </c>
      <c r="F1246" s="7" t="str">
        <f t="shared" si="137"/>
        <v>WOM</v>
      </c>
      <c r="G1246" s="7" t="str">
        <f t="shared" si="138"/>
        <v>BLB</v>
      </c>
      <c r="H1246" s="7" t="str">
        <f t="shared" si="139"/>
        <v>ONE</v>
      </c>
      <c r="I1246" s="7" t="str">
        <f t="shared" si="140"/>
        <v>MWY</v>
      </c>
      <c r="J1246" s="7" t="str">
        <f t="shared" si="141"/>
        <v>WHI</v>
      </c>
      <c r="K1246" s="7" t="str">
        <f t="shared" si="142"/>
        <v>XL</v>
      </c>
      <c r="L1246" s="7" t="s">
        <v>2284</v>
      </c>
      <c r="M1246" s="7" t="s">
        <v>4465</v>
      </c>
      <c r="N1246" s="7">
        <f>_xlfn.XLOOKUP(A1246,[1]SKU!$A:$A,[1]SKU!$Z:$Z)</f>
        <v>1190000</v>
      </c>
    </row>
    <row r="1247" spans="1:14">
      <c r="A1247" s="1" t="s">
        <v>1536</v>
      </c>
      <c r="B1247" s="2" t="s">
        <v>3</v>
      </c>
      <c r="C1247" s="2" t="s">
        <v>92</v>
      </c>
      <c r="D1247" s="2" t="s">
        <v>1537</v>
      </c>
      <c r="E1247" s="7" t="str">
        <f t="shared" si="136"/>
        <v>GBA</v>
      </c>
      <c r="F1247" s="7" t="str">
        <f t="shared" si="137"/>
        <v>MEN</v>
      </c>
      <c r="G1247" s="7" t="str">
        <f t="shared" si="138"/>
        <v>TSS</v>
      </c>
      <c r="H1247" s="7" t="str">
        <f t="shared" si="139"/>
        <v>ONE</v>
      </c>
      <c r="I1247" s="7" t="str">
        <f t="shared" si="140"/>
        <v>SVR</v>
      </c>
      <c r="J1247" s="7" t="str">
        <f t="shared" si="141"/>
        <v>WHI</v>
      </c>
      <c r="K1247" s="7" t="str">
        <f t="shared" si="142"/>
        <v>M</v>
      </c>
      <c r="L1247" s="7" t="s">
        <v>2018</v>
      </c>
      <c r="M1247" s="7" t="s">
        <v>4462</v>
      </c>
      <c r="N1247" s="7">
        <f>_xlfn.XLOOKUP(A1247,[1]SKU!$A:$A,[1]SKU!$Z:$Z)</f>
        <v>890000</v>
      </c>
    </row>
    <row r="1248" spans="1:14">
      <c r="A1248" s="1" t="s">
        <v>6019</v>
      </c>
      <c r="B1248" s="2" t="s">
        <v>4472</v>
      </c>
      <c r="C1248" s="2" t="s">
        <v>468</v>
      </c>
      <c r="D1248" s="2" t="s">
        <v>6020</v>
      </c>
      <c r="E1248" s="7" t="str">
        <f t="shared" si="136"/>
        <v>DSP</v>
      </c>
      <c r="F1248" s="7" t="str">
        <f t="shared" si="137"/>
        <v>UNI</v>
      </c>
      <c r="G1248" s="7" t="str">
        <f t="shared" si="138"/>
        <v>FWR</v>
      </c>
      <c r="H1248" s="7" t="str">
        <f t="shared" si="139"/>
        <v>LES</v>
      </c>
      <c r="I1248" s="7" t="str">
        <f t="shared" si="140"/>
        <v>BYR</v>
      </c>
      <c r="J1248" s="7" t="str">
        <f t="shared" si="141"/>
        <v>BLK</v>
      </c>
      <c r="K1248" s="7" t="str">
        <f t="shared" si="142"/>
        <v>37</v>
      </c>
      <c r="L1248" s="7">
        <v>0</v>
      </c>
      <c r="M1248" s="7" t="s">
        <v>2609</v>
      </c>
      <c r="N1248" s="7">
        <f>_xlfn.XLOOKUP(A1248,[1]SKU!$A:$A,[1]SKU!$Z:$Z)</f>
        <v>8250000</v>
      </c>
    </row>
    <row r="1249" spans="1:14">
      <c r="A1249" s="1" t="s">
        <v>6021</v>
      </c>
      <c r="B1249" s="2" t="s">
        <v>4472</v>
      </c>
      <c r="C1249" s="2" t="s">
        <v>6022</v>
      </c>
      <c r="D1249" s="2" t="s">
        <v>6023</v>
      </c>
      <c r="E1249" s="7" t="str">
        <f t="shared" si="136"/>
        <v>EDE</v>
      </c>
      <c r="F1249" s="7" t="str">
        <f t="shared" si="137"/>
        <v>UNI</v>
      </c>
      <c r="G1249" s="7" t="str">
        <f t="shared" si="138"/>
        <v>BAG</v>
      </c>
      <c r="H1249" s="7" t="str">
        <f t="shared" si="139"/>
        <v>CLU</v>
      </c>
      <c r="I1249" s="7" t="str">
        <f t="shared" si="140"/>
        <v>BIG</v>
      </c>
      <c r="J1249" s="7" t="str">
        <f t="shared" si="141"/>
        <v>MIX</v>
      </c>
      <c r="K1249" s="7" t="str">
        <f t="shared" si="142"/>
        <v>L</v>
      </c>
      <c r="L1249" s="7">
        <v>0</v>
      </c>
      <c r="M1249" s="7" t="s">
        <v>2609</v>
      </c>
      <c r="N1249" s="7">
        <f>_xlfn.XLOOKUP(A1249,[1]SKU!$A:$A,[1]SKU!$Z:$Z)</f>
        <v>395000</v>
      </c>
    </row>
    <row r="1250" spans="1:14">
      <c r="A1250" s="1" t="s">
        <v>6024</v>
      </c>
      <c r="B1250" s="2" t="s">
        <v>4472</v>
      </c>
      <c r="C1250" s="2" t="s">
        <v>282</v>
      </c>
      <c r="D1250" s="2" t="s">
        <v>6025</v>
      </c>
      <c r="E1250" s="7" t="str">
        <f t="shared" si="136"/>
        <v>PSD</v>
      </c>
      <c r="F1250" s="7" t="str">
        <f t="shared" si="137"/>
        <v>UNI</v>
      </c>
      <c r="G1250" s="7" t="str">
        <f t="shared" si="138"/>
        <v>SOU</v>
      </c>
      <c r="H1250" s="7" t="str">
        <f t="shared" si="139"/>
        <v>DEC</v>
      </c>
      <c r="I1250" s="7" t="str">
        <f t="shared" si="140"/>
        <v>BCB</v>
      </c>
      <c r="J1250" s="7" t="str">
        <f t="shared" si="141"/>
        <v>BRO</v>
      </c>
      <c r="K1250" s="7" t="str">
        <f t="shared" si="142"/>
        <v>40</v>
      </c>
      <c r="L1250" s="7">
        <v>0</v>
      </c>
      <c r="M1250" s="7" t="s">
        <v>2609</v>
      </c>
      <c r="N1250" s="7">
        <f>_xlfn.XLOOKUP(A1250,[1]SKU!$A:$A,[1]SKU!$Z:$Z)</f>
        <v>1850000</v>
      </c>
    </row>
    <row r="1251" spans="1:14">
      <c r="A1251" s="1" t="s">
        <v>1538</v>
      </c>
      <c r="B1251" s="2" t="s">
        <v>3</v>
      </c>
      <c r="C1251" s="2" t="s">
        <v>300</v>
      </c>
      <c r="D1251" s="2" t="s">
        <v>1539</v>
      </c>
      <c r="E1251" s="7" t="str">
        <f t="shared" si="136"/>
        <v>GSL</v>
      </c>
      <c r="F1251" s="7" t="str">
        <f t="shared" si="137"/>
        <v>KID</v>
      </c>
      <c r="G1251" s="7" t="str">
        <f t="shared" si="138"/>
        <v>TSS</v>
      </c>
      <c r="H1251" s="7" t="str">
        <f t="shared" si="139"/>
        <v>ONE</v>
      </c>
      <c r="I1251" s="7" t="str">
        <f t="shared" si="140"/>
        <v>SMP</v>
      </c>
      <c r="J1251" s="7" t="str">
        <f t="shared" si="141"/>
        <v>WHI</v>
      </c>
      <c r="K1251" s="7" t="str">
        <f t="shared" si="142"/>
        <v>10</v>
      </c>
      <c r="L1251" s="7" t="s">
        <v>2018</v>
      </c>
      <c r="M1251" s="7" t="s">
        <v>4462</v>
      </c>
      <c r="N1251" s="7">
        <f>_xlfn.XLOOKUP(A1251,[1]SKU!$A:$A,[1]SKU!$Z:$Z)</f>
        <v>550000</v>
      </c>
    </row>
    <row r="1252" spans="1:14">
      <c r="A1252" s="1" t="s">
        <v>6026</v>
      </c>
      <c r="B1252" s="2" t="s">
        <v>4472</v>
      </c>
      <c r="C1252" s="2" t="s">
        <v>924</v>
      </c>
      <c r="D1252" s="2" t="s">
        <v>6027</v>
      </c>
      <c r="E1252" s="7" t="str">
        <f t="shared" si="136"/>
        <v>DSP</v>
      </c>
      <c r="F1252" s="7" t="str">
        <f t="shared" si="137"/>
        <v>UNI</v>
      </c>
      <c r="G1252" s="7" t="str">
        <f t="shared" si="138"/>
        <v>BAG</v>
      </c>
      <c r="H1252" s="7" t="str">
        <f t="shared" si="139"/>
        <v>HDB</v>
      </c>
      <c r="I1252" s="7" t="str">
        <f t="shared" si="140"/>
        <v>SH1</v>
      </c>
      <c r="J1252" s="7" t="str">
        <f t="shared" si="141"/>
        <v>BLU</v>
      </c>
      <c r="K1252" s="7" t="str">
        <f t="shared" si="142"/>
        <v>0</v>
      </c>
      <c r="L1252" s="7">
        <v>0</v>
      </c>
      <c r="M1252" s="7" t="s">
        <v>2609</v>
      </c>
      <c r="N1252" s="7">
        <f>_xlfn.XLOOKUP(A1252,[1]SKU!$A:$A,[1]SKU!$Z:$Z)</f>
        <v>4650000</v>
      </c>
    </row>
    <row r="1253" spans="1:14">
      <c r="A1253" s="1" t="s">
        <v>1540</v>
      </c>
      <c r="B1253" s="2" t="s">
        <v>19</v>
      </c>
      <c r="C1253" s="2" t="s">
        <v>33</v>
      </c>
      <c r="D1253" s="2" t="s">
        <v>1541</v>
      </c>
      <c r="E1253" s="7" t="str">
        <f t="shared" si="136"/>
        <v>OTH</v>
      </c>
      <c r="F1253" s="7" t="str">
        <f t="shared" si="137"/>
        <v>UNI</v>
      </c>
      <c r="G1253" s="7" t="str">
        <f t="shared" si="138"/>
        <v>FWR</v>
      </c>
      <c r="H1253" s="7" t="str">
        <f t="shared" si="139"/>
        <v>SLI</v>
      </c>
      <c r="I1253" s="7" t="str">
        <f t="shared" si="140"/>
        <v>VTM</v>
      </c>
      <c r="J1253" s="7" t="str">
        <f t="shared" si="141"/>
        <v>BLK</v>
      </c>
      <c r="K1253" s="7" t="str">
        <f t="shared" si="142"/>
        <v>36</v>
      </c>
      <c r="L1253" s="7">
        <v>0</v>
      </c>
      <c r="M1253" s="7" t="s">
        <v>2609</v>
      </c>
      <c r="N1253" s="7">
        <f>_xlfn.XLOOKUP(A1253,[1]SKU!$A:$A,[1]SKU!$Z:$Z)</f>
        <v>395000</v>
      </c>
    </row>
    <row r="1254" spans="1:14">
      <c r="A1254" s="1" t="s">
        <v>6028</v>
      </c>
      <c r="B1254" s="2" t="s">
        <v>4472</v>
      </c>
      <c r="C1254" s="2" t="s">
        <v>6029</v>
      </c>
      <c r="D1254" s="2" t="s">
        <v>6030</v>
      </c>
      <c r="E1254" s="7" t="str">
        <f t="shared" si="136"/>
        <v>DSP</v>
      </c>
      <c r="F1254" s="7" t="str">
        <f t="shared" si="137"/>
        <v>UNI</v>
      </c>
      <c r="G1254" s="7" t="str">
        <f t="shared" si="138"/>
        <v>BAG</v>
      </c>
      <c r="H1254" s="7" t="str">
        <f t="shared" si="139"/>
        <v>HDB</v>
      </c>
      <c r="I1254" s="7" t="str">
        <f t="shared" si="140"/>
        <v>HDB</v>
      </c>
      <c r="J1254" s="7" t="str">
        <f t="shared" si="141"/>
        <v>CAM</v>
      </c>
      <c r="K1254" s="7" t="str">
        <f t="shared" si="142"/>
        <v>0</v>
      </c>
      <c r="L1254" s="7">
        <v>0</v>
      </c>
      <c r="M1254" s="7" t="s">
        <v>2609</v>
      </c>
      <c r="N1254" s="7">
        <f>_xlfn.XLOOKUP(A1254,[1]SKU!$A:$A,[1]SKU!$Z:$Z)</f>
        <v>5100000</v>
      </c>
    </row>
    <row r="1255" spans="1:14">
      <c r="A1255" s="1" t="s">
        <v>1542</v>
      </c>
      <c r="B1255" s="2" t="s">
        <v>3</v>
      </c>
      <c r="C1255" s="2" t="s">
        <v>33</v>
      </c>
      <c r="D1255" s="2" t="s">
        <v>1543</v>
      </c>
      <c r="E1255" s="7" t="str">
        <f t="shared" si="136"/>
        <v>GBA</v>
      </c>
      <c r="F1255" s="7" t="str">
        <f t="shared" si="137"/>
        <v>MEN</v>
      </c>
      <c r="G1255" s="7" t="str">
        <f t="shared" si="138"/>
        <v>TSS</v>
      </c>
      <c r="H1255" s="7" t="str">
        <f t="shared" si="139"/>
        <v>ONE</v>
      </c>
      <c r="I1255" s="7" t="str">
        <f t="shared" si="140"/>
        <v>VTM</v>
      </c>
      <c r="J1255" s="7" t="str">
        <f t="shared" si="141"/>
        <v>GRE</v>
      </c>
      <c r="K1255" s="7" t="str">
        <f t="shared" si="142"/>
        <v>XL</v>
      </c>
      <c r="L1255" s="7" t="s">
        <v>2018</v>
      </c>
      <c r="M1255" s="7" t="s">
        <v>4462</v>
      </c>
      <c r="N1255" s="7">
        <f>_xlfn.XLOOKUP(A1255,[1]SKU!$A:$A,[1]SKU!$Z:$Z)</f>
        <v>710000</v>
      </c>
    </row>
    <row r="1256" spans="1:14">
      <c r="A1256" s="1" t="s">
        <v>6031</v>
      </c>
      <c r="B1256" s="2" t="s">
        <v>4472</v>
      </c>
      <c r="C1256" s="2" t="s">
        <v>6032</v>
      </c>
      <c r="D1256" s="2" t="s">
        <v>6033</v>
      </c>
      <c r="E1256" s="7" t="str">
        <f t="shared" si="136"/>
        <v>TOH</v>
      </c>
      <c r="F1256" s="7" t="str">
        <f t="shared" si="137"/>
        <v>UNI</v>
      </c>
      <c r="G1256" s="7" t="str">
        <f t="shared" si="138"/>
        <v>SOU</v>
      </c>
      <c r="H1256" s="7" t="str">
        <f t="shared" si="139"/>
        <v>LUG</v>
      </c>
      <c r="I1256" s="7" t="str">
        <f t="shared" si="140"/>
        <v>ATG</v>
      </c>
      <c r="J1256" s="7" t="str">
        <f t="shared" si="141"/>
        <v>MIX</v>
      </c>
      <c r="K1256" s="7" t="str">
        <f t="shared" si="142"/>
        <v>0</v>
      </c>
      <c r="L1256" s="7">
        <v>0</v>
      </c>
      <c r="M1256" s="7" t="s">
        <v>2609</v>
      </c>
      <c r="N1256" s="7">
        <f>_xlfn.XLOOKUP(A1256,[1]SKU!$A:$A,[1]SKU!$Z:$Z)</f>
        <v>90000</v>
      </c>
    </row>
    <row r="1257" spans="1:14">
      <c r="A1257" s="1" t="s">
        <v>6034</v>
      </c>
      <c r="B1257" s="2" t="s">
        <v>4472</v>
      </c>
      <c r="C1257" s="2" t="s">
        <v>467</v>
      </c>
      <c r="D1257" s="2" t="s">
        <v>6035</v>
      </c>
      <c r="E1257" s="7" t="str">
        <f t="shared" si="136"/>
        <v>DSP</v>
      </c>
      <c r="F1257" s="7" t="str">
        <f t="shared" si="137"/>
        <v>UNI</v>
      </c>
      <c r="G1257" s="7" t="str">
        <f t="shared" si="138"/>
        <v>FWR</v>
      </c>
      <c r="H1257" s="7" t="str">
        <f t="shared" si="139"/>
        <v>LES</v>
      </c>
      <c r="I1257" s="7" t="str">
        <f t="shared" si="140"/>
        <v>DRI</v>
      </c>
      <c r="J1257" s="7" t="str">
        <f t="shared" si="141"/>
        <v>RED</v>
      </c>
      <c r="K1257" s="7" t="str">
        <f t="shared" si="142"/>
        <v>40</v>
      </c>
      <c r="L1257" s="7">
        <v>0</v>
      </c>
      <c r="M1257" s="7" t="s">
        <v>2609</v>
      </c>
      <c r="N1257" s="7">
        <f>_xlfn.XLOOKUP(A1257,[1]SKU!$A:$A,[1]SKU!$Z:$Z)</f>
        <v>6200000</v>
      </c>
    </row>
    <row r="1258" spans="1:14">
      <c r="A1258" s="1" t="s">
        <v>6036</v>
      </c>
      <c r="B1258" s="2" t="s">
        <v>4472</v>
      </c>
      <c r="C1258" s="2" t="s">
        <v>6037</v>
      </c>
      <c r="D1258" s="2" t="s">
        <v>6038</v>
      </c>
      <c r="E1258" s="7" t="str">
        <f t="shared" si="136"/>
        <v>EDE</v>
      </c>
      <c r="F1258" s="7" t="str">
        <f t="shared" si="137"/>
        <v>UNI</v>
      </c>
      <c r="G1258" s="7" t="str">
        <f t="shared" si="138"/>
        <v>BAG</v>
      </c>
      <c r="H1258" s="7" t="str">
        <f t="shared" si="139"/>
        <v>TTB</v>
      </c>
      <c r="I1258" s="7" t="str">
        <f t="shared" si="140"/>
        <v>HUE</v>
      </c>
      <c r="J1258" s="7" t="str">
        <f t="shared" si="141"/>
        <v>RED</v>
      </c>
      <c r="K1258" s="7" t="str">
        <f t="shared" si="142"/>
        <v>0</v>
      </c>
      <c r="L1258" s="7">
        <v>0</v>
      </c>
      <c r="M1258" s="7" t="s">
        <v>2609</v>
      </c>
      <c r="N1258" s="7">
        <f>_xlfn.XLOOKUP(A1258,[1]SKU!$A:$A,[1]SKU!$Z:$Z)</f>
        <v>470000</v>
      </c>
    </row>
    <row r="1259" spans="1:14">
      <c r="A1259" s="1" t="s">
        <v>6039</v>
      </c>
      <c r="B1259" s="2" t="s">
        <v>4472</v>
      </c>
      <c r="C1259" s="2" t="s">
        <v>6040</v>
      </c>
      <c r="D1259" s="2" t="s">
        <v>6041</v>
      </c>
      <c r="E1259" s="7" t="str">
        <f t="shared" si="136"/>
        <v>EDE</v>
      </c>
      <c r="F1259" s="7" t="str">
        <f t="shared" si="137"/>
        <v>UNI</v>
      </c>
      <c r="G1259" s="7" t="str">
        <f t="shared" si="138"/>
        <v>HDR</v>
      </c>
      <c r="H1259" s="7" t="str">
        <f t="shared" si="139"/>
        <v>CUS</v>
      </c>
      <c r="I1259" s="7" t="str">
        <f t="shared" si="140"/>
        <v>XUA</v>
      </c>
      <c r="J1259" s="7" t="str">
        <f t="shared" si="141"/>
        <v>GRE</v>
      </c>
      <c r="K1259" s="7" t="str">
        <f t="shared" si="142"/>
        <v>0</v>
      </c>
      <c r="L1259" s="7">
        <v>0</v>
      </c>
      <c r="M1259" s="7" t="s">
        <v>2609</v>
      </c>
      <c r="N1259" s="7">
        <f>_xlfn.XLOOKUP(A1259,[1]SKU!$A:$A,[1]SKU!$Z:$Z)</f>
        <v>480000</v>
      </c>
    </row>
    <row r="1260" spans="1:14">
      <c r="A1260" s="1" t="s">
        <v>6042</v>
      </c>
      <c r="B1260" s="2" t="s">
        <v>4472</v>
      </c>
      <c r="C1260" s="2" t="s">
        <v>99</v>
      </c>
      <c r="D1260" s="2" t="s">
        <v>6043</v>
      </c>
      <c r="E1260" s="7" t="str">
        <f t="shared" si="136"/>
        <v>DSP</v>
      </c>
      <c r="F1260" s="7" t="str">
        <f t="shared" si="137"/>
        <v>UNI</v>
      </c>
      <c r="G1260" s="7" t="str">
        <f t="shared" si="138"/>
        <v>FWR</v>
      </c>
      <c r="H1260" s="7" t="str">
        <f t="shared" si="139"/>
        <v>LES</v>
      </c>
      <c r="I1260" s="7" t="str">
        <f t="shared" si="140"/>
        <v>PHD</v>
      </c>
      <c r="J1260" s="7" t="str">
        <f t="shared" si="141"/>
        <v>TAN</v>
      </c>
      <c r="K1260" s="7" t="str">
        <f t="shared" si="142"/>
        <v>40</v>
      </c>
      <c r="L1260" s="7">
        <v>0</v>
      </c>
      <c r="M1260" s="7" t="s">
        <v>2609</v>
      </c>
      <c r="N1260" s="7">
        <f>_xlfn.XLOOKUP(A1260,[1]SKU!$A:$A,[1]SKU!$Z:$Z)</f>
        <v>7500000</v>
      </c>
    </row>
    <row r="1261" spans="1:14">
      <c r="A1261" s="1" t="s">
        <v>1544</v>
      </c>
      <c r="B1261" s="2" t="s">
        <v>19</v>
      </c>
      <c r="C1261" s="2" t="s">
        <v>268</v>
      </c>
      <c r="D1261" s="2" t="s">
        <v>1545</v>
      </c>
      <c r="E1261" s="7" t="str">
        <f t="shared" si="136"/>
        <v>OTH</v>
      </c>
      <c r="F1261" s="7" t="str">
        <f t="shared" si="137"/>
        <v>UNI</v>
      </c>
      <c r="G1261" s="7" t="str">
        <f t="shared" si="138"/>
        <v>FWR</v>
      </c>
      <c r="H1261" s="7" t="str">
        <f t="shared" si="139"/>
        <v>SLI</v>
      </c>
      <c r="I1261" s="7" t="str">
        <f t="shared" si="140"/>
        <v>SSY</v>
      </c>
      <c r="J1261" s="7" t="str">
        <f t="shared" si="141"/>
        <v>BLU</v>
      </c>
      <c r="K1261" s="7" t="str">
        <f t="shared" si="142"/>
        <v>36</v>
      </c>
      <c r="L1261" s="7">
        <v>0</v>
      </c>
      <c r="M1261" s="7" t="s">
        <v>2609</v>
      </c>
      <c r="N1261" s="7">
        <f>_xlfn.XLOOKUP(A1261,[1]SKU!$A:$A,[1]SKU!$Z:$Z)</f>
        <v>395000</v>
      </c>
    </row>
    <row r="1262" spans="1:14">
      <c r="A1262" s="1" t="s">
        <v>6044</v>
      </c>
      <c r="B1262" s="2" t="s">
        <v>4472</v>
      </c>
      <c r="C1262" s="2" t="s">
        <v>6045</v>
      </c>
      <c r="D1262" s="2" t="s">
        <v>6046</v>
      </c>
      <c r="E1262" s="7" t="str">
        <f t="shared" si="136"/>
        <v>LAN</v>
      </c>
      <c r="F1262" s="7" t="str">
        <f t="shared" si="137"/>
        <v>UNI</v>
      </c>
      <c r="G1262" s="7" t="str">
        <f t="shared" si="138"/>
        <v>HWR</v>
      </c>
      <c r="H1262" s="7" t="str">
        <f t="shared" si="139"/>
        <v>SC2</v>
      </c>
      <c r="I1262" s="7" t="str">
        <f t="shared" si="140"/>
        <v>HXH</v>
      </c>
      <c r="J1262" s="7" t="str">
        <f t="shared" si="141"/>
        <v>BLU</v>
      </c>
      <c r="K1262" s="7" t="str">
        <f t="shared" si="142"/>
        <v>90x90</v>
      </c>
      <c r="L1262" s="7">
        <v>0</v>
      </c>
      <c r="M1262" s="7" t="s">
        <v>2609</v>
      </c>
      <c r="N1262" s="7">
        <f>_xlfn.XLOOKUP(A1262,[1]SKU!$A:$A,[1]SKU!$Z:$Z)</f>
        <v>989000</v>
      </c>
    </row>
    <row r="1263" spans="1:14">
      <c r="A1263" s="1" t="s">
        <v>6047</v>
      </c>
      <c r="B1263" s="2" t="s">
        <v>4472</v>
      </c>
      <c r="C1263" s="2" t="s">
        <v>1546</v>
      </c>
      <c r="D1263" s="2" t="s">
        <v>6048</v>
      </c>
      <c r="E1263" s="7" t="str">
        <f t="shared" si="136"/>
        <v>VNE</v>
      </c>
      <c r="F1263" s="7" t="str">
        <f t="shared" si="137"/>
        <v>UNI</v>
      </c>
      <c r="G1263" s="7" t="str">
        <f t="shared" si="138"/>
        <v>SOU</v>
      </c>
      <c r="H1263" s="7" t="str">
        <f t="shared" si="139"/>
        <v>SMS</v>
      </c>
      <c r="I1263" s="7" t="str">
        <f t="shared" si="140"/>
        <v>GYU</v>
      </c>
      <c r="J1263" s="7" t="str">
        <f t="shared" si="141"/>
        <v>SGR</v>
      </c>
      <c r="K1263" s="7" t="str">
        <f t="shared" si="142"/>
        <v>17CM</v>
      </c>
      <c r="L1263" s="7">
        <v>0</v>
      </c>
      <c r="M1263" s="7" t="s">
        <v>2609</v>
      </c>
      <c r="N1263" s="7">
        <f>_xlfn.XLOOKUP(A1263,[1]SKU!$A:$A,[1]SKU!$Z:$Z)</f>
        <v>6900000</v>
      </c>
    </row>
    <row r="1264" spans="1:14">
      <c r="A1264" s="1" t="s">
        <v>6049</v>
      </c>
      <c r="B1264" s="2" t="s">
        <v>4472</v>
      </c>
      <c r="C1264" s="2" t="s">
        <v>6050</v>
      </c>
      <c r="D1264" s="2" t="s">
        <v>6051</v>
      </c>
      <c r="E1264" s="7" t="str">
        <f t="shared" si="136"/>
        <v>HAM</v>
      </c>
      <c r="F1264" s="7" t="str">
        <f t="shared" si="137"/>
        <v>UNI</v>
      </c>
      <c r="G1264" s="7" t="str">
        <f t="shared" si="138"/>
        <v>JEW</v>
      </c>
      <c r="H1264" s="7" t="str">
        <f t="shared" si="139"/>
        <v>BRA</v>
      </c>
      <c r="I1264" s="7" t="str">
        <f t="shared" si="140"/>
        <v>BR3</v>
      </c>
      <c r="J1264" s="7" t="str">
        <f t="shared" si="141"/>
        <v>MIX</v>
      </c>
      <c r="K1264" s="7" t="str">
        <f t="shared" si="142"/>
        <v>0</v>
      </c>
      <c r="L1264" s="7">
        <v>0</v>
      </c>
      <c r="M1264" s="7" t="s">
        <v>2609</v>
      </c>
      <c r="N1264" s="7">
        <f>_xlfn.XLOOKUP(A1264,[1]SKU!$A:$A,[1]SKU!$Z:$Z)</f>
        <v>550000</v>
      </c>
    </row>
    <row r="1265" spans="1:14">
      <c r="A1265" s="1" t="s">
        <v>1548</v>
      </c>
      <c r="B1265" s="2" t="s">
        <v>3</v>
      </c>
      <c r="C1265" s="2" t="s">
        <v>33</v>
      </c>
      <c r="D1265" s="2" t="s">
        <v>1549</v>
      </c>
      <c r="E1265" s="7" t="str">
        <f t="shared" si="136"/>
        <v>GOR</v>
      </c>
      <c r="F1265" s="7" t="str">
        <f t="shared" si="137"/>
        <v>MEN</v>
      </c>
      <c r="G1265" s="7" t="str">
        <f t="shared" si="138"/>
        <v>TSS</v>
      </c>
      <c r="H1265" s="7" t="str">
        <f t="shared" si="139"/>
        <v>ONE</v>
      </c>
      <c r="I1265" s="7" t="str">
        <f t="shared" si="140"/>
        <v>VTM</v>
      </c>
      <c r="J1265" s="7" t="str">
        <f t="shared" si="141"/>
        <v>GRE</v>
      </c>
      <c r="K1265" s="7" t="str">
        <f t="shared" si="142"/>
        <v>XL</v>
      </c>
      <c r="L1265" s="7" t="s">
        <v>2018</v>
      </c>
      <c r="M1265" s="7" t="s">
        <v>4462</v>
      </c>
      <c r="N1265" s="7">
        <f>_xlfn.XLOOKUP(A1265,[1]SKU!$A:$A,[1]SKU!$Z:$Z)</f>
        <v>790000</v>
      </c>
    </row>
    <row r="1266" spans="1:14">
      <c r="A1266" s="1" t="s">
        <v>6052</v>
      </c>
      <c r="B1266" s="2" t="s">
        <v>4472</v>
      </c>
      <c r="C1266" s="2" t="s">
        <v>6053</v>
      </c>
      <c r="D1266" s="2" t="s">
        <v>6054</v>
      </c>
      <c r="E1266" s="7" t="str">
        <f t="shared" si="136"/>
        <v>TOH</v>
      </c>
      <c r="F1266" s="7" t="str">
        <f t="shared" si="137"/>
        <v>UNI</v>
      </c>
      <c r="G1266" s="7" t="str">
        <f t="shared" si="138"/>
        <v>BAG</v>
      </c>
      <c r="H1266" s="7" t="str">
        <f t="shared" si="139"/>
        <v>CRB</v>
      </c>
      <c r="I1266" s="7" t="str">
        <f t="shared" si="140"/>
        <v>ABT</v>
      </c>
      <c r="J1266" s="7" t="str">
        <f t="shared" si="141"/>
        <v>MIX</v>
      </c>
      <c r="K1266" s="7" t="str">
        <f t="shared" si="142"/>
        <v>S</v>
      </c>
      <c r="L1266" s="7">
        <v>0</v>
      </c>
      <c r="M1266" s="7" t="s">
        <v>2609</v>
      </c>
      <c r="N1266" s="7">
        <f>_xlfn.XLOOKUP(A1266,[1]SKU!$A:$A,[1]SKU!$Z:$Z)</f>
        <v>520000</v>
      </c>
    </row>
    <row r="1267" spans="1:14">
      <c r="A1267" s="1" t="s">
        <v>1550</v>
      </c>
      <c r="B1267" s="2" t="s">
        <v>3</v>
      </c>
      <c r="C1267" s="2" t="s">
        <v>92</v>
      </c>
      <c r="D1267" s="2" t="s">
        <v>1551</v>
      </c>
      <c r="E1267" s="7" t="str">
        <f t="shared" si="136"/>
        <v>GFI</v>
      </c>
      <c r="F1267" s="7" t="str">
        <f t="shared" si="137"/>
        <v>MEN</v>
      </c>
      <c r="G1267" s="7" t="str">
        <f t="shared" si="138"/>
        <v>HLS</v>
      </c>
      <c r="H1267" s="7" t="str">
        <f t="shared" si="139"/>
        <v>ONE</v>
      </c>
      <c r="I1267" s="7" t="str">
        <f t="shared" si="140"/>
        <v>SVR</v>
      </c>
      <c r="J1267" s="7" t="str">
        <f t="shared" si="141"/>
        <v>WHI</v>
      </c>
      <c r="K1267" s="7" t="str">
        <f t="shared" si="142"/>
        <v>L</v>
      </c>
      <c r="L1267" s="7" t="s">
        <v>2494</v>
      </c>
      <c r="M1267" s="7" t="s">
        <v>4466</v>
      </c>
      <c r="N1267" s="7">
        <f>_xlfn.XLOOKUP(A1267,[1]SKU!$A:$A,[1]SKU!$Z:$Z)</f>
        <v>1590000</v>
      </c>
    </row>
    <row r="1268" spans="1:14">
      <c r="A1268" s="1" t="s">
        <v>1552</v>
      </c>
      <c r="B1268" s="2" t="s">
        <v>3</v>
      </c>
      <c r="C1268" s="2" t="s">
        <v>233</v>
      </c>
      <c r="D1268" s="2" t="s">
        <v>1553</v>
      </c>
      <c r="E1268" s="7" t="str">
        <f t="shared" si="136"/>
        <v>GOR</v>
      </c>
      <c r="F1268" s="7" t="str">
        <f t="shared" si="137"/>
        <v>MEN</v>
      </c>
      <c r="G1268" s="7" t="str">
        <f t="shared" si="138"/>
        <v>TSS</v>
      </c>
      <c r="H1268" s="7" t="str">
        <f t="shared" si="139"/>
        <v>ONE</v>
      </c>
      <c r="I1268" s="7" t="str">
        <f t="shared" si="140"/>
        <v>SMR</v>
      </c>
      <c r="J1268" s="7" t="str">
        <f t="shared" si="141"/>
        <v>WHI</v>
      </c>
      <c r="K1268" s="7" t="str">
        <f t="shared" si="142"/>
        <v>S</v>
      </c>
      <c r="L1268" s="7" t="s">
        <v>2018</v>
      </c>
      <c r="M1268" s="7" t="s">
        <v>4462</v>
      </c>
      <c r="N1268" s="7">
        <f>_xlfn.XLOOKUP(A1268,[1]SKU!$A:$A,[1]SKU!$Z:$Z)</f>
        <v>790000</v>
      </c>
    </row>
    <row r="1269" spans="1:14">
      <c r="A1269" s="1" t="s">
        <v>1554</v>
      </c>
      <c r="B1269" s="2" t="s">
        <v>3</v>
      </c>
      <c r="C1269" s="2" t="s">
        <v>38</v>
      </c>
      <c r="D1269" s="2" t="s">
        <v>1555</v>
      </c>
      <c r="E1269" s="7" t="str">
        <f t="shared" si="136"/>
        <v>GPI</v>
      </c>
      <c r="F1269" s="7" t="str">
        <f t="shared" si="137"/>
        <v>MEN</v>
      </c>
      <c r="G1269" s="7" t="str">
        <f t="shared" si="138"/>
        <v>POL</v>
      </c>
      <c r="H1269" s="7" t="str">
        <f t="shared" si="139"/>
        <v>RIB</v>
      </c>
      <c r="I1269" s="7" t="str">
        <f t="shared" si="140"/>
        <v>LOG</v>
      </c>
      <c r="J1269" s="7" t="str">
        <f t="shared" si="141"/>
        <v>OLI</v>
      </c>
      <c r="K1269" s="7" t="str">
        <f t="shared" si="142"/>
        <v>S</v>
      </c>
      <c r="L1269" s="7" t="s">
        <v>1995</v>
      </c>
      <c r="M1269" s="7" t="s">
        <v>4468</v>
      </c>
      <c r="N1269" s="7">
        <f>_xlfn.XLOOKUP(A1269,[1]SKU!$A:$A,[1]SKU!$Z:$Z)</f>
        <v>1390000</v>
      </c>
    </row>
    <row r="1270" spans="1:14">
      <c r="A1270" s="1" t="s">
        <v>1556</v>
      </c>
      <c r="B1270" s="2" t="s">
        <v>3</v>
      </c>
      <c r="C1270" s="2" t="s">
        <v>26</v>
      </c>
      <c r="D1270" s="2" t="s">
        <v>1557</v>
      </c>
      <c r="E1270" s="7" t="str">
        <f t="shared" si="136"/>
        <v>GSL</v>
      </c>
      <c r="F1270" s="7" t="str">
        <f t="shared" si="137"/>
        <v>KID</v>
      </c>
      <c r="G1270" s="7" t="str">
        <f t="shared" si="138"/>
        <v>TSS</v>
      </c>
      <c r="H1270" s="7" t="str">
        <f t="shared" si="139"/>
        <v>ONE</v>
      </c>
      <c r="I1270" s="7" t="str">
        <f t="shared" si="140"/>
        <v>AUL</v>
      </c>
      <c r="J1270" s="7" t="str">
        <f t="shared" si="141"/>
        <v>WHI</v>
      </c>
      <c r="K1270" s="7" t="str">
        <f t="shared" si="142"/>
        <v>2</v>
      </c>
      <c r="L1270" s="7" t="s">
        <v>2018</v>
      </c>
      <c r="M1270" s="7" t="s">
        <v>4462</v>
      </c>
      <c r="N1270" s="7">
        <f>_xlfn.XLOOKUP(A1270,[1]SKU!$A:$A,[1]SKU!$Z:$Z)</f>
        <v>650000</v>
      </c>
    </row>
    <row r="1271" spans="1:14">
      <c r="A1271" s="1" t="s">
        <v>6055</v>
      </c>
      <c r="B1271" s="2" t="s">
        <v>4472</v>
      </c>
      <c r="C1271" s="2" t="s">
        <v>5637</v>
      </c>
      <c r="D1271" s="2" t="s">
        <v>6056</v>
      </c>
      <c r="E1271" s="7" t="str">
        <f t="shared" si="136"/>
        <v>HAM</v>
      </c>
      <c r="F1271" s="7" t="str">
        <f t="shared" si="137"/>
        <v>UNI</v>
      </c>
      <c r="G1271" s="7" t="str">
        <f t="shared" si="138"/>
        <v>JEW</v>
      </c>
      <c r="H1271" s="7" t="str">
        <f t="shared" si="139"/>
        <v>NEC</v>
      </c>
      <c r="I1271" s="7" t="str">
        <f t="shared" si="140"/>
        <v>129</v>
      </c>
      <c r="J1271" s="7" t="str">
        <f t="shared" si="141"/>
        <v>MIX</v>
      </c>
      <c r="K1271" s="7" t="str">
        <f t="shared" si="142"/>
        <v>0</v>
      </c>
      <c r="L1271" s="7">
        <v>0</v>
      </c>
      <c r="M1271" s="7" t="s">
        <v>2609</v>
      </c>
      <c r="N1271" s="7">
        <f>_xlfn.XLOOKUP(A1271,[1]SKU!$A:$A,[1]SKU!$Z:$Z)</f>
        <v>4200000</v>
      </c>
    </row>
    <row r="1272" spans="1:14">
      <c r="A1272" s="1" t="s">
        <v>6057</v>
      </c>
      <c r="B1272" s="2" t="s">
        <v>4472</v>
      </c>
      <c r="C1272" s="2" t="s">
        <v>4764</v>
      </c>
      <c r="D1272" s="2" t="s">
        <v>6058</v>
      </c>
      <c r="E1272" s="7" t="str">
        <f t="shared" si="136"/>
        <v>HAM</v>
      </c>
      <c r="F1272" s="7" t="str">
        <f t="shared" si="137"/>
        <v>UNI</v>
      </c>
      <c r="G1272" s="7" t="str">
        <f t="shared" si="138"/>
        <v>JEW</v>
      </c>
      <c r="H1272" s="7" t="str">
        <f t="shared" si="139"/>
        <v>NEC</v>
      </c>
      <c r="I1272" s="7" t="str">
        <f t="shared" si="140"/>
        <v>L35</v>
      </c>
      <c r="J1272" s="7" t="str">
        <f t="shared" si="141"/>
        <v>MIX</v>
      </c>
      <c r="K1272" s="7" t="str">
        <f t="shared" si="142"/>
        <v>0</v>
      </c>
      <c r="L1272" s="7">
        <v>0</v>
      </c>
      <c r="M1272" s="7" t="s">
        <v>2609</v>
      </c>
      <c r="N1272" s="7">
        <f>_xlfn.XLOOKUP(A1272,[1]SKU!$A:$A,[1]SKU!$Z:$Z)</f>
        <v>1800000</v>
      </c>
    </row>
    <row r="1273" spans="1:14">
      <c r="A1273" s="1" t="s">
        <v>6059</v>
      </c>
      <c r="B1273" s="2" t="s">
        <v>4472</v>
      </c>
      <c r="C1273" s="2" t="s">
        <v>6060</v>
      </c>
      <c r="D1273" s="2" t="s">
        <v>6061</v>
      </c>
      <c r="E1273" s="7" t="str">
        <f t="shared" si="136"/>
        <v>TOH</v>
      </c>
      <c r="F1273" s="7" t="str">
        <f t="shared" si="137"/>
        <v>UNI</v>
      </c>
      <c r="G1273" s="7" t="str">
        <f t="shared" si="138"/>
        <v>BAG</v>
      </c>
      <c r="H1273" s="7" t="str">
        <f t="shared" si="139"/>
        <v>DRB</v>
      </c>
      <c r="I1273" s="7" t="str">
        <f t="shared" si="140"/>
        <v>AB1</v>
      </c>
      <c r="J1273" s="7" t="str">
        <f t="shared" si="141"/>
        <v>MIX</v>
      </c>
      <c r="K1273" s="7" t="str">
        <f t="shared" si="142"/>
        <v>M</v>
      </c>
      <c r="L1273" s="7">
        <v>0</v>
      </c>
      <c r="M1273" s="7" t="s">
        <v>2609</v>
      </c>
      <c r="N1273" s="7">
        <f>_xlfn.XLOOKUP(A1273,[1]SKU!$A:$A,[1]SKU!$Z:$Z)</f>
        <v>395000</v>
      </c>
    </row>
    <row r="1274" spans="1:14">
      <c r="A1274" s="1" t="s">
        <v>1559</v>
      </c>
      <c r="B1274" s="2" t="s">
        <v>3</v>
      </c>
      <c r="C1274" s="2" t="s">
        <v>787</v>
      </c>
      <c r="D1274" s="2" t="s">
        <v>1560</v>
      </c>
      <c r="E1274" s="7" t="str">
        <f t="shared" si="136"/>
        <v>GOR</v>
      </c>
      <c r="F1274" s="7" t="str">
        <f t="shared" si="137"/>
        <v>MEN</v>
      </c>
      <c r="G1274" s="7" t="str">
        <f t="shared" si="138"/>
        <v>TSS</v>
      </c>
      <c r="H1274" s="7" t="str">
        <f t="shared" si="139"/>
        <v>ONE</v>
      </c>
      <c r="I1274" s="7" t="str">
        <f t="shared" si="140"/>
        <v>LLY</v>
      </c>
      <c r="J1274" s="7" t="str">
        <f t="shared" si="141"/>
        <v>BOR</v>
      </c>
      <c r="K1274" s="7" t="str">
        <f t="shared" si="142"/>
        <v>M</v>
      </c>
      <c r="L1274" s="7" t="s">
        <v>2018</v>
      </c>
      <c r="M1274" s="7" t="s">
        <v>4462</v>
      </c>
      <c r="N1274" s="7">
        <f>_xlfn.XLOOKUP(A1274,[1]SKU!$A:$A,[1]SKU!$Z:$Z)</f>
        <v>990000</v>
      </c>
    </row>
    <row r="1275" spans="1:14">
      <c r="A1275" s="1" t="s">
        <v>6062</v>
      </c>
      <c r="B1275" s="2" t="s">
        <v>4472</v>
      </c>
      <c r="C1275" s="2" t="s">
        <v>552</v>
      </c>
      <c r="D1275" s="2" t="s">
        <v>6063</v>
      </c>
      <c r="E1275" s="7" t="str">
        <f t="shared" si="136"/>
        <v>DSP</v>
      </c>
      <c r="F1275" s="7" t="str">
        <f t="shared" si="137"/>
        <v>UNI</v>
      </c>
      <c r="G1275" s="7" t="str">
        <f t="shared" si="138"/>
        <v>BAG</v>
      </c>
      <c r="H1275" s="7" t="str">
        <f t="shared" si="139"/>
        <v>WAL</v>
      </c>
      <c r="I1275" s="7" t="str">
        <f t="shared" si="140"/>
        <v>SEU</v>
      </c>
      <c r="J1275" s="7" t="str">
        <f t="shared" si="141"/>
        <v>CHO</v>
      </c>
      <c r="K1275" s="7" t="str">
        <f t="shared" si="142"/>
        <v>0</v>
      </c>
      <c r="L1275" s="7">
        <v>0</v>
      </c>
      <c r="M1275" s="7" t="s">
        <v>2609</v>
      </c>
      <c r="N1275" s="7">
        <f>_xlfn.XLOOKUP(A1275,[1]SKU!$A:$A,[1]SKU!$Z:$Z)</f>
        <v>2900000</v>
      </c>
    </row>
    <row r="1276" spans="1:14">
      <c r="A1276" s="1" t="s">
        <v>6064</v>
      </c>
      <c r="B1276" s="2" t="s">
        <v>4472</v>
      </c>
      <c r="C1276" s="2" t="s">
        <v>73</v>
      </c>
      <c r="D1276" s="2" t="s">
        <v>6063</v>
      </c>
      <c r="E1276" s="7" t="str">
        <f t="shared" si="136"/>
        <v>DSP</v>
      </c>
      <c r="F1276" s="7" t="str">
        <f t="shared" si="137"/>
        <v>UNI</v>
      </c>
      <c r="G1276" s="7" t="str">
        <f t="shared" si="138"/>
        <v>BAG</v>
      </c>
      <c r="H1276" s="7" t="str">
        <f t="shared" si="139"/>
        <v>WAL</v>
      </c>
      <c r="I1276" s="7" t="str">
        <f t="shared" si="140"/>
        <v>SEU</v>
      </c>
      <c r="J1276" s="7" t="str">
        <f t="shared" si="141"/>
        <v>CHO</v>
      </c>
      <c r="K1276" s="7" t="str">
        <f t="shared" si="142"/>
        <v>0</v>
      </c>
      <c r="L1276" s="7">
        <v>0</v>
      </c>
      <c r="M1276" s="7" t="s">
        <v>2609</v>
      </c>
      <c r="N1276" s="7">
        <f>_xlfn.XLOOKUP(A1276,[1]SKU!$A:$A,[1]SKU!$Z:$Z)</f>
        <v>2900000</v>
      </c>
    </row>
    <row r="1277" spans="1:14">
      <c r="A1277" s="1" t="s">
        <v>6065</v>
      </c>
      <c r="B1277" s="2" t="s">
        <v>4472</v>
      </c>
      <c r="C1277" s="2" t="s">
        <v>1561</v>
      </c>
      <c r="D1277" s="2" t="s">
        <v>6066</v>
      </c>
      <c r="E1277" s="7" t="str">
        <f t="shared" si="136"/>
        <v>LTN</v>
      </c>
      <c r="F1277" s="7" t="str">
        <f t="shared" si="137"/>
        <v>UNI</v>
      </c>
      <c r="G1277" s="7" t="str">
        <f t="shared" si="138"/>
        <v>FNB</v>
      </c>
      <c r="H1277" s="7" t="str">
        <f t="shared" si="139"/>
        <v>GIN</v>
      </c>
      <c r="I1277" s="7" t="str">
        <f t="shared" si="140"/>
        <v>MKG</v>
      </c>
      <c r="J1277" s="7" t="str">
        <f t="shared" si="141"/>
        <v>MIX</v>
      </c>
      <c r="K1277" s="7" t="str">
        <f t="shared" si="142"/>
        <v>0</v>
      </c>
      <c r="L1277" s="7">
        <v>0</v>
      </c>
      <c r="M1277" s="7" t="s">
        <v>2609</v>
      </c>
      <c r="N1277" s="7">
        <f>_xlfn.XLOOKUP(A1277,[1]SKU!$A:$A,[1]SKU!$Z:$Z)</f>
        <v>459000</v>
      </c>
    </row>
    <row r="1278" spans="1:14">
      <c r="A1278" s="1" t="s">
        <v>1562</v>
      </c>
      <c r="B1278" s="2" t="s">
        <v>3</v>
      </c>
      <c r="C1278" s="2" t="s">
        <v>383</v>
      </c>
      <c r="D1278" s="2" t="s">
        <v>1563</v>
      </c>
      <c r="E1278" s="7" t="str">
        <f t="shared" si="136"/>
        <v>GFI</v>
      </c>
      <c r="F1278" s="7" t="str">
        <f t="shared" si="137"/>
        <v>MEN</v>
      </c>
      <c r="G1278" s="7" t="str">
        <f t="shared" si="138"/>
        <v>SWL</v>
      </c>
      <c r="H1278" s="7" t="str">
        <f t="shared" si="139"/>
        <v>ONE</v>
      </c>
      <c r="I1278" s="7" t="str">
        <f t="shared" si="140"/>
        <v>HCT</v>
      </c>
      <c r="J1278" s="7" t="str">
        <f t="shared" si="141"/>
        <v>RED</v>
      </c>
      <c r="K1278" s="7" t="str">
        <f t="shared" si="142"/>
        <v>M</v>
      </c>
      <c r="L1278" s="7" t="s">
        <v>2581</v>
      </c>
      <c r="M1278" s="7" t="s">
        <v>4464</v>
      </c>
      <c r="N1278" s="7">
        <f>_xlfn.XLOOKUP(A1278,[1]SKU!$A:$A,[1]SKU!$Z:$Z)</f>
        <v>1290000</v>
      </c>
    </row>
    <row r="1279" spans="1:14">
      <c r="A1279" s="1" t="s">
        <v>1564</v>
      </c>
      <c r="B1279" s="2" t="s">
        <v>3</v>
      </c>
      <c r="C1279" s="2" t="s">
        <v>38</v>
      </c>
      <c r="D1279" s="2" t="s">
        <v>1565</v>
      </c>
      <c r="E1279" s="7" t="str">
        <f t="shared" si="136"/>
        <v>GLI</v>
      </c>
      <c r="F1279" s="7" t="str">
        <f t="shared" si="137"/>
        <v>MEN</v>
      </c>
      <c r="G1279" s="7" t="str">
        <f t="shared" si="138"/>
        <v>SIS</v>
      </c>
      <c r="H1279" s="7" t="str">
        <f t="shared" si="139"/>
        <v>MAN</v>
      </c>
      <c r="I1279" s="7" t="str">
        <f t="shared" si="140"/>
        <v>LOG</v>
      </c>
      <c r="J1279" s="7" t="str">
        <f t="shared" si="141"/>
        <v>WHI</v>
      </c>
      <c r="K1279" s="7" t="str">
        <f t="shared" si="142"/>
        <v>S</v>
      </c>
      <c r="L1279" s="7" t="s">
        <v>2211</v>
      </c>
      <c r="M1279" s="7" t="s">
        <v>4464</v>
      </c>
      <c r="N1279" s="7">
        <f>_xlfn.XLOOKUP(A1279,[1]SKU!$A:$A,[1]SKU!$Z:$Z)</f>
        <v>2790000</v>
      </c>
    </row>
    <row r="1280" spans="1:14">
      <c r="A1280" s="1" t="s">
        <v>6067</v>
      </c>
      <c r="B1280" s="2" t="s">
        <v>4481</v>
      </c>
      <c r="C1280" s="2" t="s">
        <v>1566</v>
      </c>
      <c r="D1280" s="2" t="s">
        <v>6068</v>
      </c>
      <c r="E1280" s="7" t="str">
        <f t="shared" si="136"/>
        <v>PAS</v>
      </c>
      <c r="F1280" s="7" t="str">
        <f t="shared" si="137"/>
        <v>UNI</v>
      </c>
      <c r="G1280" s="7" t="str">
        <f t="shared" si="138"/>
        <v>ART</v>
      </c>
      <c r="H1280" s="7" t="str">
        <f t="shared" si="139"/>
        <v>ART</v>
      </c>
      <c r="I1280" s="7" t="str">
        <f t="shared" si="140"/>
        <v>ATS</v>
      </c>
      <c r="J1280" s="7" t="str">
        <f t="shared" si="141"/>
        <v>MIX</v>
      </c>
      <c r="K1280" s="7" t="str">
        <f t="shared" si="142"/>
        <v>A1</v>
      </c>
      <c r="L1280" s="7">
        <v>0</v>
      </c>
      <c r="M1280" s="7" t="s">
        <v>2609</v>
      </c>
      <c r="N1280" s="7">
        <f>_xlfn.XLOOKUP(A1280,[1]SKU!$A:$A,[1]SKU!$Z:$Z)</f>
        <v>7500000</v>
      </c>
    </row>
    <row r="1281" spans="1:14">
      <c r="A1281" s="1" t="s">
        <v>6069</v>
      </c>
      <c r="B1281" s="2" t="s">
        <v>4472</v>
      </c>
      <c r="C1281" s="2" t="s">
        <v>6070</v>
      </c>
      <c r="D1281" s="2" t="s">
        <v>6071</v>
      </c>
      <c r="E1281" s="7" t="str">
        <f t="shared" si="136"/>
        <v>DSP</v>
      </c>
      <c r="F1281" s="7" t="str">
        <f t="shared" si="137"/>
        <v>UNI</v>
      </c>
      <c r="G1281" s="7" t="str">
        <f t="shared" si="138"/>
        <v>FWR</v>
      </c>
      <c r="H1281" s="7" t="str">
        <f t="shared" si="139"/>
        <v>LES</v>
      </c>
      <c r="I1281" s="7" t="str">
        <f t="shared" si="140"/>
        <v>WIL</v>
      </c>
      <c r="J1281" s="7" t="str">
        <f t="shared" si="141"/>
        <v>GPA</v>
      </c>
      <c r="K1281" s="7" t="str">
        <f t="shared" si="142"/>
        <v>44</v>
      </c>
      <c r="L1281" s="7">
        <v>0</v>
      </c>
      <c r="M1281" s="7" t="s">
        <v>2609</v>
      </c>
      <c r="N1281" s="7">
        <f>_xlfn.XLOOKUP(A1281,[1]SKU!$A:$A,[1]SKU!$Z:$Z)</f>
        <v>8250000</v>
      </c>
    </row>
    <row r="1282" spans="1:14">
      <c r="A1282" s="1" t="s">
        <v>1567</v>
      </c>
      <c r="B1282" s="2" t="s">
        <v>3</v>
      </c>
      <c r="C1282" s="2" t="s">
        <v>23</v>
      </c>
      <c r="D1282" s="2" t="s">
        <v>1568</v>
      </c>
      <c r="E1282" s="7" t="str">
        <f t="shared" ref="E1282:E1345" si="143">_xlfn.TEXTBEFORE(_xlfn.TEXTAFTER(D1282,"-"),"-")</f>
        <v>GSL</v>
      </c>
      <c r="F1282" s="7" t="str">
        <f t="shared" si="137"/>
        <v>MEN</v>
      </c>
      <c r="G1282" s="7" t="str">
        <f t="shared" si="138"/>
        <v>TTS</v>
      </c>
      <c r="H1282" s="7" t="str">
        <f t="shared" si="139"/>
        <v>ONE</v>
      </c>
      <c r="I1282" s="7" t="str">
        <f t="shared" si="140"/>
        <v>URB</v>
      </c>
      <c r="J1282" s="7" t="str">
        <f t="shared" si="141"/>
        <v>WHI</v>
      </c>
      <c r="K1282" s="7" t="str">
        <f t="shared" si="142"/>
        <v>XXL</v>
      </c>
      <c r="L1282" s="7" t="s">
        <v>2310</v>
      </c>
      <c r="M1282" s="7" t="s">
        <v>4469</v>
      </c>
      <c r="N1282" s="7">
        <f>_xlfn.XLOOKUP(A1282,[1]SKU!$A:$A,[1]SKU!$Z:$Z)</f>
        <v>750000</v>
      </c>
    </row>
    <row r="1283" spans="1:14">
      <c r="A1283" s="1" t="s">
        <v>6072</v>
      </c>
      <c r="B1283" s="2" t="s">
        <v>4472</v>
      </c>
      <c r="C1283" s="2" t="s">
        <v>4876</v>
      </c>
      <c r="D1283" s="2" t="s">
        <v>6073</v>
      </c>
      <c r="E1283" s="7" t="str">
        <f t="shared" si="143"/>
        <v>HAM</v>
      </c>
      <c r="F1283" s="7" t="str">
        <f t="shared" si="137"/>
        <v>UNI</v>
      </c>
      <c r="G1283" s="7" t="str">
        <f t="shared" si="138"/>
        <v>JEW</v>
      </c>
      <c r="H1283" s="7" t="str">
        <f t="shared" si="139"/>
        <v>NEC</v>
      </c>
      <c r="I1283" s="7" t="str">
        <f t="shared" si="140"/>
        <v>A47</v>
      </c>
      <c r="J1283" s="7" t="str">
        <f t="shared" si="141"/>
        <v>MIX</v>
      </c>
      <c r="K1283" s="7" t="str">
        <f t="shared" si="142"/>
        <v>0</v>
      </c>
      <c r="L1283" s="7">
        <v>0</v>
      </c>
      <c r="M1283" s="7" t="s">
        <v>2609</v>
      </c>
      <c r="N1283" s="7">
        <f>_xlfn.XLOOKUP(A1283,[1]SKU!$A:$A,[1]SKU!$Z:$Z)</f>
        <v>1800000</v>
      </c>
    </row>
    <row r="1284" spans="1:14">
      <c r="A1284" s="1" t="s">
        <v>6074</v>
      </c>
      <c r="B1284" s="2" t="s">
        <v>4472</v>
      </c>
      <c r="C1284" s="2" t="s">
        <v>6075</v>
      </c>
      <c r="D1284" s="2" t="s">
        <v>6076</v>
      </c>
      <c r="E1284" s="7" t="str">
        <f t="shared" si="143"/>
        <v>LAN</v>
      </c>
      <c r="F1284" s="7" t="str">
        <f t="shared" si="137"/>
        <v>UNI</v>
      </c>
      <c r="G1284" s="7" t="str">
        <f t="shared" si="138"/>
        <v>HWR</v>
      </c>
      <c r="H1284" s="7" t="str">
        <f t="shared" si="139"/>
        <v>SC2</v>
      </c>
      <c r="I1284" s="7" t="str">
        <f t="shared" si="140"/>
        <v>DDL</v>
      </c>
      <c r="J1284" s="7" t="str">
        <f t="shared" si="141"/>
        <v>BLU</v>
      </c>
      <c r="K1284" s="7" t="str">
        <f t="shared" si="142"/>
        <v>6x130</v>
      </c>
      <c r="L1284" s="7">
        <v>0</v>
      </c>
      <c r="M1284" s="7" t="s">
        <v>2609</v>
      </c>
      <c r="N1284" s="7">
        <f>_xlfn.XLOOKUP(A1284,[1]SKU!$A:$A,[1]SKU!$Z:$Z)</f>
        <v>365000</v>
      </c>
    </row>
    <row r="1285" spans="1:14">
      <c r="A1285" s="1" t="s">
        <v>6077</v>
      </c>
      <c r="B1285" s="2" t="s">
        <v>4472</v>
      </c>
      <c r="C1285" s="2" t="s">
        <v>6078</v>
      </c>
      <c r="D1285" s="2" t="s">
        <v>6079</v>
      </c>
      <c r="E1285" s="7" t="str">
        <f t="shared" si="143"/>
        <v>HAM</v>
      </c>
      <c r="F1285" s="7" t="str">
        <f t="shared" si="137"/>
        <v>UNI</v>
      </c>
      <c r="G1285" s="7" t="str">
        <f t="shared" si="138"/>
        <v>JEW</v>
      </c>
      <c r="H1285" s="7" t="str">
        <f t="shared" si="139"/>
        <v>BRA</v>
      </c>
      <c r="I1285" s="7" t="str">
        <f t="shared" si="140"/>
        <v>N18</v>
      </c>
      <c r="J1285" s="7" t="str">
        <f t="shared" si="141"/>
        <v>MIX</v>
      </c>
      <c r="K1285" s="7" t="str">
        <f t="shared" si="142"/>
        <v>0</v>
      </c>
      <c r="L1285" s="7">
        <v>0</v>
      </c>
      <c r="M1285" s="7" t="s">
        <v>2609</v>
      </c>
      <c r="N1285" s="7">
        <f>_xlfn.XLOOKUP(A1285,[1]SKU!$A:$A,[1]SKU!$Z:$Z)</f>
        <v>495000</v>
      </c>
    </row>
    <row r="1286" spans="1:14">
      <c r="A1286" s="1" t="s">
        <v>6080</v>
      </c>
      <c r="B1286" s="2" t="s">
        <v>4472</v>
      </c>
      <c r="C1286" s="2" t="s">
        <v>6081</v>
      </c>
      <c r="D1286" s="2" t="s">
        <v>6082</v>
      </c>
      <c r="E1286" s="7" t="str">
        <f t="shared" si="143"/>
        <v>LAN</v>
      </c>
      <c r="F1286" s="7" t="str">
        <f t="shared" si="137"/>
        <v>UNI</v>
      </c>
      <c r="G1286" s="7" t="str">
        <f t="shared" si="138"/>
        <v>HWR</v>
      </c>
      <c r="H1286" s="7" t="str">
        <f t="shared" si="139"/>
        <v>SC2</v>
      </c>
      <c r="I1286" s="7" t="str">
        <f t="shared" si="140"/>
        <v>MAC</v>
      </c>
      <c r="J1286" s="7" t="str">
        <f t="shared" si="141"/>
        <v>RED</v>
      </c>
      <c r="K1286" s="7" t="str">
        <f t="shared" si="142"/>
        <v>90x90</v>
      </c>
      <c r="L1286" s="7">
        <v>0</v>
      </c>
      <c r="M1286" s="7" t="s">
        <v>2609</v>
      </c>
      <c r="N1286" s="7">
        <f>_xlfn.XLOOKUP(A1286,[1]SKU!$A:$A,[1]SKU!$Z:$Z)</f>
        <v>989000</v>
      </c>
    </row>
    <row r="1287" spans="1:14">
      <c r="A1287" s="1" t="s">
        <v>6083</v>
      </c>
      <c r="B1287" s="2" t="s">
        <v>4472</v>
      </c>
      <c r="C1287" s="2" t="s">
        <v>1572</v>
      </c>
      <c r="D1287" s="2" t="s">
        <v>6084</v>
      </c>
      <c r="E1287" s="7" t="str">
        <f t="shared" si="143"/>
        <v>SHI</v>
      </c>
      <c r="F1287" s="7" t="str">
        <f t="shared" si="137"/>
        <v>UNI</v>
      </c>
      <c r="G1287" s="7" t="str">
        <f t="shared" si="138"/>
        <v>FNB</v>
      </c>
      <c r="H1287" s="7" t="str">
        <f t="shared" si="139"/>
        <v>CFP</v>
      </c>
      <c r="I1287" s="7" t="str">
        <f t="shared" si="140"/>
        <v>B12</v>
      </c>
      <c r="J1287" s="7" t="str">
        <f t="shared" si="141"/>
        <v>RED</v>
      </c>
      <c r="K1287" s="7" t="str">
        <f t="shared" si="142"/>
        <v>12oz</v>
      </c>
      <c r="L1287" s="7">
        <v>0</v>
      </c>
      <c r="M1287" s="7" t="s">
        <v>2609</v>
      </c>
      <c r="N1287" s="7">
        <f>_xlfn.XLOOKUP(A1287,[1]SKU!$A:$A,[1]SKU!$Z:$Z)</f>
        <v>200000</v>
      </c>
    </row>
    <row r="1288" spans="1:14">
      <c r="A1288" s="1" t="s">
        <v>1573</v>
      </c>
      <c r="B1288" s="2" t="s">
        <v>3</v>
      </c>
      <c r="C1288" s="2" t="s">
        <v>67</v>
      </c>
      <c r="D1288" s="2" t="s">
        <v>1574</v>
      </c>
      <c r="E1288" s="7" t="str">
        <f t="shared" si="143"/>
        <v>GOR</v>
      </c>
      <c r="F1288" s="7" t="str">
        <f t="shared" si="137"/>
        <v>WOM</v>
      </c>
      <c r="G1288" s="7" t="str">
        <f t="shared" si="138"/>
        <v>TTB</v>
      </c>
      <c r="H1288" s="7" t="str">
        <f t="shared" si="139"/>
        <v>BNE</v>
      </c>
      <c r="I1288" s="7" t="str">
        <f t="shared" si="140"/>
        <v>WOL</v>
      </c>
      <c r="J1288" s="7" t="str">
        <f t="shared" si="141"/>
        <v>GRE</v>
      </c>
      <c r="K1288" s="7" t="str">
        <f t="shared" si="142"/>
        <v>L</v>
      </c>
      <c r="L1288" s="7" t="s">
        <v>2326</v>
      </c>
      <c r="M1288" s="7" t="s">
        <v>4469</v>
      </c>
      <c r="N1288" s="7">
        <f>_xlfn.XLOOKUP(A1288,[1]SKU!$A:$A,[1]SKU!$Z:$Z)</f>
        <v>790000</v>
      </c>
    </row>
    <row r="1289" spans="1:14">
      <c r="A1289" s="1" t="s">
        <v>1575</v>
      </c>
      <c r="B1289" s="2" t="s">
        <v>3</v>
      </c>
      <c r="C1289" s="2" t="s">
        <v>33</v>
      </c>
      <c r="D1289" s="2" t="s">
        <v>1576</v>
      </c>
      <c r="E1289" s="7" t="str">
        <f t="shared" si="143"/>
        <v>GOR</v>
      </c>
      <c r="F1289" s="7" t="str">
        <f t="shared" si="137"/>
        <v>MEN</v>
      </c>
      <c r="G1289" s="7" t="str">
        <f t="shared" si="138"/>
        <v>TSS</v>
      </c>
      <c r="H1289" s="7" t="str">
        <f t="shared" si="139"/>
        <v>ONE</v>
      </c>
      <c r="I1289" s="7" t="str">
        <f t="shared" si="140"/>
        <v>VTM</v>
      </c>
      <c r="J1289" s="7" t="str">
        <f t="shared" si="141"/>
        <v>GRE</v>
      </c>
      <c r="K1289" s="7" t="str">
        <f t="shared" si="142"/>
        <v>L</v>
      </c>
      <c r="L1289" s="7" t="s">
        <v>2018</v>
      </c>
      <c r="M1289" s="7" t="s">
        <v>4462</v>
      </c>
      <c r="N1289" s="7">
        <f>_xlfn.XLOOKUP(A1289,[1]SKU!$A:$A,[1]SKU!$Z:$Z)</f>
        <v>790000</v>
      </c>
    </row>
    <row r="1290" spans="1:14">
      <c r="A1290" s="1" t="s">
        <v>6085</v>
      </c>
      <c r="B1290" s="2" t="s">
        <v>4472</v>
      </c>
      <c r="C1290" s="2" t="s">
        <v>1577</v>
      </c>
      <c r="D1290" s="2" t="s">
        <v>6086</v>
      </c>
      <c r="E1290" s="7" t="str">
        <f t="shared" si="143"/>
        <v>DI8</v>
      </c>
      <c r="F1290" s="7" t="str">
        <f t="shared" si="137"/>
        <v>UNI</v>
      </c>
      <c r="G1290" s="7" t="str">
        <f t="shared" si="138"/>
        <v>SOU</v>
      </c>
      <c r="H1290" s="7" t="str">
        <f t="shared" si="139"/>
        <v>GAM</v>
      </c>
      <c r="I1290" s="7" t="str">
        <f t="shared" si="140"/>
        <v>ICS</v>
      </c>
      <c r="J1290" s="7" t="str">
        <f t="shared" si="141"/>
        <v>MIX</v>
      </c>
      <c r="K1290" s="7" t="str">
        <f t="shared" si="142"/>
        <v>0</v>
      </c>
      <c r="L1290" s="7">
        <v>0</v>
      </c>
      <c r="M1290" s="7" t="s">
        <v>2609</v>
      </c>
      <c r="N1290" s="7">
        <f>_xlfn.XLOOKUP(A1290,[1]SKU!$A:$A,[1]SKU!$Z:$Z)</f>
        <v>29900000</v>
      </c>
    </row>
    <row r="1291" spans="1:14">
      <c r="A1291" s="1" t="s">
        <v>6087</v>
      </c>
      <c r="B1291" s="2" t="s">
        <v>4472</v>
      </c>
      <c r="C1291" s="2" t="s">
        <v>467</v>
      </c>
      <c r="D1291" s="2" t="s">
        <v>6088</v>
      </c>
      <c r="E1291" s="7" t="str">
        <f t="shared" si="143"/>
        <v>DSP</v>
      </c>
      <c r="F1291" s="7" t="str">
        <f t="shared" si="137"/>
        <v>UNI</v>
      </c>
      <c r="G1291" s="7" t="str">
        <f t="shared" si="138"/>
        <v>FWR</v>
      </c>
      <c r="H1291" s="7" t="str">
        <f t="shared" si="139"/>
        <v>LES</v>
      </c>
      <c r="I1291" s="7" t="str">
        <f t="shared" si="140"/>
        <v>DRI</v>
      </c>
      <c r="J1291" s="7" t="str">
        <f t="shared" si="141"/>
        <v>CHO</v>
      </c>
      <c r="K1291" s="7" t="str">
        <f t="shared" si="142"/>
        <v>39</v>
      </c>
      <c r="L1291" s="7">
        <v>0</v>
      </c>
      <c r="M1291" s="7" t="s">
        <v>2609</v>
      </c>
      <c r="N1291" s="7">
        <f>_xlfn.XLOOKUP(A1291,[1]SKU!$A:$A,[1]SKU!$Z:$Z)</f>
        <v>6200000</v>
      </c>
    </row>
    <row r="1292" spans="1:14">
      <c r="A1292" s="1" t="s">
        <v>6089</v>
      </c>
      <c r="B1292" s="2" t="s">
        <v>4472</v>
      </c>
      <c r="C1292" s="2" t="s">
        <v>438</v>
      </c>
      <c r="D1292" s="2" t="s">
        <v>6090</v>
      </c>
      <c r="E1292" s="7" t="str">
        <f t="shared" si="143"/>
        <v>DSP</v>
      </c>
      <c r="F1292" s="7" t="str">
        <f t="shared" si="137"/>
        <v>UNI</v>
      </c>
      <c r="G1292" s="7" t="str">
        <f t="shared" si="138"/>
        <v>HDR</v>
      </c>
      <c r="H1292" s="7" t="str">
        <f t="shared" si="139"/>
        <v>TRA</v>
      </c>
      <c r="I1292" s="7" t="str">
        <f t="shared" si="140"/>
        <v>DSP</v>
      </c>
      <c r="J1292" s="7" t="str">
        <f t="shared" si="141"/>
        <v>SLR</v>
      </c>
      <c r="K1292" s="7" t="str">
        <f t="shared" si="142"/>
        <v>0</v>
      </c>
      <c r="L1292" s="7">
        <v>0</v>
      </c>
      <c r="M1292" s="7" t="s">
        <v>2609</v>
      </c>
      <c r="N1292" s="7">
        <f>_xlfn.XLOOKUP(A1292,[1]SKU!$A:$A,[1]SKU!$Z:$Z)</f>
        <v>4750000</v>
      </c>
    </row>
    <row r="1293" spans="1:14">
      <c r="A1293" s="1" t="s">
        <v>1578</v>
      </c>
      <c r="B1293" s="2" t="s">
        <v>3</v>
      </c>
      <c r="C1293" s="2" t="s">
        <v>75</v>
      </c>
      <c r="D1293" s="2" t="s">
        <v>1579</v>
      </c>
      <c r="E1293" s="7" t="str">
        <f t="shared" si="143"/>
        <v>GSL</v>
      </c>
      <c r="F1293" s="7" t="str">
        <f t="shared" si="137"/>
        <v>KID</v>
      </c>
      <c r="G1293" s="7" t="str">
        <f t="shared" si="138"/>
        <v>APP</v>
      </c>
      <c r="H1293" s="7" t="str">
        <f t="shared" si="139"/>
        <v>BNE</v>
      </c>
      <c r="I1293" s="7" t="str">
        <f t="shared" si="140"/>
        <v>HOA</v>
      </c>
      <c r="J1293" s="7" t="str">
        <f t="shared" si="141"/>
        <v>WHI</v>
      </c>
      <c r="K1293" s="7" t="str">
        <f t="shared" si="142"/>
        <v>10</v>
      </c>
      <c r="L1293" s="7" t="s">
        <v>2117</v>
      </c>
      <c r="M1293" s="7" t="s">
        <v>2117</v>
      </c>
      <c r="N1293" s="7">
        <f>_xlfn.XLOOKUP(A1293,[1]SKU!$A:$A,[1]SKU!$Z:$Z)</f>
        <v>550000</v>
      </c>
    </row>
    <row r="1294" spans="1:14">
      <c r="A1294" s="1" t="s">
        <v>6091</v>
      </c>
      <c r="B1294" s="2" t="s">
        <v>4472</v>
      </c>
      <c r="C1294" s="2" t="s">
        <v>513</v>
      </c>
      <c r="D1294" s="2" t="s">
        <v>6092</v>
      </c>
      <c r="E1294" s="7" t="str">
        <f t="shared" si="143"/>
        <v>DSP</v>
      </c>
      <c r="F1294" s="7" t="str">
        <f t="shared" si="137"/>
        <v>UNI</v>
      </c>
      <c r="G1294" s="7" t="str">
        <f t="shared" si="138"/>
        <v>HDR</v>
      </c>
      <c r="H1294" s="7" t="str">
        <f t="shared" si="139"/>
        <v>SAS</v>
      </c>
      <c r="I1294" s="7" t="str">
        <f t="shared" si="140"/>
        <v>DEL</v>
      </c>
      <c r="J1294" s="7" t="str">
        <f t="shared" si="141"/>
        <v>MBE</v>
      </c>
      <c r="K1294" s="7" t="str">
        <f t="shared" si="142"/>
        <v>0</v>
      </c>
      <c r="L1294" s="7">
        <v>0</v>
      </c>
      <c r="M1294" s="7" t="s">
        <v>2609</v>
      </c>
      <c r="N1294" s="7">
        <f>_xlfn.XLOOKUP(A1294,[1]SKU!$A:$A,[1]SKU!$Z:$Z)</f>
        <v>1400000</v>
      </c>
    </row>
    <row r="1295" spans="1:14">
      <c r="A1295" s="1" t="s">
        <v>6093</v>
      </c>
      <c r="B1295" s="2" t="s">
        <v>4472</v>
      </c>
      <c r="C1295" s="2" t="s">
        <v>6094</v>
      </c>
      <c r="D1295" s="2" t="s">
        <v>6095</v>
      </c>
      <c r="E1295" s="7" t="str">
        <f t="shared" si="143"/>
        <v>HAM</v>
      </c>
      <c r="F1295" s="7" t="str">
        <f t="shared" si="137"/>
        <v>UNI</v>
      </c>
      <c r="G1295" s="7" t="str">
        <f t="shared" si="138"/>
        <v>JEW</v>
      </c>
      <c r="H1295" s="7" t="str">
        <f t="shared" si="139"/>
        <v>EAR</v>
      </c>
      <c r="I1295" s="7" t="str">
        <f t="shared" si="140"/>
        <v>32G</v>
      </c>
      <c r="J1295" s="7" t="str">
        <f t="shared" si="141"/>
        <v>MIX</v>
      </c>
      <c r="K1295" s="7" t="str">
        <f t="shared" si="142"/>
        <v>0</v>
      </c>
      <c r="L1295" s="7">
        <v>0</v>
      </c>
      <c r="M1295" s="7" t="s">
        <v>2609</v>
      </c>
      <c r="N1295" s="7">
        <f>_xlfn.XLOOKUP(A1295,[1]SKU!$A:$A,[1]SKU!$Z:$Z)</f>
        <v>600000</v>
      </c>
    </row>
    <row r="1296" spans="1:14">
      <c r="A1296" s="1" t="s">
        <v>6096</v>
      </c>
      <c r="B1296" s="2" t="s">
        <v>4472</v>
      </c>
      <c r="C1296" s="2" t="s">
        <v>1581</v>
      </c>
      <c r="D1296" s="2" t="s">
        <v>6097</v>
      </c>
      <c r="E1296" s="7" t="str">
        <f t="shared" si="143"/>
        <v>EDE</v>
      </c>
      <c r="F1296" s="7" t="str">
        <f t="shared" si="137"/>
        <v>UNI</v>
      </c>
      <c r="G1296" s="7" t="str">
        <f t="shared" si="138"/>
        <v>SOU</v>
      </c>
      <c r="H1296" s="7" t="str">
        <f t="shared" si="139"/>
        <v>TCL</v>
      </c>
      <c r="I1296" s="7" t="str">
        <f t="shared" si="140"/>
        <v>TAB</v>
      </c>
      <c r="J1296" s="7" t="str">
        <f t="shared" si="141"/>
        <v>MIX</v>
      </c>
      <c r="K1296" s="7" t="str">
        <f t="shared" si="142"/>
        <v>0</v>
      </c>
      <c r="L1296" s="7">
        <v>0</v>
      </c>
      <c r="M1296" s="7" t="s">
        <v>2609</v>
      </c>
      <c r="N1296" s="7">
        <f>_xlfn.XLOOKUP(A1296,[1]SKU!$A:$A,[1]SKU!$Z:$Z)</f>
        <v>580000</v>
      </c>
    </row>
    <row r="1297" spans="1:14">
      <c r="A1297" s="1" t="s">
        <v>6098</v>
      </c>
      <c r="B1297" s="2" t="s">
        <v>4472</v>
      </c>
      <c r="C1297" s="2" t="s">
        <v>477</v>
      </c>
      <c r="D1297" s="2" t="s">
        <v>6099</v>
      </c>
      <c r="E1297" s="7" t="str">
        <f t="shared" si="143"/>
        <v>SHI</v>
      </c>
      <c r="F1297" s="7" t="str">
        <f t="shared" si="137"/>
        <v>UNI</v>
      </c>
      <c r="G1297" s="7" t="str">
        <f t="shared" si="138"/>
        <v>FNB</v>
      </c>
      <c r="H1297" s="7" t="str">
        <f t="shared" si="139"/>
        <v>CFP</v>
      </c>
      <c r="I1297" s="7" t="str">
        <f t="shared" si="140"/>
        <v>DLB</v>
      </c>
      <c r="J1297" s="7" t="str">
        <f t="shared" si="141"/>
        <v>WHI</v>
      </c>
      <c r="K1297" s="7" t="str">
        <f t="shared" si="142"/>
        <v>CAN</v>
      </c>
      <c r="L1297" s="7">
        <v>0</v>
      </c>
      <c r="M1297" s="7" t="s">
        <v>2609</v>
      </c>
      <c r="N1297" s="7">
        <f>_xlfn.XLOOKUP(A1297,[1]SKU!$A:$A,[1]SKU!$Z:$Z)</f>
        <v>180000</v>
      </c>
    </row>
    <row r="1298" spans="1:14">
      <c r="A1298" s="1" t="s">
        <v>6100</v>
      </c>
      <c r="B1298" s="2" t="s">
        <v>4472</v>
      </c>
      <c r="C1298" s="2" t="s">
        <v>51</v>
      </c>
      <c r="D1298" s="2" t="s">
        <v>6101</v>
      </c>
      <c r="E1298" s="7" t="str">
        <f t="shared" si="143"/>
        <v>DSP</v>
      </c>
      <c r="F1298" s="7" t="str">
        <f t="shared" si="137"/>
        <v>UNI</v>
      </c>
      <c r="G1298" s="7" t="str">
        <f t="shared" si="138"/>
        <v>BAG</v>
      </c>
      <c r="H1298" s="7" t="str">
        <f t="shared" si="139"/>
        <v>CHR</v>
      </c>
      <c r="I1298" s="7" t="str">
        <f t="shared" si="140"/>
        <v>SCH</v>
      </c>
      <c r="J1298" s="7" t="str">
        <f t="shared" si="141"/>
        <v>RDT</v>
      </c>
      <c r="K1298" s="7" t="str">
        <f t="shared" si="142"/>
        <v>0</v>
      </c>
      <c r="L1298" s="7">
        <v>0</v>
      </c>
      <c r="M1298" s="7" t="s">
        <v>2609</v>
      </c>
      <c r="N1298" s="7">
        <f>_xlfn.XLOOKUP(A1298,[1]SKU!$A:$A,[1]SKU!$Z:$Z)</f>
        <v>1150000</v>
      </c>
    </row>
    <row r="1299" spans="1:14">
      <c r="A1299" s="1" t="s">
        <v>1582</v>
      </c>
      <c r="B1299" s="2" t="s">
        <v>3</v>
      </c>
      <c r="C1299" s="2" t="s">
        <v>75</v>
      </c>
      <c r="D1299" s="2" t="s">
        <v>1583</v>
      </c>
      <c r="E1299" s="7" t="str">
        <f t="shared" si="143"/>
        <v>GSL</v>
      </c>
      <c r="F1299" s="7" t="str">
        <f t="shared" si="137"/>
        <v>WOM</v>
      </c>
      <c r="G1299" s="7" t="str">
        <f t="shared" si="138"/>
        <v>APP</v>
      </c>
      <c r="H1299" s="7" t="str">
        <f t="shared" si="139"/>
        <v>BNE</v>
      </c>
      <c r="I1299" s="7" t="str">
        <f t="shared" si="140"/>
        <v>HOA</v>
      </c>
      <c r="J1299" s="7" t="str">
        <f t="shared" si="141"/>
        <v>WHI</v>
      </c>
      <c r="K1299" s="7" t="str">
        <f t="shared" si="142"/>
        <v>M</v>
      </c>
      <c r="L1299" s="7" t="s">
        <v>2117</v>
      </c>
      <c r="M1299" s="7" t="s">
        <v>2117</v>
      </c>
      <c r="N1299" s="7">
        <f>_xlfn.XLOOKUP(A1299,[1]SKU!$A:$A,[1]SKU!$Z:$Z)</f>
        <v>750000</v>
      </c>
    </row>
    <row r="1300" spans="1:14">
      <c r="A1300" s="1" t="s">
        <v>6102</v>
      </c>
      <c r="B1300" s="2" t="s">
        <v>4472</v>
      </c>
      <c r="C1300" s="2" t="s">
        <v>6103</v>
      </c>
      <c r="D1300" s="2" t="s">
        <v>6104</v>
      </c>
      <c r="E1300" s="7" t="str">
        <f t="shared" si="143"/>
        <v>LAN</v>
      </c>
      <c r="F1300" s="7" t="str">
        <f t="shared" si="137"/>
        <v>UNI</v>
      </c>
      <c r="G1300" s="7" t="str">
        <f t="shared" si="138"/>
        <v>HDR</v>
      </c>
      <c r="H1300" s="7" t="str">
        <f t="shared" si="139"/>
        <v>LBX</v>
      </c>
      <c r="I1300" s="7" t="str">
        <f t="shared" si="140"/>
        <v>DVN</v>
      </c>
      <c r="J1300" s="7" t="str">
        <f t="shared" si="141"/>
        <v>YEL</v>
      </c>
      <c r="K1300" s="7" t="str">
        <f t="shared" si="142"/>
        <v>BOX</v>
      </c>
      <c r="L1300" s="7">
        <v>0</v>
      </c>
      <c r="M1300" s="7" t="s">
        <v>2609</v>
      </c>
      <c r="N1300" s="7">
        <f>_xlfn.XLOOKUP(A1300,[1]SKU!$A:$A,[1]SKU!$Z:$Z)</f>
        <v>1099000</v>
      </c>
    </row>
    <row r="1301" spans="1:14">
      <c r="A1301" s="1" t="s">
        <v>6105</v>
      </c>
      <c r="B1301" s="2" t="s">
        <v>4472</v>
      </c>
      <c r="C1301" s="2" t="s">
        <v>477</v>
      </c>
      <c r="D1301" s="2" t="s">
        <v>6106</v>
      </c>
      <c r="E1301" s="7" t="str">
        <f t="shared" si="143"/>
        <v>SHI</v>
      </c>
      <c r="F1301" s="7" t="str">
        <f t="shared" si="137"/>
        <v>UNI</v>
      </c>
      <c r="G1301" s="7" t="str">
        <f t="shared" si="138"/>
        <v>FNB</v>
      </c>
      <c r="H1301" s="7" t="str">
        <f t="shared" si="139"/>
        <v>CFP</v>
      </c>
      <c r="I1301" s="7" t="str">
        <f t="shared" si="140"/>
        <v>DLB</v>
      </c>
      <c r="J1301" s="7" t="str">
        <f t="shared" si="141"/>
        <v>WHI</v>
      </c>
      <c r="K1301" s="7" t="str">
        <f t="shared" si="142"/>
        <v>BAG</v>
      </c>
      <c r="L1301" s="7">
        <v>0</v>
      </c>
      <c r="M1301" s="7" t="s">
        <v>2609</v>
      </c>
      <c r="N1301" s="7">
        <f>_xlfn.XLOOKUP(A1301,[1]SKU!$A:$A,[1]SKU!$Z:$Z)</f>
        <v>150000</v>
      </c>
    </row>
    <row r="1302" spans="1:14">
      <c r="A1302" s="1" t="s">
        <v>1584</v>
      </c>
      <c r="B1302" s="2" t="s">
        <v>3</v>
      </c>
      <c r="C1302" s="2" t="s">
        <v>38</v>
      </c>
      <c r="D1302" s="2" t="s">
        <v>1585</v>
      </c>
      <c r="E1302" s="7" t="str">
        <f t="shared" si="143"/>
        <v>GOR</v>
      </c>
      <c r="F1302" s="7" t="str">
        <f t="shared" si="137"/>
        <v>WOM</v>
      </c>
      <c r="G1302" s="7" t="str">
        <f t="shared" si="138"/>
        <v>TSS</v>
      </c>
      <c r="H1302" s="7" t="str">
        <f t="shared" si="139"/>
        <v>VNE</v>
      </c>
      <c r="I1302" s="7" t="str">
        <f t="shared" si="140"/>
        <v>LOG</v>
      </c>
      <c r="J1302" s="7" t="str">
        <f t="shared" si="141"/>
        <v>JBG</v>
      </c>
      <c r="K1302" s="7" t="str">
        <f t="shared" si="142"/>
        <v>S</v>
      </c>
      <c r="L1302" s="7" t="s">
        <v>2018</v>
      </c>
      <c r="M1302" s="7" t="s">
        <v>4462</v>
      </c>
      <c r="N1302" s="7">
        <f>_xlfn.XLOOKUP(A1302,[1]SKU!$A:$A,[1]SKU!$Z:$Z)</f>
        <v>790000</v>
      </c>
    </row>
    <row r="1303" spans="1:14">
      <c r="A1303" s="1" t="s">
        <v>1586</v>
      </c>
      <c r="B1303" s="2" t="s">
        <v>3</v>
      </c>
      <c r="C1303" s="2" t="s">
        <v>154</v>
      </c>
      <c r="D1303" s="2" t="s">
        <v>1587</v>
      </c>
      <c r="E1303" s="7" t="str">
        <f t="shared" si="143"/>
        <v>GCL</v>
      </c>
      <c r="F1303" s="7" t="str">
        <f t="shared" si="137"/>
        <v>MEN</v>
      </c>
      <c r="G1303" s="7" t="str">
        <f t="shared" si="138"/>
        <v>TSO</v>
      </c>
      <c r="H1303" s="7" t="str">
        <f t="shared" si="139"/>
        <v>ONE</v>
      </c>
      <c r="I1303" s="7" t="str">
        <f t="shared" si="140"/>
        <v>TNT</v>
      </c>
      <c r="J1303" s="7" t="str">
        <f t="shared" si="141"/>
        <v>WHI</v>
      </c>
      <c r="K1303" s="7" t="str">
        <f t="shared" si="142"/>
        <v>L</v>
      </c>
      <c r="L1303" s="7" t="s">
        <v>2071</v>
      </c>
      <c r="M1303" s="7" t="s">
        <v>4462</v>
      </c>
      <c r="N1303" s="7">
        <f>_xlfn.XLOOKUP(A1303,[1]SKU!$A:$A,[1]SKU!$Z:$Z)</f>
        <v>1390000</v>
      </c>
    </row>
    <row r="1304" spans="1:14">
      <c r="A1304" s="1" t="s">
        <v>6107</v>
      </c>
      <c r="B1304" s="2" t="s">
        <v>4472</v>
      </c>
      <c r="C1304" s="2" t="s">
        <v>51</v>
      </c>
      <c r="D1304" s="2" t="s">
        <v>6108</v>
      </c>
      <c r="E1304" s="7" t="str">
        <f t="shared" si="143"/>
        <v>DSP</v>
      </c>
      <c r="F1304" s="7" t="str">
        <f t="shared" si="137"/>
        <v>UNI</v>
      </c>
      <c r="G1304" s="7" t="str">
        <f t="shared" si="138"/>
        <v>BAG</v>
      </c>
      <c r="H1304" s="7" t="str">
        <f t="shared" si="139"/>
        <v>CHR</v>
      </c>
      <c r="I1304" s="7" t="str">
        <f t="shared" si="140"/>
        <v>SCH</v>
      </c>
      <c r="J1304" s="7" t="str">
        <f t="shared" si="141"/>
        <v>SLR</v>
      </c>
      <c r="K1304" s="7" t="str">
        <f t="shared" si="142"/>
        <v>0</v>
      </c>
      <c r="L1304" s="7">
        <v>0</v>
      </c>
      <c r="M1304" s="7" t="s">
        <v>2609</v>
      </c>
      <c r="N1304" s="7">
        <f>_xlfn.XLOOKUP(A1304,[1]SKU!$A:$A,[1]SKU!$Z:$Z)</f>
        <v>1150000</v>
      </c>
    </row>
    <row r="1305" spans="1:14">
      <c r="A1305" s="1" t="s">
        <v>6109</v>
      </c>
      <c r="B1305" s="2" t="s">
        <v>4472</v>
      </c>
      <c r="C1305" s="2" t="s">
        <v>266</v>
      </c>
      <c r="D1305" s="2" t="s">
        <v>6108</v>
      </c>
      <c r="E1305" s="7" t="str">
        <f t="shared" si="143"/>
        <v>DSP</v>
      </c>
      <c r="F1305" s="7" t="str">
        <f t="shared" si="137"/>
        <v>UNI</v>
      </c>
      <c r="G1305" s="7" t="str">
        <f t="shared" si="138"/>
        <v>BAG</v>
      </c>
      <c r="H1305" s="7" t="str">
        <f t="shared" si="139"/>
        <v>CHR</v>
      </c>
      <c r="I1305" s="7" t="str">
        <f t="shared" si="140"/>
        <v>SCH</v>
      </c>
      <c r="J1305" s="7" t="str">
        <f t="shared" si="141"/>
        <v>SLR</v>
      </c>
      <c r="K1305" s="7" t="str">
        <f t="shared" si="142"/>
        <v>0</v>
      </c>
      <c r="L1305" s="7">
        <v>0</v>
      </c>
      <c r="M1305" s="7" t="s">
        <v>2609</v>
      </c>
      <c r="N1305" s="7">
        <f>_xlfn.XLOOKUP(A1305,[1]SKU!$A:$A,[1]SKU!$Z:$Z)</f>
        <v>1150000</v>
      </c>
    </row>
    <row r="1306" spans="1:14">
      <c r="A1306" s="1" t="s">
        <v>6110</v>
      </c>
      <c r="B1306" s="2" t="s">
        <v>4472</v>
      </c>
      <c r="C1306" s="2" t="s">
        <v>6111</v>
      </c>
      <c r="D1306" s="2" t="s">
        <v>6112</v>
      </c>
      <c r="E1306" s="7" t="str">
        <f t="shared" si="143"/>
        <v>EDE</v>
      </c>
      <c r="F1306" s="7" t="str">
        <f t="shared" si="137"/>
        <v>UNI</v>
      </c>
      <c r="G1306" s="7" t="str">
        <f t="shared" si="138"/>
        <v>BAG</v>
      </c>
      <c r="H1306" s="7" t="str">
        <f t="shared" si="139"/>
        <v>CLU</v>
      </c>
      <c r="I1306" s="7" t="str">
        <f t="shared" si="140"/>
        <v>BAS</v>
      </c>
      <c r="J1306" s="7" t="str">
        <f t="shared" si="141"/>
        <v>MIX</v>
      </c>
      <c r="K1306" s="7" t="str">
        <f t="shared" si="142"/>
        <v>L</v>
      </c>
      <c r="L1306" s="7">
        <v>0</v>
      </c>
      <c r="M1306" s="7" t="s">
        <v>2609</v>
      </c>
      <c r="N1306" s="7">
        <f>_xlfn.XLOOKUP(A1306,[1]SKU!$A:$A,[1]SKU!$Z:$Z)</f>
        <v>395000</v>
      </c>
    </row>
    <row r="1307" spans="1:14">
      <c r="A1307" s="1" t="s">
        <v>1588</v>
      </c>
      <c r="B1307" s="2" t="s">
        <v>3</v>
      </c>
      <c r="C1307" s="2" t="s">
        <v>42</v>
      </c>
      <c r="D1307" s="2" t="s">
        <v>1589</v>
      </c>
      <c r="E1307" s="7" t="str">
        <f t="shared" si="143"/>
        <v>GSU</v>
      </c>
      <c r="F1307" s="7" t="str">
        <f t="shared" si="137"/>
        <v>WOM</v>
      </c>
      <c r="G1307" s="7" t="str">
        <f t="shared" si="138"/>
        <v>TTB</v>
      </c>
      <c r="H1307" s="7" t="str">
        <f t="shared" si="139"/>
        <v>BNE</v>
      </c>
      <c r="I1307" s="7" t="str">
        <f t="shared" si="140"/>
        <v>EHT</v>
      </c>
      <c r="J1307" s="7" t="str">
        <f t="shared" si="141"/>
        <v>YEL</v>
      </c>
      <c r="K1307" s="7" t="str">
        <f t="shared" si="142"/>
        <v>S</v>
      </c>
      <c r="L1307" s="7" t="s">
        <v>2326</v>
      </c>
      <c r="M1307" s="7" t="s">
        <v>4469</v>
      </c>
      <c r="N1307" s="7">
        <f>_xlfn.XLOOKUP(A1307,[1]SKU!$A:$A,[1]SKU!$Z:$Z)</f>
        <v>950000</v>
      </c>
    </row>
    <row r="1308" spans="1:14">
      <c r="A1308" s="1" t="s">
        <v>1590</v>
      </c>
      <c r="B1308" s="2" t="s">
        <v>3</v>
      </c>
      <c r="C1308" s="2" t="s">
        <v>167</v>
      </c>
      <c r="D1308" s="2" t="s">
        <v>1591</v>
      </c>
      <c r="E1308" s="7" t="str">
        <f t="shared" si="143"/>
        <v>GOR</v>
      </c>
      <c r="F1308" s="7" t="str">
        <f t="shared" ref="F1308:F1371" si="144">_xlfn.TEXTBEFORE(_xlfn.TEXTAFTER(D1308,"-",2),"-")</f>
        <v>MEN</v>
      </c>
      <c r="G1308" s="7" t="str">
        <f t="shared" ref="G1308:G1371" si="145">_xlfn.TEXTBEFORE(_xlfn.TEXTAFTER(D1308,"-",3),"-")</f>
        <v>TSS</v>
      </c>
      <c r="H1308" s="7" t="str">
        <f t="shared" ref="H1308:H1371" si="146">_xlfn.TEXTBEFORE(_xlfn.TEXTAFTER(D1308,"-",4),"-")</f>
        <v>ONE</v>
      </c>
      <c r="I1308" s="7" t="str">
        <f t="shared" ref="I1308:I1371" si="147">_xlfn.TEXTBEFORE(_xlfn.TEXTAFTER(D1308,"-",5),"-")</f>
        <v>TJM</v>
      </c>
      <c r="J1308" s="7" t="str">
        <f t="shared" ref="J1308:J1371" si="148">_xlfn.TEXTBEFORE(_xlfn.TEXTAFTER(D1308,"-",6),"-")</f>
        <v>OLI</v>
      </c>
      <c r="K1308" s="7" t="str">
        <f t="shared" ref="K1308:K1371" si="149">_xlfn.TEXTAFTER(D1308,"-",7)</f>
        <v>L</v>
      </c>
      <c r="L1308" s="7" t="s">
        <v>2018</v>
      </c>
      <c r="M1308" s="7" t="s">
        <v>4462</v>
      </c>
      <c r="N1308" s="7">
        <f>_xlfn.XLOOKUP(A1308,[1]SKU!$A:$A,[1]SKU!$Z:$Z)</f>
        <v>790000</v>
      </c>
    </row>
    <row r="1309" spans="1:14">
      <c r="A1309" s="1" t="s">
        <v>1592</v>
      </c>
      <c r="B1309" s="2" t="s">
        <v>3</v>
      </c>
      <c r="C1309" s="2" t="s">
        <v>236</v>
      </c>
      <c r="D1309" s="2" t="s">
        <v>1593</v>
      </c>
      <c r="E1309" s="7" t="str">
        <f t="shared" si="143"/>
        <v>GOR</v>
      </c>
      <c r="F1309" s="7" t="str">
        <f t="shared" si="144"/>
        <v>MEN</v>
      </c>
      <c r="G1309" s="7" t="str">
        <f t="shared" si="145"/>
        <v>TSS</v>
      </c>
      <c r="H1309" s="7" t="str">
        <f t="shared" si="146"/>
        <v>ONE</v>
      </c>
      <c r="I1309" s="7" t="str">
        <f t="shared" si="147"/>
        <v>STA</v>
      </c>
      <c r="J1309" s="7" t="str">
        <f t="shared" si="148"/>
        <v>RED</v>
      </c>
      <c r="K1309" s="7" t="str">
        <f t="shared" si="149"/>
        <v>XL</v>
      </c>
      <c r="L1309" s="7" t="s">
        <v>2018</v>
      </c>
      <c r="M1309" s="7" t="s">
        <v>4462</v>
      </c>
      <c r="N1309" s="7">
        <f>_xlfn.XLOOKUP(A1309,[1]SKU!$A:$A,[1]SKU!$Z:$Z)</f>
        <v>790000</v>
      </c>
    </row>
    <row r="1310" spans="1:14">
      <c r="A1310" s="1" t="s">
        <v>6113</v>
      </c>
      <c r="B1310" s="2" t="s">
        <v>4472</v>
      </c>
      <c r="C1310" s="2" t="s">
        <v>5243</v>
      </c>
      <c r="D1310" s="2" t="s">
        <v>6114</v>
      </c>
      <c r="E1310" s="7" t="str">
        <f t="shared" si="143"/>
        <v>DSP</v>
      </c>
      <c r="F1310" s="7" t="str">
        <f t="shared" si="144"/>
        <v>UNI</v>
      </c>
      <c r="G1310" s="7" t="str">
        <f t="shared" si="145"/>
        <v>BAG</v>
      </c>
      <c r="H1310" s="7" t="str">
        <f t="shared" si="146"/>
        <v>HDB</v>
      </c>
      <c r="I1310" s="7" t="str">
        <f t="shared" si="147"/>
        <v>ABG</v>
      </c>
      <c r="J1310" s="7" t="str">
        <f t="shared" si="148"/>
        <v>HGM</v>
      </c>
      <c r="K1310" s="7" t="str">
        <f t="shared" si="149"/>
        <v>S</v>
      </c>
      <c r="L1310" s="7">
        <v>0</v>
      </c>
      <c r="M1310" s="7" t="s">
        <v>2609</v>
      </c>
      <c r="N1310" s="7">
        <f>_xlfn.XLOOKUP(A1310,[1]SKU!$A:$A,[1]SKU!$Z:$Z)</f>
        <v>3800000</v>
      </c>
    </row>
    <row r="1311" spans="1:14">
      <c r="A1311" s="1" t="s">
        <v>1594</v>
      </c>
      <c r="B1311" s="2" t="s">
        <v>3</v>
      </c>
      <c r="C1311" s="2" t="s">
        <v>447</v>
      </c>
      <c r="D1311" s="2" t="s">
        <v>1595</v>
      </c>
      <c r="E1311" s="7" t="str">
        <f t="shared" si="143"/>
        <v>GOR</v>
      </c>
      <c r="F1311" s="7" t="str">
        <f t="shared" si="144"/>
        <v>KID</v>
      </c>
      <c r="G1311" s="7" t="str">
        <f t="shared" si="145"/>
        <v>TSS</v>
      </c>
      <c r="H1311" s="7" t="str">
        <f t="shared" si="146"/>
        <v>ONE</v>
      </c>
      <c r="I1311" s="7" t="str">
        <f t="shared" si="147"/>
        <v>GVT</v>
      </c>
      <c r="J1311" s="7" t="str">
        <f t="shared" si="148"/>
        <v>WHI</v>
      </c>
      <c r="K1311" s="7" t="str">
        <f t="shared" si="149"/>
        <v>8</v>
      </c>
      <c r="L1311" s="7" t="s">
        <v>2018</v>
      </c>
      <c r="M1311" s="7" t="s">
        <v>4462</v>
      </c>
      <c r="N1311" s="7">
        <f>_xlfn.XLOOKUP(A1311,[1]SKU!$A:$A,[1]SKU!$Z:$Z)</f>
        <v>590000</v>
      </c>
    </row>
    <row r="1312" spans="1:14">
      <c r="A1312" s="1" t="s">
        <v>6115</v>
      </c>
      <c r="B1312" s="2" t="s">
        <v>4472</v>
      </c>
      <c r="C1312" s="2" t="s">
        <v>375</v>
      </c>
      <c r="D1312" s="2" t="s">
        <v>6116</v>
      </c>
      <c r="E1312" s="7" t="str">
        <f t="shared" si="143"/>
        <v>DSP</v>
      </c>
      <c r="F1312" s="7" t="str">
        <f t="shared" si="144"/>
        <v>UNI</v>
      </c>
      <c r="G1312" s="7" t="str">
        <f t="shared" si="145"/>
        <v>FWR</v>
      </c>
      <c r="H1312" s="7" t="str">
        <f t="shared" si="146"/>
        <v>LES</v>
      </c>
      <c r="I1312" s="7" t="str">
        <f t="shared" si="147"/>
        <v>BLF</v>
      </c>
      <c r="J1312" s="7" t="str">
        <f t="shared" si="148"/>
        <v>RED</v>
      </c>
      <c r="K1312" s="7" t="str">
        <f t="shared" si="149"/>
        <v>40</v>
      </c>
      <c r="L1312" s="7">
        <v>0</v>
      </c>
      <c r="M1312" s="7" t="s">
        <v>2609</v>
      </c>
      <c r="N1312" s="7">
        <f>_xlfn.XLOOKUP(A1312,[1]SKU!$A:$A,[1]SKU!$Z:$Z)</f>
        <v>5800000</v>
      </c>
    </row>
    <row r="1313" spans="1:14">
      <c r="A1313" s="1" t="s">
        <v>1596</v>
      </c>
      <c r="B1313" s="2" t="s">
        <v>3</v>
      </c>
      <c r="C1313" s="2" t="s">
        <v>300</v>
      </c>
      <c r="D1313" s="2" t="s">
        <v>1597</v>
      </c>
      <c r="E1313" s="7" t="str">
        <f t="shared" si="143"/>
        <v>GSL</v>
      </c>
      <c r="F1313" s="7" t="str">
        <f t="shared" si="144"/>
        <v>KID</v>
      </c>
      <c r="G1313" s="7" t="str">
        <f t="shared" si="145"/>
        <v>TSS</v>
      </c>
      <c r="H1313" s="7" t="str">
        <f t="shared" si="146"/>
        <v>ONE</v>
      </c>
      <c r="I1313" s="7" t="str">
        <f t="shared" si="147"/>
        <v>SMP</v>
      </c>
      <c r="J1313" s="7" t="str">
        <f t="shared" si="148"/>
        <v>WHI</v>
      </c>
      <c r="K1313" s="7" t="str">
        <f t="shared" si="149"/>
        <v>2</v>
      </c>
      <c r="L1313" s="7" t="s">
        <v>2018</v>
      </c>
      <c r="M1313" s="7" t="s">
        <v>4462</v>
      </c>
      <c r="N1313" s="7">
        <f>_xlfn.XLOOKUP(A1313,[1]SKU!$A:$A,[1]SKU!$Z:$Z)</f>
        <v>550000</v>
      </c>
    </row>
    <row r="1314" spans="1:14">
      <c r="A1314" s="1" t="s">
        <v>6117</v>
      </c>
      <c r="B1314" s="2" t="s">
        <v>4481</v>
      </c>
      <c r="C1314" s="2" t="s">
        <v>1598</v>
      </c>
      <c r="D1314" s="2" t="s">
        <v>6118</v>
      </c>
      <c r="E1314" s="7" t="str">
        <f t="shared" si="143"/>
        <v>PAS</v>
      </c>
      <c r="F1314" s="7" t="str">
        <f t="shared" si="144"/>
        <v>UNI</v>
      </c>
      <c r="G1314" s="7" t="str">
        <f t="shared" si="145"/>
        <v>ART</v>
      </c>
      <c r="H1314" s="7" t="str">
        <f t="shared" si="146"/>
        <v>ART</v>
      </c>
      <c r="I1314" s="7" t="str">
        <f t="shared" si="147"/>
        <v>SOU</v>
      </c>
      <c r="J1314" s="7" t="str">
        <f t="shared" si="148"/>
        <v>MIX</v>
      </c>
      <c r="K1314" s="7" t="str">
        <f t="shared" si="149"/>
        <v>A2</v>
      </c>
      <c r="L1314" s="7">
        <v>0</v>
      </c>
      <c r="M1314" s="7" t="s">
        <v>2609</v>
      </c>
      <c r="N1314" s="7">
        <f>_xlfn.XLOOKUP(A1314,[1]SKU!$A:$A,[1]SKU!$Z:$Z)</f>
        <v>6000000</v>
      </c>
    </row>
    <row r="1315" spans="1:14">
      <c r="A1315" s="1" t="s">
        <v>6119</v>
      </c>
      <c r="B1315" s="2" t="s">
        <v>4481</v>
      </c>
      <c r="C1315" s="2" t="s">
        <v>1599</v>
      </c>
      <c r="D1315" s="2" t="s">
        <v>6120</v>
      </c>
      <c r="E1315" s="7" t="str">
        <f t="shared" si="143"/>
        <v>PAS</v>
      </c>
      <c r="F1315" s="7" t="str">
        <f t="shared" si="144"/>
        <v>UNI</v>
      </c>
      <c r="G1315" s="7" t="str">
        <f t="shared" si="145"/>
        <v>ART</v>
      </c>
      <c r="H1315" s="7" t="str">
        <f t="shared" si="146"/>
        <v>ART</v>
      </c>
      <c r="I1315" s="7" t="str">
        <f t="shared" si="147"/>
        <v>2JI</v>
      </c>
      <c r="J1315" s="7" t="str">
        <f t="shared" si="148"/>
        <v>MIX</v>
      </c>
      <c r="K1315" s="7" t="str">
        <f t="shared" si="149"/>
        <v>A2</v>
      </c>
      <c r="L1315" s="7">
        <v>0</v>
      </c>
      <c r="M1315" s="7" t="s">
        <v>2609</v>
      </c>
      <c r="N1315" s="7">
        <f>_xlfn.XLOOKUP(A1315,[1]SKU!$A:$A,[1]SKU!$Z:$Z)</f>
        <v>6000000</v>
      </c>
    </row>
    <row r="1316" spans="1:14">
      <c r="A1316" s="1" t="s">
        <v>6121</v>
      </c>
      <c r="B1316" s="2" t="s">
        <v>4472</v>
      </c>
      <c r="C1316" s="2" t="s">
        <v>99</v>
      </c>
      <c r="D1316" s="2" t="s">
        <v>6122</v>
      </c>
      <c r="E1316" s="7" t="str">
        <f t="shared" si="143"/>
        <v>DSP</v>
      </c>
      <c r="F1316" s="7" t="str">
        <f t="shared" si="144"/>
        <v>UNI</v>
      </c>
      <c r="G1316" s="7" t="str">
        <f t="shared" si="145"/>
        <v>FWR</v>
      </c>
      <c r="H1316" s="7" t="str">
        <f t="shared" si="146"/>
        <v>LES</v>
      </c>
      <c r="I1316" s="7" t="str">
        <f t="shared" si="147"/>
        <v>PHD</v>
      </c>
      <c r="J1316" s="7" t="str">
        <f t="shared" si="148"/>
        <v>CHA</v>
      </c>
      <c r="K1316" s="7" t="str">
        <f t="shared" si="149"/>
        <v>40</v>
      </c>
      <c r="L1316" s="7">
        <v>0</v>
      </c>
      <c r="M1316" s="7" t="s">
        <v>2609</v>
      </c>
      <c r="N1316" s="7">
        <f>_xlfn.XLOOKUP(A1316,[1]SKU!$A:$A,[1]SKU!$Z:$Z)</f>
        <v>7500000</v>
      </c>
    </row>
    <row r="1317" spans="1:14">
      <c r="A1317" s="1" t="s">
        <v>1600</v>
      </c>
      <c r="B1317" s="2" t="s">
        <v>3</v>
      </c>
      <c r="C1317" s="2" t="s">
        <v>154</v>
      </c>
      <c r="D1317" s="2" t="s">
        <v>1601</v>
      </c>
      <c r="E1317" s="7" t="str">
        <f t="shared" si="143"/>
        <v>GCL</v>
      </c>
      <c r="F1317" s="7" t="str">
        <f t="shared" si="144"/>
        <v>MEN</v>
      </c>
      <c r="G1317" s="7" t="str">
        <f t="shared" si="145"/>
        <v>TSO</v>
      </c>
      <c r="H1317" s="7" t="str">
        <f t="shared" si="146"/>
        <v>ONE</v>
      </c>
      <c r="I1317" s="7" t="str">
        <f t="shared" si="147"/>
        <v>TNT</v>
      </c>
      <c r="J1317" s="7" t="str">
        <f t="shared" si="148"/>
        <v>WHI</v>
      </c>
      <c r="K1317" s="7" t="str">
        <f t="shared" si="149"/>
        <v>XS</v>
      </c>
      <c r="L1317" s="7" t="s">
        <v>2071</v>
      </c>
      <c r="M1317" s="7" t="s">
        <v>4462</v>
      </c>
      <c r="N1317" s="7">
        <f>_xlfn.XLOOKUP(A1317,[1]SKU!$A:$A,[1]SKU!$Z:$Z)</f>
        <v>1390000</v>
      </c>
    </row>
    <row r="1318" spans="1:14">
      <c r="A1318" s="1" t="s">
        <v>6123</v>
      </c>
      <c r="B1318" s="2" t="s">
        <v>4472</v>
      </c>
      <c r="C1318" s="2" t="s">
        <v>1602</v>
      </c>
      <c r="D1318" s="2" t="s">
        <v>6124</v>
      </c>
      <c r="E1318" s="7" t="str">
        <f t="shared" si="143"/>
        <v>ODE</v>
      </c>
      <c r="F1318" s="7" t="str">
        <f t="shared" si="144"/>
        <v>UNI</v>
      </c>
      <c r="G1318" s="7" t="str">
        <f t="shared" si="145"/>
        <v>COS</v>
      </c>
      <c r="H1318" s="7" t="str">
        <f t="shared" si="146"/>
        <v>BCE</v>
      </c>
      <c r="I1318" s="7" t="str">
        <f t="shared" si="147"/>
        <v>D03</v>
      </c>
      <c r="J1318" s="7" t="str">
        <f t="shared" si="148"/>
        <v>NON</v>
      </c>
      <c r="K1318" s="7" t="str">
        <f t="shared" si="149"/>
        <v>0</v>
      </c>
      <c r="L1318" s="7">
        <v>0</v>
      </c>
      <c r="M1318" s="7" t="s">
        <v>2609</v>
      </c>
      <c r="N1318" s="7">
        <f>_xlfn.XLOOKUP(A1318,[1]SKU!$A:$A,[1]SKU!$Z:$Z)</f>
        <v>215000</v>
      </c>
    </row>
    <row r="1319" spans="1:14">
      <c r="A1319" s="1" t="s">
        <v>6125</v>
      </c>
      <c r="B1319" s="2" t="s">
        <v>4472</v>
      </c>
      <c r="C1319" s="2" t="s">
        <v>1603</v>
      </c>
      <c r="D1319" s="2" t="s">
        <v>6126</v>
      </c>
      <c r="E1319" s="7" t="str">
        <f t="shared" si="143"/>
        <v>DSP</v>
      </c>
      <c r="F1319" s="7" t="str">
        <f t="shared" si="144"/>
        <v>UNI</v>
      </c>
      <c r="G1319" s="7" t="str">
        <f t="shared" si="145"/>
        <v>BAG</v>
      </c>
      <c r="H1319" s="7" t="str">
        <f t="shared" si="146"/>
        <v>CCR</v>
      </c>
      <c r="I1319" s="7" t="str">
        <f t="shared" si="147"/>
        <v>AZR</v>
      </c>
      <c r="J1319" s="7" t="str">
        <f t="shared" si="148"/>
        <v>CHE</v>
      </c>
      <c r="K1319" s="7" t="str">
        <f t="shared" si="149"/>
        <v>0</v>
      </c>
      <c r="L1319" s="7">
        <v>0</v>
      </c>
      <c r="M1319" s="7" t="s">
        <v>2609</v>
      </c>
      <c r="N1319" s="7">
        <f>_xlfn.XLOOKUP(A1319,[1]SKU!$A:$A,[1]SKU!$Z:$Z)</f>
        <v>1850000</v>
      </c>
    </row>
    <row r="1320" spans="1:14">
      <c r="A1320" s="1" t="s">
        <v>6127</v>
      </c>
      <c r="B1320" s="2" t="s">
        <v>4472</v>
      </c>
      <c r="C1320" s="2" t="s">
        <v>5599</v>
      </c>
      <c r="D1320" s="2" t="s">
        <v>6128</v>
      </c>
      <c r="E1320" s="7" t="str">
        <f t="shared" si="143"/>
        <v>HAM</v>
      </c>
      <c r="F1320" s="7" t="str">
        <f t="shared" si="144"/>
        <v>UNI</v>
      </c>
      <c r="G1320" s="7" t="str">
        <f t="shared" si="145"/>
        <v>JEW</v>
      </c>
      <c r="H1320" s="7" t="str">
        <f t="shared" si="146"/>
        <v>NEC</v>
      </c>
      <c r="I1320" s="7" t="str">
        <f t="shared" si="147"/>
        <v>D71</v>
      </c>
      <c r="J1320" s="7" t="str">
        <f t="shared" si="148"/>
        <v>MIX</v>
      </c>
      <c r="K1320" s="7" t="str">
        <f t="shared" si="149"/>
        <v>0</v>
      </c>
      <c r="L1320" s="7">
        <v>0</v>
      </c>
      <c r="M1320" s="7" t="s">
        <v>2609</v>
      </c>
      <c r="N1320" s="7">
        <f>_xlfn.XLOOKUP(A1320,[1]SKU!$A:$A,[1]SKU!$Z:$Z)</f>
        <v>1800000</v>
      </c>
    </row>
    <row r="1321" spans="1:14">
      <c r="A1321" s="1" t="s">
        <v>6129</v>
      </c>
      <c r="B1321" s="2" t="s">
        <v>4472</v>
      </c>
      <c r="C1321" s="2" t="s">
        <v>6130</v>
      </c>
      <c r="D1321" s="2" t="s">
        <v>6131</v>
      </c>
      <c r="E1321" s="7" t="str">
        <f t="shared" si="143"/>
        <v>TOH</v>
      </c>
      <c r="F1321" s="7" t="str">
        <f t="shared" si="144"/>
        <v>UNI</v>
      </c>
      <c r="G1321" s="7" t="str">
        <f t="shared" si="145"/>
        <v>BAG</v>
      </c>
      <c r="H1321" s="7" t="str">
        <f t="shared" si="146"/>
        <v>WAL</v>
      </c>
      <c r="I1321" s="7" t="str">
        <f t="shared" si="147"/>
        <v>AW2</v>
      </c>
      <c r="J1321" s="7" t="str">
        <f t="shared" si="148"/>
        <v>MIX</v>
      </c>
      <c r="K1321" s="7" t="str">
        <f t="shared" si="149"/>
        <v>S</v>
      </c>
      <c r="L1321" s="7">
        <v>0</v>
      </c>
      <c r="M1321" s="7" t="s">
        <v>2609</v>
      </c>
      <c r="N1321" s="7">
        <f>_xlfn.XLOOKUP(A1321,[1]SKU!$A:$A,[1]SKU!$Z:$Z)</f>
        <v>220000</v>
      </c>
    </row>
    <row r="1322" spans="1:14">
      <c r="A1322" s="1" t="s">
        <v>6132</v>
      </c>
      <c r="B1322" s="2" t="s">
        <v>4472</v>
      </c>
      <c r="C1322" s="2" t="s">
        <v>6133</v>
      </c>
      <c r="D1322" s="2" t="s">
        <v>6134</v>
      </c>
      <c r="E1322" s="7" t="str">
        <f t="shared" si="143"/>
        <v>GAR</v>
      </c>
      <c r="F1322" s="7" t="str">
        <f t="shared" si="144"/>
        <v>UNI</v>
      </c>
      <c r="G1322" s="7" t="str">
        <f t="shared" si="145"/>
        <v>SOU</v>
      </c>
      <c r="H1322" s="7" t="str">
        <f t="shared" si="146"/>
        <v>TRA</v>
      </c>
      <c r="I1322" s="7" t="str">
        <f t="shared" si="147"/>
        <v>RT1</v>
      </c>
      <c r="J1322" s="7" t="str">
        <f t="shared" si="148"/>
        <v>MIX</v>
      </c>
      <c r="K1322" s="7" t="str">
        <f t="shared" si="149"/>
        <v>0</v>
      </c>
      <c r="L1322" s="7">
        <v>0</v>
      </c>
      <c r="M1322" s="7" t="s">
        <v>2609</v>
      </c>
      <c r="N1322" s="7">
        <f>_xlfn.XLOOKUP(A1322,[1]SKU!$A:$A,[1]SKU!$Z:$Z)</f>
        <v>95000</v>
      </c>
    </row>
    <row r="1323" spans="1:14">
      <c r="A1323" s="1" t="s">
        <v>6135</v>
      </c>
      <c r="B1323" s="2" t="s">
        <v>4472</v>
      </c>
      <c r="C1323" s="2" t="s">
        <v>1606</v>
      </c>
      <c r="D1323" s="2" t="s">
        <v>6136</v>
      </c>
      <c r="E1323" s="7" t="str">
        <f t="shared" si="143"/>
        <v>LTN</v>
      </c>
      <c r="F1323" s="7" t="str">
        <f t="shared" si="144"/>
        <v>UNI</v>
      </c>
      <c r="G1323" s="7" t="str">
        <f t="shared" si="145"/>
        <v>FNB</v>
      </c>
      <c r="H1323" s="7" t="str">
        <f t="shared" si="146"/>
        <v>GIN</v>
      </c>
      <c r="I1323" s="7" t="str">
        <f t="shared" si="147"/>
        <v>ESG</v>
      </c>
      <c r="J1323" s="7" t="str">
        <f t="shared" si="148"/>
        <v>MIX</v>
      </c>
      <c r="K1323" s="7" t="str">
        <f t="shared" si="149"/>
        <v>0</v>
      </c>
      <c r="L1323" s="7">
        <v>0</v>
      </c>
      <c r="M1323" s="7" t="s">
        <v>2609</v>
      </c>
      <c r="N1323" s="7">
        <f>_xlfn.XLOOKUP(A1323,[1]SKU!$A:$A,[1]SKU!$Z:$Z)</f>
        <v>459000</v>
      </c>
    </row>
    <row r="1324" spans="1:14">
      <c r="A1324" s="1" t="s">
        <v>1607</v>
      </c>
      <c r="B1324" s="2" t="s">
        <v>3</v>
      </c>
      <c r="C1324" s="2" t="s">
        <v>1608</v>
      </c>
      <c r="D1324" s="2" t="s">
        <v>1609</v>
      </c>
      <c r="E1324" s="7" t="str">
        <f t="shared" si="143"/>
        <v>GSL</v>
      </c>
      <c r="F1324" s="7" t="str">
        <f t="shared" si="144"/>
        <v>KID</v>
      </c>
      <c r="G1324" s="7" t="str">
        <f t="shared" si="145"/>
        <v>TSS</v>
      </c>
      <c r="H1324" s="7" t="str">
        <f t="shared" si="146"/>
        <v>ONE</v>
      </c>
      <c r="I1324" s="7" t="str">
        <f t="shared" si="147"/>
        <v>DHT</v>
      </c>
      <c r="J1324" s="7" t="str">
        <f t="shared" si="148"/>
        <v>ORA</v>
      </c>
      <c r="K1324" s="7" t="str">
        <f t="shared" si="149"/>
        <v>8</v>
      </c>
      <c r="L1324" s="7" t="s">
        <v>2018</v>
      </c>
      <c r="M1324" s="7" t="s">
        <v>4462</v>
      </c>
      <c r="N1324" s="7">
        <f>_xlfn.XLOOKUP(A1324,[1]SKU!$A:$A,[1]SKU!$Z:$Z)</f>
        <v>550000</v>
      </c>
    </row>
    <row r="1325" spans="1:14">
      <c r="A1325" s="1" t="s">
        <v>1610</v>
      </c>
      <c r="B1325" s="2" t="s">
        <v>3</v>
      </c>
      <c r="C1325" s="2" t="s">
        <v>684</v>
      </c>
      <c r="D1325" s="2" t="s">
        <v>1611</v>
      </c>
      <c r="E1325" s="7" t="str">
        <f t="shared" si="143"/>
        <v>GOR</v>
      </c>
      <c r="F1325" s="7" t="str">
        <f t="shared" si="144"/>
        <v>WOM</v>
      </c>
      <c r="G1325" s="7" t="str">
        <f t="shared" si="145"/>
        <v>PZE</v>
      </c>
      <c r="H1325" s="7" t="str">
        <f t="shared" si="146"/>
        <v>ONE</v>
      </c>
      <c r="I1325" s="7" t="str">
        <f t="shared" si="147"/>
        <v>STC</v>
      </c>
      <c r="J1325" s="7" t="str">
        <f t="shared" si="148"/>
        <v>PPA</v>
      </c>
      <c r="K1325" s="7" t="str">
        <f t="shared" si="149"/>
        <v>M</v>
      </c>
      <c r="L1325" s="7" t="s">
        <v>2167</v>
      </c>
      <c r="M1325" s="7" t="s">
        <v>2167</v>
      </c>
      <c r="N1325" s="7">
        <f>_xlfn.XLOOKUP(A1325,[1]SKU!$A:$A,[1]SKU!$Z:$Z)</f>
        <v>790000</v>
      </c>
    </row>
    <row r="1326" spans="1:14">
      <c r="A1326" s="1" t="s">
        <v>6137</v>
      </c>
      <c r="B1326" s="2" t="s">
        <v>4472</v>
      </c>
      <c r="C1326" s="2" t="s">
        <v>1612</v>
      </c>
      <c r="D1326" s="2" t="s">
        <v>6138</v>
      </c>
      <c r="E1326" s="7" t="str">
        <f t="shared" si="143"/>
        <v>MSA</v>
      </c>
      <c r="F1326" s="7" t="str">
        <f t="shared" si="144"/>
        <v>UNI</v>
      </c>
      <c r="G1326" s="7" t="str">
        <f t="shared" si="145"/>
        <v>FNB</v>
      </c>
      <c r="H1326" s="7" t="str">
        <f t="shared" si="146"/>
        <v>SAK</v>
      </c>
      <c r="I1326" s="7" t="str">
        <f t="shared" si="147"/>
        <v>PCB</v>
      </c>
      <c r="J1326" s="7" t="str">
        <f t="shared" si="148"/>
        <v>MIX</v>
      </c>
      <c r="K1326" s="7" t="str">
        <f t="shared" si="149"/>
        <v>300</v>
      </c>
      <c r="L1326" s="7">
        <v>0</v>
      </c>
      <c r="M1326" s="7" t="s">
        <v>2609</v>
      </c>
      <c r="N1326" s="7">
        <f>_xlfn.XLOOKUP(A1326,[1]SKU!$A:$A,[1]SKU!$Z:$Z)</f>
        <v>215000</v>
      </c>
    </row>
    <row r="1327" spans="1:14">
      <c r="A1327" s="1" t="s">
        <v>1613</v>
      </c>
      <c r="B1327" s="2" t="s">
        <v>3</v>
      </c>
      <c r="C1327" s="2" t="s">
        <v>61</v>
      </c>
      <c r="D1327" s="2" t="s">
        <v>1614</v>
      </c>
      <c r="E1327" s="7" t="str">
        <f t="shared" si="143"/>
        <v>GOR</v>
      </c>
      <c r="F1327" s="7" t="str">
        <f t="shared" si="144"/>
        <v>WOM</v>
      </c>
      <c r="G1327" s="7" t="str">
        <f t="shared" si="145"/>
        <v>TSB</v>
      </c>
      <c r="H1327" s="7" t="str">
        <f t="shared" si="146"/>
        <v>ONE</v>
      </c>
      <c r="I1327" s="7" t="str">
        <f t="shared" si="147"/>
        <v>RLN</v>
      </c>
      <c r="J1327" s="7" t="str">
        <f t="shared" si="148"/>
        <v>JBG</v>
      </c>
      <c r="K1327" s="7" t="str">
        <f t="shared" si="149"/>
        <v>L</v>
      </c>
      <c r="L1327" s="7" t="s">
        <v>2101</v>
      </c>
      <c r="M1327" s="7" t="s">
        <v>4462</v>
      </c>
      <c r="N1327" s="7">
        <f>_xlfn.XLOOKUP(A1327,[1]SKU!$A:$A,[1]SKU!$Z:$Z)</f>
        <v>990000</v>
      </c>
    </row>
    <row r="1328" spans="1:14">
      <c r="A1328" s="1" t="s">
        <v>6139</v>
      </c>
      <c r="B1328" s="2" t="s">
        <v>4472</v>
      </c>
      <c r="C1328" s="2" t="s">
        <v>100</v>
      </c>
      <c r="D1328" s="2" t="s">
        <v>6140</v>
      </c>
      <c r="E1328" s="7" t="str">
        <f t="shared" si="143"/>
        <v>PSD</v>
      </c>
      <c r="F1328" s="7" t="str">
        <f t="shared" si="144"/>
        <v>UNI</v>
      </c>
      <c r="G1328" s="7" t="str">
        <f t="shared" si="145"/>
        <v>SOU</v>
      </c>
      <c r="H1328" s="7" t="str">
        <f t="shared" si="146"/>
        <v>DEC</v>
      </c>
      <c r="I1328" s="7" t="str">
        <f t="shared" si="147"/>
        <v>LBA</v>
      </c>
      <c r="J1328" s="7" t="str">
        <f t="shared" si="148"/>
        <v>BRO</v>
      </c>
      <c r="K1328" s="7" t="str">
        <f t="shared" si="149"/>
        <v>12</v>
      </c>
      <c r="L1328" s="7">
        <v>0</v>
      </c>
      <c r="M1328" s="7" t="s">
        <v>2609</v>
      </c>
      <c r="N1328" s="7">
        <f>_xlfn.XLOOKUP(A1328,[1]SKU!$A:$A,[1]SKU!$Z:$Z)</f>
        <v>395000</v>
      </c>
    </row>
    <row r="1329" spans="1:14">
      <c r="A1329" s="1" t="s">
        <v>6141</v>
      </c>
      <c r="B1329" s="2" t="s">
        <v>69</v>
      </c>
      <c r="C1329" s="2" t="s">
        <v>1615</v>
      </c>
      <c r="D1329" s="2" t="s">
        <v>6142</v>
      </c>
      <c r="E1329" s="7" t="str">
        <f t="shared" si="143"/>
        <v>GCF</v>
      </c>
      <c r="F1329" s="7" t="str">
        <f t="shared" si="144"/>
        <v>UNI</v>
      </c>
      <c r="G1329" s="7" t="str">
        <f t="shared" si="145"/>
        <v>FNB</v>
      </c>
      <c r="H1329" s="7" t="str">
        <f t="shared" si="146"/>
        <v>CFO</v>
      </c>
      <c r="I1329" s="7" t="str">
        <f t="shared" si="147"/>
        <v>GSK</v>
      </c>
      <c r="J1329" s="7" t="str">
        <f t="shared" si="148"/>
        <v>MIX</v>
      </c>
      <c r="K1329" s="7" t="str">
        <f t="shared" si="149"/>
        <v>0</v>
      </c>
      <c r="L1329" s="7">
        <v>0</v>
      </c>
      <c r="M1329" s="7" t="s">
        <v>2609</v>
      </c>
      <c r="N1329" s="7">
        <f>_xlfn.XLOOKUP(A1329,[1]SKU!$A:$A,[1]SKU!$Z:$Z)</f>
        <v>89000</v>
      </c>
    </row>
    <row r="1330" spans="1:14">
      <c r="A1330" s="1" t="s">
        <v>1616</v>
      </c>
      <c r="B1330" s="2" t="s">
        <v>3</v>
      </c>
      <c r="C1330" s="2" t="s">
        <v>572</v>
      </c>
      <c r="D1330" s="2" t="s">
        <v>1617</v>
      </c>
      <c r="E1330" s="7" t="str">
        <f t="shared" si="143"/>
        <v>GOR</v>
      </c>
      <c r="F1330" s="7" t="str">
        <f t="shared" si="144"/>
        <v>KID</v>
      </c>
      <c r="G1330" s="7" t="str">
        <f t="shared" si="145"/>
        <v>TSS</v>
      </c>
      <c r="H1330" s="7" t="str">
        <f t="shared" si="146"/>
        <v>ONE</v>
      </c>
      <c r="I1330" s="7" t="str">
        <f t="shared" si="147"/>
        <v>SDS</v>
      </c>
      <c r="J1330" s="7" t="str">
        <f t="shared" si="148"/>
        <v>WHI</v>
      </c>
      <c r="K1330" s="7" t="str">
        <f t="shared" si="149"/>
        <v>4</v>
      </c>
      <c r="L1330" s="7" t="s">
        <v>2018</v>
      </c>
      <c r="M1330" s="7" t="s">
        <v>4462</v>
      </c>
      <c r="N1330" s="7">
        <f>_xlfn.XLOOKUP(A1330,[1]SKU!$A:$A,[1]SKU!$Z:$Z)</f>
        <v>590000</v>
      </c>
    </row>
    <row r="1331" spans="1:14">
      <c r="A1331" s="1" t="s">
        <v>6143</v>
      </c>
      <c r="B1331" s="2" t="s">
        <v>4472</v>
      </c>
      <c r="C1331" s="2" t="s">
        <v>1618</v>
      </c>
      <c r="D1331" s="2" t="s">
        <v>6144</v>
      </c>
      <c r="E1331" s="7" t="str">
        <f t="shared" si="143"/>
        <v>RUN</v>
      </c>
      <c r="F1331" s="7" t="str">
        <f t="shared" si="144"/>
        <v>UNI</v>
      </c>
      <c r="G1331" s="7" t="str">
        <f t="shared" si="145"/>
        <v>HDR</v>
      </c>
      <c r="H1331" s="7" t="str">
        <f t="shared" si="146"/>
        <v>FBA</v>
      </c>
      <c r="I1331" s="7" t="str">
        <f t="shared" si="147"/>
        <v>MAO</v>
      </c>
      <c r="J1331" s="7" t="str">
        <f t="shared" si="148"/>
        <v>MIX</v>
      </c>
      <c r="K1331" s="7" t="str">
        <f t="shared" si="149"/>
        <v>0</v>
      </c>
      <c r="L1331" s="7">
        <v>0</v>
      </c>
      <c r="M1331" s="7" t="s">
        <v>2609</v>
      </c>
      <c r="N1331" s="7">
        <f>_xlfn.XLOOKUP(A1331,[1]SKU!$A:$A,[1]SKU!$Z:$Z)</f>
        <v>253000</v>
      </c>
    </row>
    <row r="1332" spans="1:14">
      <c r="A1332" s="1" t="s">
        <v>6145</v>
      </c>
      <c r="B1332" s="2" t="s">
        <v>4481</v>
      </c>
      <c r="C1332" s="2" t="s">
        <v>1619</v>
      </c>
      <c r="D1332" s="2" t="s">
        <v>6146</v>
      </c>
      <c r="E1332" s="7" t="str">
        <f t="shared" si="143"/>
        <v>PAS</v>
      </c>
      <c r="F1332" s="7" t="str">
        <f t="shared" si="144"/>
        <v>UNI</v>
      </c>
      <c r="G1332" s="7" t="str">
        <f t="shared" si="145"/>
        <v>ART</v>
      </c>
      <c r="H1332" s="7" t="str">
        <f t="shared" si="146"/>
        <v>ART</v>
      </c>
      <c r="I1332" s="7" t="str">
        <f t="shared" si="147"/>
        <v>598</v>
      </c>
      <c r="J1332" s="7" t="str">
        <f t="shared" si="148"/>
        <v>MIX</v>
      </c>
      <c r="K1332" s="7" t="str">
        <f t="shared" si="149"/>
        <v>A3</v>
      </c>
      <c r="L1332" s="7">
        <v>0</v>
      </c>
      <c r="M1332" s="7" t="s">
        <v>2609</v>
      </c>
      <c r="N1332" s="7">
        <f>_xlfn.XLOOKUP(A1332,[1]SKU!$A:$A,[1]SKU!$Z:$Z)</f>
        <v>5000000</v>
      </c>
    </row>
    <row r="1333" spans="1:14">
      <c r="A1333" s="1" t="s">
        <v>6147</v>
      </c>
      <c r="B1333" s="2" t="s">
        <v>4472</v>
      </c>
      <c r="C1333" s="2" t="s">
        <v>4907</v>
      </c>
      <c r="D1333" s="2" t="s">
        <v>6148</v>
      </c>
      <c r="E1333" s="7" t="str">
        <f t="shared" si="143"/>
        <v>DSP</v>
      </c>
      <c r="F1333" s="7" t="str">
        <f t="shared" si="144"/>
        <v>UNI</v>
      </c>
      <c r="G1333" s="7" t="str">
        <f t="shared" si="145"/>
        <v>BAG</v>
      </c>
      <c r="H1333" s="7" t="str">
        <f t="shared" si="146"/>
        <v>WAL</v>
      </c>
      <c r="I1333" s="7" t="str">
        <f t="shared" si="147"/>
        <v>GC0</v>
      </c>
      <c r="J1333" s="7" t="str">
        <f t="shared" si="148"/>
        <v>REP</v>
      </c>
      <c r="K1333" s="7" t="str">
        <f t="shared" si="149"/>
        <v>0</v>
      </c>
      <c r="L1333" s="7">
        <v>0</v>
      </c>
      <c r="M1333" s="7" t="s">
        <v>2609</v>
      </c>
      <c r="N1333" s="7">
        <f>_xlfn.XLOOKUP(A1333,[1]SKU!$A:$A,[1]SKU!$Z:$Z)</f>
        <v>1350000</v>
      </c>
    </row>
    <row r="1334" spans="1:14">
      <c r="A1334" s="1" t="s">
        <v>6149</v>
      </c>
      <c r="B1334" s="2" t="s">
        <v>4472</v>
      </c>
      <c r="C1334" s="2" t="s">
        <v>216</v>
      </c>
      <c r="D1334" s="2" t="s">
        <v>6150</v>
      </c>
      <c r="E1334" s="7" t="str">
        <f t="shared" si="143"/>
        <v>DSP</v>
      </c>
      <c r="F1334" s="7" t="str">
        <f t="shared" si="144"/>
        <v>UNI</v>
      </c>
      <c r="G1334" s="7" t="str">
        <f t="shared" si="145"/>
        <v>FWR</v>
      </c>
      <c r="H1334" s="7" t="str">
        <f t="shared" si="146"/>
        <v>LES</v>
      </c>
      <c r="I1334" s="7" t="str">
        <f t="shared" si="147"/>
        <v>BOX</v>
      </c>
      <c r="J1334" s="7" t="str">
        <f t="shared" si="148"/>
        <v>CHO</v>
      </c>
      <c r="K1334" s="7" t="str">
        <f t="shared" si="149"/>
        <v>39</v>
      </c>
      <c r="L1334" s="7">
        <v>0</v>
      </c>
      <c r="M1334" s="7" t="s">
        <v>2609</v>
      </c>
      <c r="N1334" s="7">
        <f>_xlfn.XLOOKUP(A1334,[1]SKU!$A:$A,[1]SKU!$Z:$Z)</f>
        <v>6200000</v>
      </c>
    </row>
    <row r="1335" spans="1:14">
      <c r="A1335" s="1" t="s">
        <v>1620</v>
      </c>
      <c r="B1335" s="2" t="s">
        <v>3</v>
      </c>
      <c r="C1335" s="2" t="s">
        <v>268</v>
      </c>
      <c r="D1335" s="2" t="s">
        <v>1621</v>
      </c>
      <c r="E1335" s="7" t="str">
        <f t="shared" si="143"/>
        <v>GBA</v>
      </c>
      <c r="F1335" s="7" t="str">
        <f t="shared" si="144"/>
        <v>MEN</v>
      </c>
      <c r="G1335" s="7" t="str">
        <f t="shared" si="145"/>
        <v>TSS</v>
      </c>
      <c r="H1335" s="7" t="str">
        <f t="shared" si="146"/>
        <v>ONE</v>
      </c>
      <c r="I1335" s="7" t="str">
        <f t="shared" si="147"/>
        <v>SSY</v>
      </c>
      <c r="J1335" s="7" t="str">
        <f t="shared" si="148"/>
        <v>GRE</v>
      </c>
      <c r="K1335" s="7" t="str">
        <f t="shared" si="149"/>
        <v>M</v>
      </c>
      <c r="L1335" s="7" t="s">
        <v>2018</v>
      </c>
      <c r="M1335" s="7" t="s">
        <v>4462</v>
      </c>
      <c r="N1335" s="7">
        <f>_xlfn.XLOOKUP(A1335,[1]SKU!$A:$A,[1]SKU!$Z:$Z)</f>
        <v>710000</v>
      </c>
    </row>
    <row r="1336" spans="1:14">
      <c r="A1336" s="1" t="s">
        <v>6151</v>
      </c>
      <c r="B1336" s="2" t="s">
        <v>4472</v>
      </c>
      <c r="C1336" s="2" t="s">
        <v>1622</v>
      </c>
      <c r="D1336" s="2" t="s">
        <v>6152</v>
      </c>
      <c r="E1336" s="7" t="str">
        <f t="shared" si="143"/>
        <v>DSP</v>
      </c>
      <c r="F1336" s="7" t="str">
        <f t="shared" si="144"/>
        <v>UNI</v>
      </c>
      <c r="G1336" s="7" t="str">
        <f t="shared" si="145"/>
        <v>FWR</v>
      </c>
      <c r="H1336" s="7" t="str">
        <f t="shared" si="146"/>
        <v>LES</v>
      </c>
      <c r="I1336" s="7" t="str">
        <f t="shared" si="147"/>
        <v>JOB</v>
      </c>
      <c r="J1336" s="7" t="str">
        <f t="shared" si="148"/>
        <v>TAU</v>
      </c>
      <c r="K1336" s="7" t="str">
        <f t="shared" si="149"/>
        <v>39</v>
      </c>
      <c r="L1336" s="7">
        <v>0</v>
      </c>
      <c r="M1336" s="7" t="s">
        <v>2609</v>
      </c>
      <c r="N1336" s="7">
        <f>_xlfn.XLOOKUP(A1336,[1]SKU!$A:$A,[1]SKU!$Z:$Z)</f>
        <v>7500000</v>
      </c>
    </row>
    <row r="1337" spans="1:14">
      <c r="A1337" s="1" t="s">
        <v>1623</v>
      </c>
      <c r="B1337" s="2" t="s">
        <v>3</v>
      </c>
      <c r="C1337" s="2" t="s">
        <v>16</v>
      </c>
      <c r="D1337" s="2" t="s">
        <v>1624</v>
      </c>
      <c r="E1337" s="7" t="str">
        <f t="shared" si="143"/>
        <v>GOR</v>
      </c>
      <c r="F1337" s="7" t="str">
        <f t="shared" si="144"/>
        <v>MEN</v>
      </c>
      <c r="G1337" s="7" t="str">
        <f t="shared" si="145"/>
        <v>TSS</v>
      </c>
      <c r="H1337" s="7" t="str">
        <f t="shared" si="146"/>
        <v>ONE</v>
      </c>
      <c r="I1337" s="7" t="str">
        <f t="shared" si="147"/>
        <v>SMP</v>
      </c>
      <c r="J1337" s="7" t="str">
        <f t="shared" si="148"/>
        <v>BLK</v>
      </c>
      <c r="K1337" s="7" t="str">
        <f t="shared" si="149"/>
        <v>L</v>
      </c>
      <c r="L1337" s="7" t="s">
        <v>2018</v>
      </c>
      <c r="M1337" s="7" t="s">
        <v>4462</v>
      </c>
      <c r="N1337" s="7">
        <f>_xlfn.XLOOKUP(A1337,[1]SKU!$A:$A,[1]SKU!$Z:$Z)</f>
        <v>790000</v>
      </c>
    </row>
    <row r="1338" spans="1:14">
      <c r="A1338" s="1" t="s">
        <v>6153</v>
      </c>
      <c r="B1338" s="2" t="s">
        <v>4472</v>
      </c>
      <c r="C1338" s="2" t="s">
        <v>4744</v>
      </c>
      <c r="D1338" s="2" t="s">
        <v>6154</v>
      </c>
      <c r="E1338" s="7" t="str">
        <f t="shared" si="143"/>
        <v>HAM</v>
      </c>
      <c r="F1338" s="7" t="str">
        <f t="shared" si="144"/>
        <v>UNI</v>
      </c>
      <c r="G1338" s="7" t="str">
        <f t="shared" si="145"/>
        <v>JEW</v>
      </c>
      <c r="H1338" s="7" t="str">
        <f t="shared" si="146"/>
        <v>NEC</v>
      </c>
      <c r="I1338" s="7" t="str">
        <f t="shared" si="147"/>
        <v>L28</v>
      </c>
      <c r="J1338" s="7" t="str">
        <f t="shared" si="148"/>
        <v>MIX</v>
      </c>
      <c r="K1338" s="7" t="str">
        <f t="shared" si="149"/>
        <v>0</v>
      </c>
      <c r="L1338" s="7">
        <v>0</v>
      </c>
      <c r="M1338" s="7" t="s">
        <v>2609</v>
      </c>
      <c r="N1338" s="7">
        <f>_xlfn.XLOOKUP(A1338,[1]SKU!$A:$A,[1]SKU!$Z:$Z)</f>
        <v>1800000</v>
      </c>
    </row>
    <row r="1339" spans="1:14">
      <c r="A1339" s="1" t="s">
        <v>1626</v>
      </c>
      <c r="B1339" s="2" t="s">
        <v>3</v>
      </c>
      <c r="C1339" s="2" t="s">
        <v>167</v>
      </c>
      <c r="D1339" s="2" t="s">
        <v>1627</v>
      </c>
      <c r="E1339" s="7" t="str">
        <f t="shared" si="143"/>
        <v>GOR</v>
      </c>
      <c r="F1339" s="7" t="str">
        <f t="shared" si="144"/>
        <v>MEN</v>
      </c>
      <c r="G1339" s="7" t="str">
        <f t="shared" si="145"/>
        <v>TSS</v>
      </c>
      <c r="H1339" s="7" t="str">
        <f t="shared" si="146"/>
        <v>ONE</v>
      </c>
      <c r="I1339" s="7" t="str">
        <f t="shared" si="147"/>
        <v>TJM</v>
      </c>
      <c r="J1339" s="7" t="str">
        <f t="shared" si="148"/>
        <v>OLI</v>
      </c>
      <c r="K1339" s="7" t="str">
        <f t="shared" si="149"/>
        <v>XL</v>
      </c>
      <c r="L1339" s="7" t="s">
        <v>2018</v>
      </c>
      <c r="M1339" s="7" t="s">
        <v>4462</v>
      </c>
      <c r="N1339" s="7">
        <f>_xlfn.XLOOKUP(A1339,[1]SKU!$A:$A,[1]SKU!$Z:$Z)</f>
        <v>790000</v>
      </c>
    </row>
    <row r="1340" spans="1:14">
      <c r="A1340" s="1" t="s">
        <v>1628</v>
      </c>
      <c r="B1340" s="2" t="s">
        <v>19</v>
      </c>
      <c r="C1340" s="2" t="s">
        <v>1629</v>
      </c>
      <c r="D1340" s="2" t="s">
        <v>1630</v>
      </c>
      <c r="E1340" s="7" t="str">
        <f t="shared" si="143"/>
        <v>OTH</v>
      </c>
      <c r="F1340" s="7" t="str">
        <f t="shared" si="144"/>
        <v>UNI</v>
      </c>
      <c r="G1340" s="7" t="str">
        <f t="shared" si="145"/>
        <v>SOU</v>
      </c>
      <c r="H1340" s="7" t="str">
        <f t="shared" si="146"/>
        <v>NBI</v>
      </c>
      <c r="I1340" s="7" t="str">
        <f t="shared" si="147"/>
        <v>HUE</v>
      </c>
      <c r="J1340" s="7" t="str">
        <f t="shared" si="148"/>
        <v>MIX</v>
      </c>
      <c r="K1340" s="7" t="str">
        <f t="shared" si="149"/>
        <v>A5</v>
      </c>
      <c r="L1340" s="7">
        <v>0</v>
      </c>
      <c r="M1340" s="7" t="s">
        <v>2609</v>
      </c>
      <c r="N1340" s="7">
        <f>_xlfn.XLOOKUP(A1340,[1]SKU!$A:$A,[1]SKU!$Z:$Z)</f>
        <v>210000</v>
      </c>
    </row>
    <row r="1341" spans="1:14">
      <c r="A1341" s="1" t="s">
        <v>6155</v>
      </c>
      <c r="B1341" s="2" t="s">
        <v>4481</v>
      </c>
      <c r="C1341" s="2" t="s">
        <v>1631</v>
      </c>
      <c r="D1341" s="2" t="s">
        <v>6156</v>
      </c>
      <c r="E1341" s="7" t="str">
        <f t="shared" si="143"/>
        <v>PAS</v>
      </c>
      <c r="F1341" s="7" t="str">
        <f t="shared" si="144"/>
        <v>UNI</v>
      </c>
      <c r="G1341" s="7" t="str">
        <f t="shared" si="145"/>
        <v>ART</v>
      </c>
      <c r="H1341" s="7" t="str">
        <f t="shared" si="146"/>
        <v>ART</v>
      </c>
      <c r="I1341" s="7" t="str">
        <f t="shared" si="147"/>
        <v>LAD</v>
      </c>
      <c r="J1341" s="7" t="str">
        <f t="shared" si="148"/>
        <v>MIX</v>
      </c>
      <c r="K1341" s="7" t="str">
        <f t="shared" si="149"/>
        <v>A5</v>
      </c>
      <c r="L1341" s="7">
        <v>0</v>
      </c>
      <c r="M1341" s="7" t="s">
        <v>2609</v>
      </c>
      <c r="N1341" s="7">
        <f>_xlfn.XLOOKUP(A1341,[1]SKU!$A:$A,[1]SKU!$Z:$Z)</f>
        <v>1800000</v>
      </c>
    </row>
    <row r="1342" spans="1:14">
      <c r="A1342" s="1" t="s">
        <v>1632</v>
      </c>
      <c r="B1342" s="2" t="s">
        <v>3</v>
      </c>
      <c r="C1342" s="2" t="s">
        <v>517</v>
      </c>
      <c r="D1342" s="2" t="s">
        <v>1633</v>
      </c>
      <c r="E1342" s="7" t="str">
        <f t="shared" si="143"/>
        <v>GSU</v>
      </c>
      <c r="F1342" s="7" t="str">
        <f t="shared" si="144"/>
        <v>MEN</v>
      </c>
      <c r="G1342" s="7" t="str">
        <f t="shared" si="145"/>
        <v>TSS</v>
      </c>
      <c r="H1342" s="7" t="str">
        <f t="shared" si="146"/>
        <v>ONE</v>
      </c>
      <c r="I1342" s="7" t="str">
        <f t="shared" si="147"/>
        <v>BBP</v>
      </c>
      <c r="J1342" s="7" t="str">
        <f t="shared" si="148"/>
        <v>VIO</v>
      </c>
      <c r="K1342" s="7" t="str">
        <f t="shared" si="149"/>
        <v>S</v>
      </c>
      <c r="L1342" s="7" t="s">
        <v>2018</v>
      </c>
      <c r="M1342" s="7" t="s">
        <v>4462</v>
      </c>
      <c r="N1342" s="7">
        <f>_xlfn.XLOOKUP(A1342,[1]SKU!$A:$A,[1]SKU!$Z:$Z)</f>
        <v>1090000</v>
      </c>
    </row>
    <row r="1343" spans="1:14">
      <c r="A1343" s="1" t="s">
        <v>6157</v>
      </c>
      <c r="B1343" s="2" t="s">
        <v>4472</v>
      </c>
      <c r="C1343" s="2" t="s">
        <v>4604</v>
      </c>
      <c r="D1343" s="2" t="s">
        <v>6158</v>
      </c>
      <c r="E1343" s="7" t="str">
        <f t="shared" si="143"/>
        <v>PSD</v>
      </c>
      <c r="F1343" s="7" t="str">
        <f t="shared" si="144"/>
        <v>UNI</v>
      </c>
      <c r="G1343" s="7" t="str">
        <f t="shared" si="145"/>
        <v>SOU</v>
      </c>
      <c r="H1343" s="7" t="str">
        <f t="shared" si="146"/>
        <v>DEC</v>
      </c>
      <c r="I1343" s="7" t="str">
        <f t="shared" si="147"/>
        <v>UNI</v>
      </c>
      <c r="J1343" s="7" t="str">
        <f t="shared" si="148"/>
        <v>RED</v>
      </c>
      <c r="K1343" s="7" t="str">
        <f t="shared" si="149"/>
        <v>L</v>
      </c>
      <c r="L1343" s="7">
        <v>0</v>
      </c>
      <c r="M1343" s="7" t="s">
        <v>2609</v>
      </c>
      <c r="N1343" s="7">
        <f>_xlfn.XLOOKUP(A1343,[1]SKU!$A:$A,[1]SKU!$Z:$Z)</f>
        <v>1850000</v>
      </c>
    </row>
    <row r="1344" spans="1:14">
      <c r="A1344" s="1" t="s">
        <v>1634</v>
      </c>
      <c r="B1344" s="2" t="s">
        <v>3</v>
      </c>
      <c r="C1344" s="2" t="s">
        <v>84</v>
      </c>
      <c r="D1344" s="2" t="s">
        <v>1635</v>
      </c>
      <c r="E1344" s="7" t="str">
        <f t="shared" si="143"/>
        <v>GBA</v>
      </c>
      <c r="F1344" s="7" t="str">
        <f t="shared" si="144"/>
        <v>MEN</v>
      </c>
      <c r="G1344" s="7" t="str">
        <f t="shared" si="145"/>
        <v>TSS</v>
      </c>
      <c r="H1344" s="7" t="str">
        <f t="shared" si="146"/>
        <v>ONE</v>
      </c>
      <c r="I1344" s="7" t="str">
        <f t="shared" si="147"/>
        <v>HAI</v>
      </c>
      <c r="J1344" s="7" t="str">
        <f t="shared" si="148"/>
        <v>BLK</v>
      </c>
      <c r="K1344" s="7" t="str">
        <f t="shared" si="149"/>
        <v>L</v>
      </c>
      <c r="L1344" s="7" t="s">
        <v>2018</v>
      </c>
      <c r="M1344" s="7" t="s">
        <v>4462</v>
      </c>
      <c r="N1344" s="7">
        <f>_xlfn.XLOOKUP(A1344,[1]SKU!$A:$A,[1]SKU!$Z:$Z)</f>
        <v>710000</v>
      </c>
    </row>
    <row r="1345" spans="1:14">
      <c r="A1345" s="1" t="s">
        <v>1636</v>
      </c>
      <c r="B1345" s="2" t="s">
        <v>3</v>
      </c>
      <c r="C1345" s="2" t="s">
        <v>1057</v>
      </c>
      <c r="D1345" s="2" t="s">
        <v>1637</v>
      </c>
      <c r="E1345" s="7" t="str">
        <f t="shared" si="143"/>
        <v>GCV</v>
      </c>
      <c r="F1345" s="7" t="str">
        <f t="shared" si="144"/>
        <v>WOM</v>
      </c>
      <c r="G1345" s="7" t="str">
        <f t="shared" si="145"/>
        <v>BLC</v>
      </c>
      <c r="H1345" s="7" t="str">
        <f t="shared" si="146"/>
        <v>ONE</v>
      </c>
      <c r="I1345" s="7" t="str">
        <f t="shared" si="147"/>
        <v>SMA</v>
      </c>
      <c r="J1345" s="7" t="str">
        <f t="shared" si="148"/>
        <v>WHI</v>
      </c>
      <c r="K1345" s="7" t="str">
        <f t="shared" si="149"/>
        <v>S</v>
      </c>
      <c r="L1345" s="7" t="s">
        <v>2298</v>
      </c>
      <c r="M1345" s="7" t="s">
        <v>4465</v>
      </c>
      <c r="N1345" s="7">
        <f>_xlfn.XLOOKUP(A1345,[1]SKU!$A:$A,[1]SKU!$Z:$Z)</f>
        <v>1690000</v>
      </c>
    </row>
    <row r="1346" spans="1:14">
      <c r="A1346" s="1" t="s">
        <v>6159</v>
      </c>
      <c r="B1346" s="2" t="s">
        <v>4472</v>
      </c>
      <c r="C1346" s="2" t="s">
        <v>6160</v>
      </c>
      <c r="D1346" s="2" t="s">
        <v>6161</v>
      </c>
      <c r="E1346" s="7" t="str">
        <f t="shared" ref="E1346:E1409" si="150">_xlfn.TEXTBEFORE(_xlfn.TEXTAFTER(D1346,"-"),"-")</f>
        <v>HAM</v>
      </c>
      <c r="F1346" s="7" t="str">
        <f t="shared" si="144"/>
        <v>UNI</v>
      </c>
      <c r="G1346" s="7" t="str">
        <f t="shared" si="145"/>
        <v>JEW</v>
      </c>
      <c r="H1346" s="7" t="str">
        <f t="shared" si="146"/>
        <v>NEC</v>
      </c>
      <c r="I1346" s="7" t="str">
        <f t="shared" si="147"/>
        <v>097</v>
      </c>
      <c r="J1346" s="7" t="str">
        <f t="shared" si="148"/>
        <v>MIX</v>
      </c>
      <c r="K1346" s="7" t="str">
        <f t="shared" si="149"/>
        <v>0</v>
      </c>
      <c r="L1346" s="7">
        <v>0</v>
      </c>
      <c r="M1346" s="7" t="s">
        <v>2609</v>
      </c>
      <c r="N1346" s="7">
        <f>_xlfn.XLOOKUP(A1346,[1]SKU!$A:$A,[1]SKU!$Z:$Z)</f>
        <v>4400000</v>
      </c>
    </row>
    <row r="1347" spans="1:14">
      <c r="A1347" s="1" t="s">
        <v>6162</v>
      </c>
      <c r="B1347" s="2" t="s">
        <v>4472</v>
      </c>
      <c r="C1347" s="2" t="s">
        <v>172</v>
      </c>
      <c r="D1347" s="2" t="s">
        <v>6163</v>
      </c>
      <c r="E1347" s="7" t="str">
        <f t="shared" si="150"/>
        <v>DSP</v>
      </c>
      <c r="F1347" s="7" t="str">
        <f t="shared" si="144"/>
        <v>UNI</v>
      </c>
      <c r="G1347" s="7" t="str">
        <f t="shared" si="145"/>
        <v>FWR</v>
      </c>
      <c r="H1347" s="7" t="str">
        <f t="shared" si="146"/>
        <v>LES</v>
      </c>
      <c r="I1347" s="7" t="str">
        <f t="shared" si="147"/>
        <v>ALF</v>
      </c>
      <c r="J1347" s="7" t="str">
        <f t="shared" si="148"/>
        <v>DBP</v>
      </c>
      <c r="K1347" s="7" t="str">
        <f t="shared" si="149"/>
        <v>37</v>
      </c>
      <c r="L1347" s="7">
        <v>0</v>
      </c>
      <c r="M1347" s="7" t="s">
        <v>2609</v>
      </c>
      <c r="N1347" s="7">
        <f>_xlfn.XLOOKUP(A1347,[1]SKU!$A:$A,[1]SKU!$Z:$Z)</f>
        <v>7800000</v>
      </c>
    </row>
    <row r="1348" spans="1:14">
      <c r="A1348" s="1" t="s">
        <v>6164</v>
      </c>
      <c r="B1348" s="2" t="s">
        <v>4472</v>
      </c>
      <c r="C1348" s="2" t="s">
        <v>172</v>
      </c>
      <c r="D1348" s="2" t="s">
        <v>6165</v>
      </c>
      <c r="E1348" s="7" t="str">
        <f t="shared" si="150"/>
        <v>DSP</v>
      </c>
      <c r="F1348" s="7" t="str">
        <f t="shared" si="144"/>
        <v>UNI</v>
      </c>
      <c r="G1348" s="7" t="str">
        <f t="shared" si="145"/>
        <v>FWR</v>
      </c>
      <c r="H1348" s="7" t="str">
        <f t="shared" si="146"/>
        <v>LES</v>
      </c>
      <c r="I1348" s="7" t="str">
        <f t="shared" si="147"/>
        <v>ALF</v>
      </c>
      <c r="J1348" s="7" t="str">
        <f t="shared" si="148"/>
        <v>MBE</v>
      </c>
      <c r="K1348" s="7" t="str">
        <f t="shared" si="149"/>
        <v>39</v>
      </c>
      <c r="L1348" s="7">
        <v>0</v>
      </c>
      <c r="M1348" s="7" t="s">
        <v>2609</v>
      </c>
      <c r="N1348" s="7">
        <f>_xlfn.XLOOKUP(A1348,[1]SKU!$A:$A,[1]SKU!$Z:$Z)</f>
        <v>7800000</v>
      </c>
    </row>
    <row r="1349" spans="1:14">
      <c r="A1349" s="1" t="s">
        <v>1639</v>
      </c>
      <c r="B1349" s="2" t="s">
        <v>3</v>
      </c>
      <c r="C1349" s="2" t="s">
        <v>67</v>
      </c>
      <c r="D1349" s="2" t="s">
        <v>1640</v>
      </c>
      <c r="E1349" s="7" t="str">
        <f t="shared" si="150"/>
        <v>GCV</v>
      </c>
      <c r="F1349" s="7" t="str">
        <f t="shared" si="144"/>
        <v>WOM</v>
      </c>
      <c r="G1349" s="7" t="str">
        <f t="shared" si="145"/>
        <v>BLA</v>
      </c>
      <c r="H1349" s="7" t="str">
        <f t="shared" si="146"/>
        <v>BNE</v>
      </c>
      <c r="I1349" s="7" t="str">
        <f t="shared" si="147"/>
        <v>WOL</v>
      </c>
      <c r="J1349" s="7" t="str">
        <f t="shared" si="148"/>
        <v>WHI</v>
      </c>
      <c r="K1349" s="7" t="str">
        <f t="shared" si="149"/>
        <v>L</v>
      </c>
      <c r="L1349" s="7" t="s">
        <v>2270</v>
      </c>
      <c r="M1349" s="7" t="s">
        <v>4465</v>
      </c>
      <c r="N1349" s="7">
        <f>_xlfn.XLOOKUP(A1349,[1]SKU!$A:$A,[1]SKU!$Z:$Z)</f>
        <v>1690000</v>
      </c>
    </row>
    <row r="1350" spans="1:14">
      <c r="A1350" s="1" t="s">
        <v>1641</v>
      </c>
      <c r="B1350" s="2" t="s">
        <v>3</v>
      </c>
      <c r="C1350" s="2" t="s">
        <v>563</v>
      </c>
      <c r="D1350" s="2" t="s">
        <v>1642</v>
      </c>
      <c r="E1350" s="7" t="str">
        <f t="shared" si="150"/>
        <v>GLI</v>
      </c>
      <c r="F1350" s="7" t="str">
        <f t="shared" si="144"/>
        <v>MEN</v>
      </c>
      <c r="G1350" s="7" t="str">
        <f t="shared" si="145"/>
        <v>SHS</v>
      </c>
      <c r="H1350" s="7" t="str">
        <f t="shared" si="146"/>
        <v>BBT</v>
      </c>
      <c r="I1350" s="7" t="str">
        <f t="shared" si="147"/>
        <v>LIN</v>
      </c>
      <c r="J1350" s="7" t="str">
        <f t="shared" si="148"/>
        <v>WHI</v>
      </c>
      <c r="K1350" s="7" t="str">
        <f t="shared" si="149"/>
        <v>M</v>
      </c>
      <c r="L1350" s="7" t="s">
        <v>2752</v>
      </c>
      <c r="M1350" s="7" t="s">
        <v>4463</v>
      </c>
      <c r="N1350" s="7">
        <f>_xlfn.XLOOKUP(A1350,[1]SKU!$A:$A,[1]SKU!$Z:$Z)</f>
        <v>2290000</v>
      </c>
    </row>
    <row r="1351" spans="1:14">
      <c r="A1351" s="1" t="s">
        <v>1643</v>
      </c>
      <c r="B1351" s="2" t="s">
        <v>3</v>
      </c>
      <c r="C1351" s="2" t="s">
        <v>29</v>
      </c>
      <c r="D1351" s="2" t="s">
        <v>1644</v>
      </c>
      <c r="E1351" s="7" t="str">
        <f t="shared" si="150"/>
        <v>GSP</v>
      </c>
      <c r="F1351" s="7" t="str">
        <f t="shared" si="144"/>
        <v>MEN</v>
      </c>
      <c r="G1351" s="7" t="str">
        <f t="shared" si="145"/>
        <v>POL</v>
      </c>
      <c r="H1351" s="7" t="str">
        <f t="shared" si="146"/>
        <v>MAN</v>
      </c>
      <c r="I1351" s="7" t="str">
        <f t="shared" si="147"/>
        <v>SHU</v>
      </c>
      <c r="J1351" s="7" t="str">
        <f t="shared" si="148"/>
        <v>NAV</v>
      </c>
      <c r="K1351" s="7" t="str">
        <f t="shared" si="149"/>
        <v>L</v>
      </c>
      <c r="L1351" s="7" t="s">
        <v>1995</v>
      </c>
      <c r="M1351" s="7" t="s">
        <v>4468</v>
      </c>
      <c r="N1351" s="7">
        <f>_xlfn.XLOOKUP(A1351,[1]SKU!$A:$A,[1]SKU!$Z:$Z)</f>
        <v>1090000</v>
      </c>
    </row>
    <row r="1352" spans="1:14">
      <c r="A1352" s="1" t="s">
        <v>1645</v>
      </c>
      <c r="B1352" s="2" t="s">
        <v>3</v>
      </c>
      <c r="C1352" s="2" t="s">
        <v>167</v>
      </c>
      <c r="D1352" s="2" t="s">
        <v>1646</v>
      </c>
      <c r="E1352" s="7" t="str">
        <f t="shared" si="150"/>
        <v>GKK</v>
      </c>
      <c r="F1352" s="7" t="str">
        <f t="shared" si="144"/>
        <v>WOM</v>
      </c>
      <c r="G1352" s="7" t="str">
        <f t="shared" si="145"/>
        <v>SHH</v>
      </c>
      <c r="H1352" s="7" t="str">
        <f t="shared" si="146"/>
        <v>FBT</v>
      </c>
      <c r="I1352" s="7" t="str">
        <f t="shared" si="147"/>
        <v>TJM</v>
      </c>
      <c r="J1352" s="7" t="str">
        <f t="shared" si="148"/>
        <v>BLK</v>
      </c>
      <c r="K1352" s="7" t="str">
        <f t="shared" si="149"/>
        <v>L</v>
      </c>
      <c r="L1352" s="7" t="s">
        <v>2784</v>
      </c>
      <c r="M1352" s="7" t="s">
        <v>4463</v>
      </c>
      <c r="N1352" s="7">
        <f>_xlfn.XLOOKUP(A1352,[1]SKU!$A:$A,[1]SKU!$Z:$Z)</f>
        <v>1550000</v>
      </c>
    </row>
    <row r="1353" spans="1:14">
      <c r="A1353" s="1" t="s">
        <v>1647</v>
      </c>
      <c r="B1353" s="2" t="s">
        <v>3</v>
      </c>
      <c r="C1353" s="2" t="s">
        <v>450</v>
      </c>
      <c r="D1353" s="2" t="s">
        <v>1648</v>
      </c>
      <c r="E1353" s="7" t="str">
        <f t="shared" si="150"/>
        <v>GOR</v>
      </c>
      <c r="F1353" s="7" t="str">
        <f t="shared" si="144"/>
        <v>MEN</v>
      </c>
      <c r="G1353" s="7" t="str">
        <f t="shared" si="145"/>
        <v>TSP</v>
      </c>
      <c r="H1353" s="7" t="str">
        <f t="shared" si="146"/>
        <v>ONE</v>
      </c>
      <c r="I1353" s="7" t="str">
        <f t="shared" si="147"/>
        <v>HNB</v>
      </c>
      <c r="J1353" s="7" t="str">
        <f t="shared" si="148"/>
        <v>RED</v>
      </c>
      <c r="K1353" s="7" t="str">
        <f t="shared" si="149"/>
        <v>L</v>
      </c>
      <c r="L1353" s="7" t="s">
        <v>2085</v>
      </c>
      <c r="M1353" s="7" t="s">
        <v>4462</v>
      </c>
      <c r="N1353" s="7">
        <f>_xlfn.XLOOKUP(A1353,[1]SKU!$A:$A,[1]SKU!$Z:$Z)</f>
        <v>790000</v>
      </c>
    </row>
    <row r="1354" spans="1:14">
      <c r="A1354" s="1" t="s">
        <v>1649</v>
      </c>
      <c r="B1354" s="2" t="s">
        <v>19</v>
      </c>
      <c r="C1354" s="2" t="s">
        <v>268</v>
      </c>
      <c r="D1354" s="2" t="s">
        <v>1650</v>
      </c>
      <c r="E1354" s="7" t="str">
        <f t="shared" si="150"/>
        <v>OTH</v>
      </c>
      <c r="F1354" s="7" t="str">
        <f t="shared" si="144"/>
        <v>UNI</v>
      </c>
      <c r="G1354" s="7" t="str">
        <f t="shared" si="145"/>
        <v>HDR</v>
      </c>
      <c r="H1354" s="7" t="str">
        <f t="shared" si="146"/>
        <v>COA</v>
      </c>
      <c r="I1354" s="7" t="str">
        <f t="shared" si="147"/>
        <v>SSY</v>
      </c>
      <c r="J1354" s="7" t="str">
        <f t="shared" si="148"/>
        <v>WHI</v>
      </c>
      <c r="K1354" s="7" t="str">
        <f t="shared" si="149"/>
        <v>0</v>
      </c>
      <c r="L1354" s="7">
        <v>0</v>
      </c>
      <c r="M1354" s="7" t="s">
        <v>2609</v>
      </c>
      <c r="N1354" s="7">
        <f>_xlfn.XLOOKUP(A1354,[1]SKU!$A:$A,[1]SKU!$Z:$Z)</f>
        <v>380000</v>
      </c>
    </row>
    <row r="1355" spans="1:14">
      <c r="A1355" s="1" t="s">
        <v>1651</v>
      </c>
      <c r="B1355" s="2" t="s">
        <v>3</v>
      </c>
      <c r="C1355" s="2" t="s">
        <v>447</v>
      </c>
      <c r="D1355" s="2" t="s">
        <v>1652</v>
      </c>
      <c r="E1355" s="7" t="str">
        <f t="shared" si="150"/>
        <v>GOR</v>
      </c>
      <c r="F1355" s="7" t="str">
        <f t="shared" si="144"/>
        <v>MEN</v>
      </c>
      <c r="G1355" s="7" t="str">
        <f t="shared" si="145"/>
        <v>TSS</v>
      </c>
      <c r="H1355" s="7" t="str">
        <f t="shared" si="146"/>
        <v>ONE</v>
      </c>
      <c r="I1355" s="7" t="str">
        <f t="shared" si="147"/>
        <v>GVT</v>
      </c>
      <c r="J1355" s="7" t="str">
        <f t="shared" si="148"/>
        <v>WHI</v>
      </c>
      <c r="K1355" s="7" t="str">
        <f t="shared" si="149"/>
        <v>XL</v>
      </c>
      <c r="L1355" s="7" t="s">
        <v>2018</v>
      </c>
      <c r="M1355" s="7" t="s">
        <v>4462</v>
      </c>
      <c r="N1355" s="7">
        <f>_xlfn.XLOOKUP(A1355,[1]SKU!$A:$A,[1]SKU!$Z:$Z)</f>
        <v>790000</v>
      </c>
    </row>
    <row r="1356" spans="1:14">
      <c r="A1356" s="1" t="s">
        <v>6166</v>
      </c>
      <c r="B1356" s="2" t="s">
        <v>4472</v>
      </c>
      <c r="C1356" s="2" t="s">
        <v>477</v>
      </c>
      <c r="D1356" s="2" t="s">
        <v>6167</v>
      </c>
      <c r="E1356" s="7" t="str">
        <f t="shared" si="150"/>
        <v>SHI</v>
      </c>
      <c r="F1356" s="7" t="str">
        <f t="shared" si="144"/>
        <v>UNI</v>
      </c>
      <c r="G1356" s="7" t="str">
        <f t="shared" si="145"/>
        <v>FNB</v>
      </c>
      <c r="H1356" s="7" t="str">
        <f t="shared" si="146"/>
        <v>CFB</v>
      </c>
      <c r="I1356" s="7" t="str">
        <f t="shared" si="147"/>
        <v>DLB</v>
      </c>
      <c r="J1356" s="7" t="str">
        <f t="shared" si="148"/>
        <v>WHI</v>
      </c>
      <c r="K1356" s="7" t="str">
        <f t="shared" si="149"/>
        <v>BAG</v>
      </c>
      <c r="L1356" s="7">
        <v>0</v>
      </c>
      <c r="M1356" s="7" t="s">
        <v>2609</v>
      </c>
      <c r="N1356" s="7">
        <f>_xlfn.XLOOKUP(A1356,[1]SKU!$A:$A,[1]SKU!$Z:$Z)</f>
        <v>250000</v>
      </c>
    </row>
    <row r="1357" spans="1:14">
      <c r="A1357" s="1" t="s">
        <v>1654</v>
      </c>
      <c r="B1357" s="2" t="s">
        <v>3</v>
      </c>
      <c r="C1357" s="2" t="s">
        <v>684</v>
      </c>
      <c r="D1357" s="2" t="s">
        <v>1655</v>
      </c>
      <c r="E1357" s="7" t="str">
        <f t="shared" si="150"/>
        <v>GOR</v>
      </c>
      <c r="F1357" s="7" t="str">
        <f t="shared" si="144"/>
        <v>WOM</v>
      </c>
      <c r="G1357" s="7" t="str">
        <f t="shared" si="145"/>
        <v>PZE</v>
      </c>
      <c r="H1357" s="7" t="str">
        <f t="shared" si="146"/>
        <v>ONE</v>
      </c>
      <c r="I1357" s="7" t="str">
        <f t="shared" si="147"/>
        <v>STC</v>
      </c>
      <c r="J1357" s="7" t="str">
        <f t="shared" si="148"/>
        <v>PPA</v>
      </c>
      <c r="K1357" s="7" t="str">
        <f t="shared" si="149"/>
        <v>XL</v>
      </c>
      <c r="L1357" s="7" t="s">
        <v>2167</v>
      </c>
      <c r="M1357" s="7" t="s">
        <v>2167</v>
      </c>
      <c r="N1357" s="7">
        <f>_xlfn.XLOOKUP(A1357,[1]SKU!$A:$A,[1]SKU!$Z:$Z)</f>
        <v>790000</v>
      </c>
    </row>
    <row r="1358" spans="1:14">
      <c r="A1358" s="1" t="s">
        <v>6168</v>
      </c>
      <c r="B1358" s="2" t="s">
        <v>4472</v>
      </c>
      <c r="C1358" s="2" t="s">
        <v>1656</v>
      </c>
      <c r="D1358" s="2" t="s">
        <v>6169</v>
      </c>
      <c r="E1358" s="7" t="str">
        <f t="shared" si="150"/>
        <v>TOH</v>
      </c>
      <c r="F1358" s="7" t="str">
        <f t="shared" si="144"/>
        <v>UNI</v>
      </c>
      <c r="G1358" s="7" t="str">
        <f t="shared" si="145"/>
        <v>BAG</v>
      </c>
      <c r="H1358" s="7" t="str">
        <f t="shared" si="146"/>
        <v>WAL</v>
      </c>
      <c r="I1358" s="7" t="str">
        <f t="shared" si="147"/>
        <v>BA2</v>
      </c>
      <c r="J1358" s="7" t="str">
        <f t="shared" si="148"/>
        <v>MIX</v>
      </c>
      <c r="K1358" s="7" t="str">
        <f t="shared" si="149"/>
        <v>S</v>
      </c>
      <c r="L1358" s="7">
        <v>0</v>
      </c>
      <c r="M1358" s="7" t="s">
        <v>2609</v>
      </c>
      <c r="N1358" s="7">
        <f>_xlfn.XLOOKUP(A1358,[1]SKU!$A:$A,[1]SKU!$Z:$Z)</f>
        <v>210000</v>
      </c>
    </row>
    <row r="1359" spans="1:14">
      <c r="A1359" s="1" t="s">
        <v>1657</v>
      </c>
      <c r="B1359" s="2" t="s">
        <v>3</v>
      </c>
      <c r="C1359" s="2" t="s">
        <v>61</v>
      </c>
      <c r="D1359" s="2" t="s">
        <v>1658</v>
      </c>
      <c r="E1359" s="7" t="str">
        <f t="shared" si="150"/>
        <v>GPI</v>
      </c>
      <c r="F1359" s="7" t="str">
        <f t="shared" si="144"/>
        <v>MEN</v>
      </c>
      <c r="G1359" s="7" t="str">
        <f t="shared" si="145"/>
        <v>POL</v>
      </c>
      <c r="H1359" s="7" t="str">
        <f t="shared" si="146"/>
        <v>MAN</v>
      </c>
      <c r="I1359" s="7" t="str">
        <f t="shared" si="147"/>
        <v>RLN</v>
      </c>
      <c r="J1359" s="7" t="str">
        <f t="shared" si="148"/>
        <v>OLI</v>
      </c>
      <c r="K1359" s="7" t="str">
        <f t="shared" si="149"/>
        <v>M</v>
      </c>
      <c r="L1359" s="7" t="s">
        <v>1995</v>
      </c>
      <c r="M1359" s="7" t="s">
        <v>4468</v>
      </c>
      <c r="N1359" s="7">
        <f>_xlfn.XLOOKUP(A1359,[1]SKU!$A:$A,[1]SKU!$Z:$Z)</f>
        <v>1190000</v>
      </c>
    </row>
    <row r="1360" spans="1:14">
      <c r="A1360" s="1" t="s">
        <v>1659</v>
      </c>
      <c r="B1360" s="2" t="s">
        <v>3</v>
      </c>
      <c r="C1360" s="2" t="s">
        <v>229</v>
      </c>
      <c r="D1360" s="2" t="s">
        <v>1660</v>
      </c>
      <c r="E1360" s="7" t="str">
        <f t="shared" si="150"/>
        <v>GSP</v>
      </c>
      <c r="F1360" s="7" t="str">
        <f t="shared" si="144"/>
        <v>MEN</v>
      </c>
      <c r="G1360" s="7" t="str">
        <f t="shared" si="145"/>
        <v>POL</v>
      </c>
      <c r="H1360" s="7" t="str">
        <f t="shared" si="146"/>
        <v>MAN</v>
      </c>
      <c r="I1360" s="7" t="str">
        <f t="shared" si="147"/>
        <v>RFT</v>
      </c>
      <c r="J1360" s="7" t="str">
        <f t="shared" si="148"/>
        <v>VIO</v>
      </c>
      <c r="K1360" s="7" t="str">
        <f t="shared" si="149"/>
        <v>L</v>
      </c>
      <c r="L1360" s="7" t="s">
        <v>1995</v>
      </c>
      <c r="M1360" s="7" t="s">
        <v>4468</v>
      </c>
      <c r="N1360" s="7">
        <f>_xlfn.XLOOKUP(A1360,[1]SKU!$A:$A,[1]SKU!$Z:$Z)</f>
        <v>1090000</v>
      </c>
    </row>
    <row r="1361" spans="1:14">
      <c r="A1361" s="1" t="s">
        <v>6170</v>
      </c>
      <c r="B1361" s="2" t="s">
        <v>4472</v>
      </c>
      <c r="C1361" s="2" t="s">
        <v>209</v>
      </c>
      <c r="D1361" s="2" t="s">
        <v>6171</v>
      </c>
      <c r="E1361" s="7" t="str">
        <f t="shared" si="150"/>
        <v>DSP</v>
      </c>
      <c r="F1361" s="7" t="str">
        <f t="shared" si="144"/>
        <v>UNI</v>
      </c>
      <c r="G1361" s="7" t="str">
        <f t="shared" si="145"/>
        <v>BAG</v>
      </c>
      <c r="H1361" s="7" t="str">
        <f t="shared" si="146"/>
        <v>CLU</v>
      </c>
      <c r="I1361" s="7" t="str">
        <f t="shared" si="147"/>
        <v>CHA</v>
      </c>
      <c r="J1361" s="7" t="str">
        <f t="shared" si="148"/>
        <v>CHE</v>
      </c>
      <c r="K1361" s="7" t="str">
        <f t="shared" si="149"/>
        <v>0</v>
      </c>
      <c r="L1361" s="7">
        <v>0</v>
      </c>
      <c r="M1361" s="7" t="s">
        <v>2609</v>
      </c>
      <c r="N1361" s="7">
        <f>_xlfn.XLOOKUP(A1361,[1]SKU!$A:$A,[1]SKU!$Z:$Z)</f>
        <v>1300000</v>
      </c>
    </row>
    <row r="1362" spans="1:14">
      <c r="A1362" s="1" t="s">
        <v>1661</v>
      </c>
      <c r="B1362" s="2" t="s">
        <v>19</v>
      </c>
      <c r="C1362" s="2" t="s">
        <v>306</v>
      </c>
      <c r="D1362" s="2" t="s">
        <v>1662</v>
      </c>
      <c r="E1362" s="7" t="str">
        <f t="shared" si="150"/>
        <v>OTH</v>
      </c>
      <c r="F1362" s="7" t="str">
        <f t="shared" si="144"/>
        <v>UNI</v>
      </c>
      <c r="G1362" s="7" t="str">
        <f t="shared" si="145"/>
        <v>BAG</v>
      </c>
      <c r="H1362" s="7" t="str">
        <f t="shared" si="146"/>
        <v>PCE</v>
      </c>
      <c r="I1362" s="7" t="str">
        <f t="shared" si="147"/>
        <v>PCE</v>
      </c>
      <c r="J1362" s="7" t="str">
        <f t="shared" si="148"/>
        <v>BLK</v>
      </c>
      <c r="K1362" s="7" t="str">
        <f t="shared" si="149"/>
        <v>0</v>
      </c>
      <c r="L1362" s="7">
        <v>0</v>
      </c>
      <c r="M1362" s="7" t="s">
        <v>2609</v>
      </c>
      <c r="N1362" s="7">
        <f>_xlfn.XLOOKUP(A1362,[1]SKU!$A:$A,[1]SKU!$Z:$Z)</f>
        <v>395000</v>
      </c>
    </row>
    <row r="1363" spans="1:14">
      <c r="A1363" s="1" t="s">
        <v>6172</v>
      </c>
      <c r="B1363" s="2" t="s">
        <v>4481</v>
      </c>
      <c r="C1363" s="2" t="s">
        <v>1663</v>
      </c>
      <c r="D1363" s="2" t="s">
        <v>6173</v>
      </c>
      <c r="E1363" s="7" t="str">
        <f t="shared" si="150"/>
        <v>PAS</v>
      </c>
      <c r="F1363" s="7" t="str">
        <f t="shared" si="144"/>
        <v>UNI</v>
      </c>
      <c r="G1363" s="7" t="str">
        <f t="shared" si="145"/>
        <v>ART</v>
      </c>
      <c r="H1363" s="7" t="str">
        <f t="shared" si="146"/>
        <v>ART</v>
      </c>
      <c r="I1363" s="7" t="str">
        <f t="shared" si="147"/>
        <v>273</v>
      </c>
      <c r="J1363" s="7" t="str">
        <f t="shared" si="148"/>
        <v>MIX</v>
      </c>
      <c r="K1363" s="7" t="str">
        <f t="shared" si="149"/>
        <v>A2</v>
      </c>
      <c r="L1363" s="7">
        <v>0</v>
      </c>
      <c r="M1363" s="7" t="s">
        <v>2609</v>
      </c>
      <c r="N1363" s="7">
        <f>_xlfn.XLOOKUP(A1363,[1]SKU!$A:$A,[1]SKU!$Z:$Z)</f>
        <v>6000000</v>
      </c>
    </row>
    <row r="1364" spans="1:14">
      <c r="A1364" s="1" t="s">
        <v>1664</v>
      </c>
      <c r="B1364" s="2" t="s">
        <v>3</v>
      </c>
      <c r="C1364" s="2" t="s">
        <v>143</v>
      </c>
      <c r="D1364" s="2" t="s">
        <v>1665</v>
      </c>
      <c r="E1364" s="7" t="str">
        <f t="shared" si="150"/>
        <v>GOR</v>
      </c>
      <c r="F1364" s="7" t="str">
        <f t="shared" si="144"/>
        <v>KID</v>
      </c>
      <c r="G1364" s="7" t="str">
        <f t="shared" si="145"/>
        <v>TSS</v>
      </c>
      <c r="H1364" s="7" t="str">
        <f t="shared" si="146"/>
        <v>ONE</v>
      </c>
      <c r="I1364" s="7" t="str">
        <f t="shared" si="147"/>
        <v>MOX</v>
      </c>
      <c r="J1364" s="7" t="str">
        <f t="shared" si="148"/>
        <v>PPA</v>
      </c>
      <c r="K1364" s="7" t="str">
        <f t="shared" si="149"/>
        <v>4</v>
      </c>
      <c r="L1364" s="7" t="s">
        <v>2018</v>
      </c>
      <c r="M1364" s="7" t="s">
        <v>4462</v>
      </c>
      <c r="N1364" s="7">
        <f>_xlfn.XLOOKUP(A1364,[1]SKU!$A:$A,[1]SKU!$Z:$Z)</f>
        <v>590000</v>
      </c>
    </row>
    <row r="1365" spans="1:14">
      <c r="A1365" s="1" t="s">
        <v>1666</v>
      </c>
      <c r="B1365" s="2" t="s">
        <v>3</v>
      </c>
      <c r="C1365" s="2" t="s">
        <v>1108</v>
      </c>
      <c r="D1365" s="2" t="s">
        <v>1667</v>
      </c>
      <c r="E1365" s="7" t="str">
        <f t="shared" si="150"/>
        <v>GOR</v>
      </c>
      <c r="F1365" s="7" t="str">
        <f t="shared" si="144"/>
        <v>WOM</v>
      </c>
      <c r="G1365" s="7" t="str">
        <f t="shared" si="145"/>
        <v>TSP</v>
      </c>
      <c r="H1365" s="7" t="str">
        <f t="shared" si="146"/>
        <v>ONE</v>
      </c>
      <c r="I1365" s="7" t="str">
        <f t="shared" si="147"/>
        <v>DRF</v>
      </c>
      <c r="J1365" s="7" t="str">
        <f t="shared" si="148"/>
        <v>WHI</v>
      </c>
      <c r="K1365" s="7" t="str">
        <f t="shared" si="149"/>
        <v>S</v>
      </c>
      <c r="L1365" s="7" t="s">
        <v>2085</v>
      </c>
      <c r="M1365" s="7" t="s">
        <v>4462</v>
      </c>
      <c r="N1365" s="7">
        <f>_xlfn.XLOOKUP(A1365,[1]SKU!$A:$A,[1]SKU!$Z:$Z)</f>
        <v>1690000</v>
      </c>
    </row>
    <row r="1366" spans="1:14">
      <c r="A1366" s="1" t="s">
        <v>1668</v>
      </c>
      <c r="B1366" s="2" t="s">
        <v>3</v>
      </c>
      <c r="C1366" s="2" t="s">
        <v>143</v>
      </c>
      <c r="D1366" s="2" t="s">
        <v>1669</v>
      </c>
      <c r="E1366" s="7" t="str">
        <f t="shared" si="150"/>
        <v>GOR</v>
      </c>
      <c r="F1366" s="7" t="str">
        <f t="shared" si="144"/>
        <v>KID</v>
      </c>
      <c r="G1366" s="7" t="str">
        <f t="shared" si="145"/>
        <v>TSS</v>
      </c>
      <c r="H1366" s="7" t="str">
        <f t="shared" si="146"/>
        <v>ONE</v>
      </c>
      <c r="I1366" s="7" t="str">
        <f t="shared" si="147"/>
        <v>MOX</v>
      </c>
      <c r="J1366" s="7" t="str">
        <f t="shared" si="148"/>
        <v>PPA</v>
      </c>
      <c r="K1366" s="7" t="str">
        <f t="shared" si="149"/>
        <v>12</v>
      </c>
      <c r="L1366" s="7" t="s">
        <v>2018</v>
      </c>
      <c r="M1366" s="7" t="s">
        <v>4462</v>
      </c>
      <c r="N1366" s="7">
        <f>_xlfn.XLOOKUP(A1366,[1]SKU!$A:$A,[1]SKU!$Z:$Z)</f>
        <v>590000</v>
      </c>
    </row>
    <row r="1367" spans="1:14">
      <c r="A1367" s="1" t="s">
        <v>6174</v>
      </c>
      <c r="B1367" s="2" t="s">
        <v>4472</v>
      </c>
      <c r="C1367" s="2" t="s">
        <v>6175</v>
      </c>
      <c r="D1367" s="2" t="s">
        <v>6176</v>
      </c>
      <c r="E1367" s="7" t="str">
        <f t="shared" si="150"/>
        <v>LAN</v>
      </c>
      <c r="F1367" s="7" t="str">
        <f t="shared" si="144"/>
        <v>UNI</v>
      </c>
      <c r="G1367" s="7" t="str">
        <f t="shared" si="145"/>
        <v>HWR</v>
      </c>
      <c r="H1367" s="7" t="str">
        <f t="shared" si="146"/>
        <v>SC2</v>
      </c>
      <c r="I1367" s="7" t="str">
        <f t="shared" si="147"/>
        <v>NHH</v>
      </c>
      <c r="J1367" s="7" t="str">
        <f t="shared" si="148"/>
        <v>GRN</v>
      </c>
      <c r="K1367" s="7" t="str">
        <f t="shared" si="149"/>
        <v>6x130</v>
      </c>
      <c r="L1367" s="7">
        <v>0</v>
      </c>
      <c r="M1367" s="7" t="s">
        <v>2609</v>
      </c>
      <c r="N1367" s="7">
        <f>_xlfn.XLOOKUP(A1367,[1]SKU!$A:$A,[1]SKU!$Z:$Z)</f>
        <v>365000</v>
      </c>
    </row>
    <row r="1368" spans="1:14">
      <c r="A1368" s="1" t="s">
        <v>6177</v>
      </c>
      <c r="B1368" s="2" t="s">
        <v>4472</v>
      </c>
      <c r="C1368" s="2" t="s">
        <v>51</v>
      </c>
      <c r="D1368" s="2" t="s">
        <v>6178</v>
      </c>
      <c r="E1368" s="7" t="str">
        <f t="shared" si="150"/>
        <v>DSP</v>
      </c>
      <c r="F1368" s="7" t="str">
        <f t="shared" si="144"/>
        <v>UNI</v>
      </c>
      <c r="G1368" s="7" t="str">
        <f t="shared" si="145"/>
        <v>BAG</v>
      </c>
      <c r="H1368" s="7" t="str">
        <f t="shared" si="146"/>
        <v>CHR</v>
      </c>
      <c r="I1368" s="7" t="str">
        <f t="shared" si="147"/>
        <v>SCH</v>
      </c>
      <c r="J1368" s="7" t="str">
        <f t="shared" si="148"/>
        <v>DBN</v>
      </c>
      <c r="K1368" s="7" t="str">
        <f t="shared" si="149"/>
        <v>0</v>
      </c>
      <c r="L1368" s="7">
        <v>0</v>
      </c>
      <c r="M1368" s="7" t="s">
        <v>2609</v>
      </c>
      <c r="N1368" s="7">
        <f>_xlfn.XLOOKUP(A1368,[1]SKU!$A:$A,[1]SKU!$Z:$Z)</f>
        <v>1150000</v>
      </c>
    </row>
    <row r="1369" spans="1:14">
      <c r="A1369" s="1" t="s">
        <v>6179</v>
      </c>
      <c r="B1369" s="2" t="s">
        <v>4472</v>
      </c>
      <c r="C1369" s="2" t="s">
        <v>6180</v>
      </c>
      <c r="D1369" s="2" t="s">
        <v>6181</v>
      </c>
      <c r="E1369" s="7" t="str">
        <f t="shared" si="150"/>
        <v>HAM</v>
      </c>
      <c r="F1369" s="7" t="str">
        <f t="shared" si="144"/>
        <v>UNI</v>
      </c>
      <c r="G1369" s="7" t="str">
        <f t="shared" si="145"/>
        <v>JEW</v>
      </c>
      <c r="H1369" s="7" t="str">
        <f t="shared" si="146"/>
        <v>NEC</v>
      </c>
      <c r="I1369" s="7" t="str">
        <f t="shared" si="147"/>
        <v>113</v>
      </c>
      <c r="J1369" s="7" t="str">
        <f t="shared" si="148"/>
        <v>MIX</v>
      </c>
      <c r="K1369" s="7" t="str">
        <f t="shared" si="149"/>
        <v>0</v>
      </c>
      <c r="L1369" s="7">
        <v>0</v>
      </c>
      <c r="M1369" s="7" t="s">
        <v>2609</v>
      </c>
      <c r="N1369" s="7">
        <f>_xlfn.XLOOKUP(A1369,[1]SKU!$A:$A,[1]SKU!$Z:$Z)</f>
        <v>4200000</v>
      </c>
    </row>
    <row r="1370" spans="1:14">
      <c r="A1370" s="1" t="s">
        <v>6182</v>
      </c>
      <c r="B1370" s="2" t="s">
        <v>4472</v>
      </c>
      <c r="C1370" s="2" t="s">
        <v>4683</v>
      </c>
      <c r="D1370" s="2" t="s">
        <v>6183</v>
      </c>
      <c r="E1370" s="7" t="str">
        <f t="shared" si="150"/>
        <v>HAM</v>
      </c>
      <c r="F1370" s="7" t="str">
        <f t="shared" si="144"/>
        <v>UNI</v>
      </c>
      <c r="G1370" s="7" t="str">
        <f t="shared" si="145"/>
        <v>JEW</v>
      </c>
      <c r="H1370" s="7" t="str">
        <f t="shared" si="146"/>
        <v>NEC</v>
      </c>
      <c r="I1370" s="7" t="str">
        <f t="shared" si="147"/>
        <v>120</v>
      </c>
      <c r="J1370" s="7" t="str">
        <f t="shared" si="148"/>
        <v>MIX</v>
      </c>
      <c r="K1370" s="7" t="str">
        <f t="shared" si="149"/>
        <v>0</v>
      </c>
      <c r="L1370" s="7">
        <v>0</v>
      </c>
      <c r="M1370" s="7" t="s">
        <v>2609</v>
      </c>
      <c r="N1370" s="7">
        <f>_xlfn.XLOOKUP(A1370,[1]SKU!$A:$A,[1]SKU!$Z:$Z)</f>
        <v>1800000</v>
      </c>
    </row>
    <row r="1371" spans="1:14">
      <c r="A1371" s="1" t="s">
        <v>6184</v>
      </c>
      <c r="B1371" s="2" t="s">
        <v>4472</v>
      </c>
      <c r="C1371" s="2" t="s">
        <v>1672</v>
      </c>
      <c r="D1371" s="2" t="s">
        <v>6185</v>
      </c>
      <c r="E1371" s="7" t="str">
        <f t="shared" si="150"/>
        <v>TKC</v>
      </c>
      <c r="F1371" s="7" t="str">
        <f t="shared" si="144"/>
        <v>UNI</v>
      </c>
      <c r="G1371" s="7" t="str">
        <f t="shared" si="145"/>
        <v>FNB</v>
      </c>
      <c r="H1371" s="7" t="str">
        <f t="shared" si="146"/>
        <v>CFP</v>
      </c>
      <c r="I1371" s="7" t="str">
        <f t="shared" si="147"/>
        <v>ARA</v>
      </c>
      <c r="J1371" s="7" t="str">
        <f t="shared" si="148"/>
        <v>NON</v>
      </c>
      <c r="K1371" s="7" t="str">
        <f t="shared" si="149"/>
        <v>250g</v>
      </c>
      <c r="L1371" s="7">
        <v>0</v>
      </c>
      <c r="M1371" s="7" t="s">
        <v>2609</v>
      </c>
      <c r="N1371" s="7">
        <f>_xlfn.XLOOKUP(A1371,[1]SKU!$A:$A,[1]SKU!$Z:$Z)</f>
        <v>280000</v>
      </c>
    </row>
    <row r="1372" spans="1:14">
      <c r="A1372" s="1" t="s">
        <v>6186</v>
      </c>
      <c r="B1372" s="2" t="s">
        <v>4472</v>
      </c>
      <c r="C1372" s="2" t="s">
        <v>6187</v>
      </c>
      <c r="D1372" s="2" t="s">
        <v>6188</v>
      </c>
      <c r="E1372" s="7" t="str">
        <f t="shared" si="150"/>
        <v>LAN</v>
      </c>
      <c r="F1372" s="7" t="str">
        <f t="shared" ref="F1372:F1435" si="151">_xlfn.TEXTBEFORE(_xlfn.TEXTAFTER(D1372,"-",2),"-")</f>
        <v>UNI</v>
      </c>
      <c r="G1372" s="7" t="str">
        <f t="shared" ref="G1372:G1435" si="152">_xlfn.TEXTBEFORE(_xlfn.TEXTAFTER(D1372,"-",3),"-")</f>
        <v>HWR</v>
      </c>
      <c r="H1372" s="7" t="str">
        <f t="shared" ref="H1372:H1435" si="153">_xlfn.TEXTBEFORE(_xlfn.TEXTAFTER(D1372,"-",4),"-")</f>
        <v>SC2</v>
      </c>
      <c r="I1372" s="7" t="str">
        <f t="shared" ref="I1372:I1435" si="154">_xlfn.TEXTBEFORE(_xlfn.TEXTAFTER(D1372,"-",5),"-")</f>
        <v>TKU</v>
      </c>
      <c r="J1372" s="7" t="str">
        <f t="shared" ref="J1372:J1435" si="155">_xlfn.TEXTBEFORE(_xlfn.TEXTAFTER(D1372,"-",6),"-")</f>
        <v>PIN</v>
      </c>
      <c r="K1372" s="7" t="str">
        <f t="shared" ref="K1372:K1435" si="156">_xlfn.TEXTAFTER(D1372,"-",7)</f>
        <v>60x60</v>
      </c>
      <c r="L1372" s="7">
        <v>0</v>
      </c>
      <c r="M1372" s="7" t="s">
        <v>2609</v>
      </c>
      <c r="N1372" s="7">
        <f>_xlfn.XLOOKUP(A1372,[1]SKU!$A:$A,[1]SKU!$Z:$Z)</f>
        <v>549000</v>
      </c>
    </row>
    <row r="1373" spans="1:14">
      <c r="A1373" s="1" t="s">
        <v>6189</v>
      </c>
      <c r="B1373" s="2" t="s">
        <v>4472</v>
      </c>
      <c r="C1373" s="2" t="s">
        <v>6190</v>
      </c>
      <c r="D1373" s="2" t="s">
        <v>6191</v>
      </c>
      <c r="E1373" s="7" t="str">
        <f t="shared" si="150"/>
        <v>LAN</v>
      </c>
      <c r="F1373" s="7" t="str">
        <f t="shared" si="151"/>
        <v>UNI</v>
      </c>
      <c r="G1373" s="7" t="str">
        <f t="shared" si="152"/>
        <v>HWR</v>
      </c>
      <c r="H1373" s="7" t="str">
        <f t="shared" si="153"/>
        <v>SC2</v>
      </c>
      <c r="I1373" s="7" t="str">
        <f t="shared" si="154"/>
        <v>DVN</v>
      </c>
      <c r="J1373" s="7" t="str">
        <f t="shared" si="155"/>
        <v>YEL</v>
      </c>
      <c r="K1373" s="7" t="str">
        <f t="shared" si="156"/>
        <v>90x90</v>
      </c>
      <c r="L1373" s="7">
        <v>0</v>
      </c>
      <c r="M1373" s="7" t="s">
        <v>2609</v>
      </c>
      <c r="N1373" s="7">
        <f>_xlfn.XLOOKUP(A1373,[1]SKU!$A:$A,[1]SKU!$Z:$Z)</f>
        <v>989000</v>
      </c>
    </row>
    <row r="1374" spans="1:14">
      <c r="A1374" s="1" t="s">
        <v>1673</v>
      </c>
      <c r="B1374" s="2" t="s">
        <v>3</v>
      </c>
      <c r="C1374" s="2" t="s">
        <v>119</v>
      </c>
      <c r="D1374" s="2" t="s">
        <v>1674</v>
      </c>
      <c r="E1374" s="7" t="str">
        <f t="shared" si="150"/>
        <v>GBA</v>
      </c>
      <c r="F1374" s="7" t="str">
        <f t="shared" si="151"/>
        <v>MEN</v>
      </c>
      <c r="G1374" s="7" t="str">
        <f t="shared" si="152"/>
        <v>TSS</v>
      </c>
      <c r="H1374" s="7" t="str">
        <f t="shared" si="153"/>
        <v>ONE</v>
      </c>
      <c r="I1374" s="7" t="str">
        <f t="shared" si="154"/>
        <v>VNW</v>
      </c>
      <c r="J1374" s="7" t="str">
        <f t="shared" si="155"/>
        <v>WHI</v>
      </c>
      <c r="K1374" s="7" t="str">
        <f t="shared" si="156"/>
        <v>XXL</v>
      </c>
      <c r="L1374" s="7" t="s">
        <v>2018</v>
      </c>
      <c r="M1374" s="7" t="s">
        <v>4462</v>
      </c>
      <c r="N1374" s="7">
        <f>_xlfn.XLOOKUP(A1374,[1]SKU!$A:$A,[1]SKU!$Z:$Z)</f>
        <v>1590000</v>
      </c>
    </row>
    <row r="1375" spans="1:14">
      <c r="A1375" s="1" t="s">
        <v>6192</v>
      </c>
      <c r="B1375" s="2" t="s">
        <v>4472</v>
      </c>
      <c r="C1375" s="2" t="s">
        <v>6193</v>
      </c>
      <c r="D1375" s="2" t="s">
        <v>6194</v>
      </c>
      <c r="E1375" s="7" t="str">
        <f t="shared" si="150"/>
        <v>LAN</v>
      </c>
      <c r="F1375" s="7" t="str">
        <f t="shared" si="151"/>
        <v>UNI</v>
      </c>
      <c r="G1375" s="7" t="str">
        <f t="shared" si="152"/>
        <v>HWR</v>
      </c>
      <c r="H1375" s="7" t="str">
        <f t="shared" si="153"/>
        <v>SC1</v>
      </c>
      <c r="I1375" s="7" t="str">
        <f t="shared" si="154"/>
        <v>CBBD</v>
      </c>
      <c r="J1375" s="7" t="str">
        <f t="shared" si="155"/>
        <v>PIN</v>
      </c>
      <c r="K1375" s="7" t="str">
        <f t="shared" si="156"/>
        <v>90x90</v>
      </c>
      <c r="L1375" s="7">
        <v>0</v>
      </c>
      <c r="M1375" s="7" t="s">
        <v>2609</v>
      </c>
      <c r="N1375" s="7">
        <f>_xlfn.XLOOKUP(A1375,[1]SKU!$A:$A,[1]SKU!$Z:$Z)</f>
        <v>849000</v>
      </c>
    </row>
    <row r="1376" spans="1:14">
      <c r="A1376" s="1" t="s">
        <v>6195</v>
      </c>
      <c r="B1376" s="2" t="s">
        <v>4472</v>
      </c>
      <c r="C1376" s="2" t="s">
        <v>100</v>
      </c>
      <c r="D1376" s="2" t="s">
        <v>6196</v>
      </c>
      <c r="E1376" s="7" t="str">
        <f t="shared" si="150"/>
        <v>PSD</v>
      </c>
      <c r="F1376" s="7" t="str">
        <f t="shared" si="151"/>
        <v>UNI</v>
      </c>
      <c r="G1376" s="7" t="str">
        <f t="shared" si="152"/>
        <v>SOU</v>
      </c>
      <c r="H1376" s="7" t="str">
        <f t="shared" si="153"/>
        <v>DEC</v>
      </c>
      <c r="I1376" s="7" t="str">
        <f t="shared" si="154"/>
        <v>LBA</v>
      </c>
      <c r="J1376" s="7" t="str">
        <f t="shared" si="155"/>
        <v>GRN</v>
      </c>
      <c r="K1376" s="7" t="str">
        <f t="shared" si="156"/>
        <v>56</v>
      </c>
      <c r="L1376" s="7">
        <v>0</v>
      </c>
      <c r="M1376" s="7" t="s">
        <v>2609</v>
      </c>
      <c r="N1376" s="7">
        <f>_xlfn.XLOOKUP(A1376,[1]SKU!$A:$A,[1]SKU!$Z:$Z)</f>
        <v>3650000</v>
      </c>
    </row>
    <row r="1377" spans="1:14">
      <c r="A1377" s="1" t="s">
        <v>1675</v>
      </c>
      <c r="B1377" s="2" t="s">
        <v>3</v>
      </c>
      <c r="C1377" s="2" t="s">
        <v>674</v>
      </c>
      <c r="D1377" s="2" t="s">
        <v>1676</v>
      </c>
      <c r="E1377" s="7" t="str">
        <f t="shared" si="150"/>
        <v>GOR</v>
      </c>
      <c r="F1377" s="7" t="str">
        <f t="shared" si="151"/>
        <v>MEN</v>
      </c>
      <c r="G1377" s="7" t="str">
        <f t="shared" si="152"/>
        <v>TSS</v>
      </c>
      <c r="H1377" s="7" t="str">
        <f t="shared" si="153"/>
        <v>ONE</v>
      </c>
      <c r="I1377" s="7" t="str">
        <f t="shared" si="154"/>
        <v>TPO</v>
      </c>
      <c r="J1377" s="7" t="str">
        <f t="shared" si="155"/>
        <v>WHI</v>
      </c>
      <c r="K1377" s="7" t="str">
        <f t="shared" si="156"/>
        <v>L</v>
      </c>
      <c r="L1377" s="7" t="s">
        <v>2018</v>
      </c>
      <c r="M1377" s="7" t="s">
        <v>4462</v>
      </c>
      <c r="N1377" s="7">
        <f>_xlfn.XLOOKUP(A1377,[1]SKU!$A:$A,[1]SKU!$Z:$Z)</f>
        <v>990000</v>
      </c>
    </row>
    <row r="1378" spans="1:14">
      <c r="A1378" s="1" t="s">
        <v>6197</v>
      </c>
      <c r="B1378" s="2" t="s">
        <v>4472</v>
      </c>
      <c r="C1378" s="2" t="s">
        <v>1677</v>
      </c>
      <c r="D1378" s="2" t="s">
        <v>6198</v>
      </c>
      <c r="E1378" s="7" t="str">
        <f t="shared" si="150"/>
        <v>MAZ</v>
      </c>
      <c r="F1378" s="7" t="str">
        <f t="shared" si="151"/>
        <v>UNI</v>
      </c>
      <c r="G1378" s="7" t="str">
        <f t="shared" si="152"/>
        <v>SOU</v>
      </c>
      <c r="H1378" s="7" t="str">
        <f t="shared" si="153"/>
        <v>GAM</v>
      </c>
      <c r="I1378" s="7" t="str">
        <f t="shared" si="154"/>
        <v>DSR</v>
      </c>
      <c r="J1378" s="7" t="str">
        <f t="shared" si="155"/>
        <v>YEL</v>
      </c>
      <c r="K1378" s="7" t="str">
        <f t="shared" si="156"/>
        <v>0</v>
      </c>
      <c r="L1378" s="7">
        <v>0</v>
      </c>
      <c r="M1378" s="7" t="s">
        <v>2609</v>
      </c>
      <c r="N1378" s="7">
        <f>_xlfn.XLOOKUP(A1378,[1]SKU!$A:$A,[1]SKU!$Z:$Z)</f>
        <v>735000</v>
      </c>
    </row>
    <row r="1379" spans="1:14">
      <c r="A1379" s="1" t="s">
        <v>6199</v>
      </c>
      <c r="B1379" s="2" t="s">
        <v>4472</v>
      </c>
      <c r="C1379" s="2" t="s">
        <v>5223</v>
      </c>
      <c r="D1379" s="2" t="s">
        <v>6200</v>
      </c>
      <c r="E1379" s="7" t="str">
        <f t="shared" si="150"/>
        <v>HAM</v>
      </c>
      <c r="F1379" s="7" t="str">
        <f t="shared" si="151"/>
        <v>UNI</v>
      </c>
      <c r="G1379" s="7" t="str">
        <f t="shared" si="152"/>
        <v>JEW</v>
      </c>
      <c r="H1379" s="7" t="str">
        <f t="shared" si="153"/>
        <v>EAR</v>
      </c>
      <c r="I1379" s="7" t="str">
        <f t="shared" si="154"/>
        <v>E52</v>
      </c>
      <c r="J1379" s="7" t="str">
        <f t="shared" si="155"/>
        <v>MIX</v>
      </c>
      <c r="K1379" s="7" t="str">
        <f t="shared" si="156"/>
        <v>0</v>
      </c>
      <c r="L1379" s="7">
        <v>0</v>
      </c>
      <c r="M1379" s="7" t="s">
        <v>2609</v>
      </c>
      <c r="N1379" s="7">
        <f>_xlfn.XLOOKUP(A1379,[1]SKU!$A:$A,[1]SKU!$Z:$Z)</f>
        <v>1200000</v>
      </c>
    </row>
    <row r="1380" spans="1:14">
      <c r="A1380" s="1" t="s">
        <v>6201</v>
      </c>
      <c r="B1380" s="2" t="s">
        <v>4472</v>
      </c>
      <c r="C1380" s="2" t="s">
        <v>40</v>
      </c>
      <c r="D1380" s="2" t="s">
        <v>6202</v>
      </c>
      <c r="E1380" s="7" t="str">
        <f t="shared" si="150"/>
        <v>DSP</v>
      </c>
      <c r="F1380" s="7" t="str">
        <f t="shared" si="151"/>
        <v>UNI</v>
      </c>
      <c r="G1380" s="7" t="str">
        <f t="shared" si="152"/>
        <v>FWR</v>
      </c>
      <c r="H1380" s="7" t="str">
        <f t="shared" si="153"/>
        <v>FLA</v>
      </c>
      <c r="I1380" s="7" t="str">
        <f t="shared" si="154"/>
        <v>CO1</v>
      </c>
      <c r="J1380" s="7" t="str">
        <f t="shared" si="155"/>
        <v>NAT</v>
      </c>
      <c r="K1380" s="7" t="str">
        <f t="shared" si="156"/>
        <v>38</v>
      </c>
      <c r="L1380" s="7">
        <v>0</v>
      </c>
      <c r="M1380" s="7" t="s">
        <v>2609</v>
      </c>
      <c r="N1380" s="7">
        <f>_xlfn.XLOOKUP(A1380,[1]SKU!$A:$A,[1]SKU!$Z:$Z)</f>
        <v>5950000</v>
      </c>
    </row>
    <row r="1381" spans="1:14">
      <c r="A1381" s="1" t="s">
        <v>6203</v>
      </c>
      <c r="B1381" s="2" t="s">
        <v>4472</v>
      </c>
      <c r="C1381" s="2" t="s">
        <v>5321</v>
      </c>
      <c r="D1381" s="2" t="s">
        <v>6204</v>
      </c>
      <c r="E1381" s="7" t="str">
        <f t="shared" si="150"/>
        <v>HAM</v>
      </c>
      <c r="F1381" s="7" t="str">
        <f t="shared" si="151"/>
        <v>UNI</v>
      </c>
      <c r="G1381" s="7" t="str">
        <f t="shared" si="152"/>
        <v>JEW</v>
      </c>
      <c r="H1381" s="7" t="str">
        <f t="shared" si="153"/>
        <v>NEC</v>
      </c>
      <c r="I1381" s="7" t="str">
        <f t="shared" si="154"/>
        <v>059</v>
      </c>
      <c r="J1381" s="7" t="str">
        <f t="shared" si="155"/>
        <v>MIX</v>
      </c>
      <c r="K1381" s="7" t="str">
        <f t="shared" si="156"/>
        <v>0</v>
      </c>
      <c r="L1381" s="7">
        <v>0</v>
      </c>
      <c r="M1381" s="7" t="s">
        <v>2609</v>
      </c>
      <c r="N1381" s="7">
        <f>_xlfn.XLOOKUP(A1381,[1]SKU!$A:$A,[1]SKU!$Z:$Z)</f>
        <v>2200000</v>
      </c>
    </row>
    <row r="1382" spans="1:14">
      <c r="A1382" s="1" t="s">
        <v>1680</v>
      </c>
      <c r="B1382" s="2" t="s">
        <v>3</v>
      </c>
      <c r="C1382" s="2" t="s">
        <v>204</v>
      </c>
      <c r="D1382" s="2" t="s">
        <v>1681</v>
      </c>
      <c r="E1382" s="7" t="str">
        <f t="shared" si="150"/>
        <v>GFI</v>
      </c>
      <c r="F1382" s="7" t="str">
        <f t="shared" si="151"/>
        <v>MEN</v>
      </c>
      <c r="G1382" s="7" t="str">
        <f t="shared" si="152"/>
        <v>HLS</v>
      </c>
      <c r="H1382" s="7" t="str">
        <f t="shared" si="153"/>
        <v>ONE</v>
      </c>
      <c r="I1382" s="7" t="str">
        <f t="shared" si="154"/>
        <v>GEC</v>
      </c>
      <c r="J1382" s="7" t="str">
        <f t="shared" si="155"/>
        <v>RED</v>
      </c>
      <c r="K1382" s="7" t="str">
        <f t="shared" si="156"/>
        <v>XS</v>
      </c>
      <c r="L1382" s="7" t="s">
        <v>2494</v>
      </c>
      <c r="M1382" s="7" t="s">
        <v>4466</v>
      </c>
      <c r="N1382" s="7">
        <f>_xlfn.XLOOKUP(A1382,[1]SKU!$A:$A,[1]SKU!$Z:$Z)</f>
        <v>1590000</v>
      </c>
    </row>
    <row r="1383" spans="1:14">
      <c r="A1383" s="1" t="s">
        <v>1682</v>
      </c>
      <c r="B1383" s="2" t="s">
        <v>3</v>
      </c>
      <c r="C1383" s="2" t="s">
        <v>12</v>
      </c>
      <c r="D1383" s="2" t="s">
        <v>1683</v>
      </c>
      <c r="E1383" s="7" t="str">
        <f t="shared" si="150"/>
        <v>GBA</v>
      </c>
      <c r="F1383" s="7" t="str">
        <f t="shared" si="151"/>
        <v>MEN</v>
      </c>
      <c r="G1383" s="7" t="str">
        <f t="shared" si="152"/>
        <v>TSS</v>
      </c>
      <c r="H1383" s="7" t="str">
        <f t="shared" si="153"/>
        <v>ONE</v>
      </c>
      <c r="I1383" s="7" t="str">
        <f t="shared" si="154"/>
        <v>STC</v>
      </c>
      <c r="J1383" s="7" t="str">
        <f t="shared" si="155"/>
        <v>WHI</v>
      </c>
      <c r="K1383" s="7" t="str">
        <f t="shared" si="156"/>
        <v>XL</v>
      </c>
      <c r="L1383" s="7" t="s">
        <v>2018</v>
      </c>
      <c r="M1383" s="7" t="s">
        <v>4462</v>
      </c>
      <c r="N1383" s="7">
        <f>_xlfn.XLOOKUP(A1383,[1]SKU!$A:$A,[1]SKU!$Z:$Z)</f>
        <v>710000</v>
      </c>
    </row>
    <row r="1384" spans="1:14">
      <c r="A1384" s="1" t="s">
        <v>1684</v>
      </c>
      <c r="B1384" s="2" t="s">
        <v>3</v>
      </c>
      <c r="C1384" s="2" t="s">
        <v>1108</v>
      </c>
      <c r="D1384" s="2" t="s">
        <v>1685</v>
      </c>
      <c r="E1384" s="7" t="str">
        <f t="shared" si="150"/>
        <v>GOR</v>
      </c>
      <c r="F1384" s="7" t="str">
        <f t="shared" si="151"/>
        <v>WOM</v>
      </c>
      <c r="G1384" s="7" t="str">
        <f t="shared" si="152"/>
        <v>TSP</v>
      </c>
      <c r="H1384" s="7" t="str">
        <f t="shared" si="153"/>
        <v>ONE</v>
      </c>
      <c r="I1384" s="7" t="str">
        <f t="shared" si="154"/>
        <v>DRF</v>
      </c>
      <c r="J1384" s="7" t="str">
        <f t="shared" si="155"/>
        <v>WHI</v>
      </c>
      <c r="K1384" s="7" t="str">
        <f t="shared" si="156"/>
        <v>M</v>
      </c>
      <c r="L1384" s="7" t="s">
        <v>2085</v>
      </c>
      <c r="M1384" s="7" t="s">
        <v>4462</v>
      </c>
      <c r="N1384" s="7">
        <f>_xlfn.XLOOKUP(A1384,[1]SKU!$A:$A,[1]SKU!$Z:$Z)</f>
        <v>1690000</v>
      </c>
    </row>
    <row r="1385" spans="1:14">
      <c r="A1385" s="1" t="s">
        <v>1686</v>
      </c>
      <c r="B1385" s="2" t="s">
        <v>3</v>
      </c>
      <c r="C1385" s="2" t="s">
        <v>674</v>
      </c>
      <c r="D1385" s="2" t="s">
        <v>1687</v>
      </c>
      <c r="E1385" s="7" t="str">
        <f t="shared" si="150"/>
        <v>GOR</v>
      </c>
      <c r="F1385" s="7" t="str">
        <f t="shared" si="151"/>
        <v>MEN</v>
      </c>
      <c r="G1385" s="7" t="str">
        <f t="shared" si="152"/>
        <v>TSS</v>
      </c>
      <c r="H1385" s="7" t="str">
        <f t="shared" si="153"/>
        <v>ONE</v>
      </c>
      <c r="I1385" s="7" t="str">
        <f t="shared" si="154"/>
        <v>TPO</v>
      </c>
      <c r="J1385" s="7" t="str">
        <f t="shared" si="155"/>
        <v>WHI</v>
      </c>
      <c r="K1385" s="7" t="str">
        <f t="shared" si="156"/>
        <v>S</v>
      </c>
      <c r="L1385" s="7" t="s">
        <v>2018</v>
      </c>
      <c r="M1385" s="7" t="s">
        <v>4462</v>
      </c>
      <c r="N1385" s="7">
        <f>_xlfn.XLOOKUP(A1385,[1]SKU!$A:$A,[1]SKU!$Z:$Z)</f>
        <v>990000</v>
      </c>
    </row>
    <row r="1386" spans="1:14">
      <c r="A1386" s="1" t="s">
        <v>6205</v>
      </c>
      <c r="B1386" s="2" t="s">
        <v>4472</v>
      </c>
      <c r="C1386" s="2" t="s">
        <v>1688</v>
      </c>
      <c r="D1386" s="2" t="s">
        <v>6206</v>
      </c>
      <c r="E1386" s="7" t="str">
        <f t="shared" si="150"/>
        <v>DSP</v>
      </c>
      <c r="F1386" s="7" t="str">
        <f t="shared" si="151"/>
        <v>UNI</v>
      </c>
      <c r="G1386" s="7" t="str">
        <f t="shared" si="152"/>
        <v>BAG</v>
      </c>
      <c r="H1386" s="7" t="str">
        <f t="shared" si="153"/>
        <v>HDB</v>
      </c>
      <c r="I1386" s="7" t="str">
        <f t="shared" si="154"/>
        <v>AU1</v>
      </c>
      <c r="J1386" s="7" t="str">
        <f t="shared" si="155"/>
        <v>DPK</v>
      </c>
      <c r="K1386" s="7" t="str">
        <f t="shared" si="156"/>
        <v>0</v>
      </c>
      <c r="L1386" s="7">
        <v>0</v>
      </c>
      <c r="M1386" s="7" t="s">
        <v>2609</v>
      </c>
      <c r="N1386" s="7">
        <f>_xlfn.XLOOKUP(A1386,[1]SKU!$A:$A,[1]SKU!$Z:$Z)</f>
        <v>12290000</v>
      </c>
    </row>
    <row r="1387" spans="1:14">
      <c r="A1387" s="1" t="s">
        <v>6207</v>
      </c>
      <c r="B1387" s="2" t="s">
        <v>4472</v>
      </c>
      <c r="C1387" s="2" t="s">
        <v>171</v>
      </c>
      <c r="D1387" s="2" t="s">
        <v>6208</v>
      </c>
      <c r="E1387" s="7" t="str">
        <f t="shared" si="150"/>
        <v>DSP</v>
      </c>
      <c r="F1387" s="7" t="str">
        <f t="shared" si="151"/>
        <v>UNI</v>
      </c>
      <c r="G1387" s="7" t="str">
        <f t="shared" si="152"/>
        <v>FWR</v>
      </c>
      <c r="H1387" s="7" t="str">
        <f t="shared" si="153"/>
        <v>SLI</v>
      </c>
      <c r="I1387" s="7" t="str">
        <f t="shared" si="154"/>
        <v>MAS</v>
      </c>
      <c r="J1387" s="7" t="str">
        <f t="shared" si="155"/>
        <v>CRE</v>
      </c>
      <c r="K1387" s="7" t="str">
        <f t="shared" si="156"/>
        <v>39</v>
      </c>
      <c r="L1387" s="7">
        <v>0</v>
      </c>
      <c r="M1387" s="7" t="s">
        <v>2609</v>
      </c>
      <c r="N1387" s="7">
        <f>_xlfn.XLOOKUP(A1387,[1]SKU!$A:$A,[1]SKU!$Z:$Z)</f>
        <v>6200000</v>
      </c>
    </row>
    <row r="1388" spans="1:14">
      <c r="A1388" s="1" t="s">
        <v>6209</v>
      </c>
      <c r="B1388" s="2" t="s">
        <v>4472</v>
      </c>
      <c r="C1388" s="2" t="s">
        <v>718</v>
      </c>
      <c r="D1388" s="2" t="s">
        <v>6210</v>
      </c>
      <c r="E1388" s="7" t="str">
        <f t="shared" si="150"/>
        <v>DSP</v>
      </c>
      <c r="F1388" s="7" t="str">
        <f t="shared" si="151"/>
        <v>UNI</v>
      </c>
      <c r="G1388" s="7" t="str">
        <f t="shared" si="152"/>
        <v>BAG</v>
      </c>
      <c r="H1388" s="7" t="str">
        <f t="shared" si="153"/>
        <v>CRB</v>
      </c>
      <c r="I1388" s="7" t="str">
        <f t="shared" si="154"/>
        <v>CBG</v>
      </c>
      <c r="J1388" s="7" t="str">
        <f t="shared" si="155"/>
        <v>SAN</v>
      </c>
      <c r="K1388" s="7" t="str">
        <f t="shared" si="156"/>
        <v>0</v>
      </c>
      <c r="L1388" s="7">
        <v>0</v>
      </c>
      <c r="M1388" s="7" t="s">
        <v>2609</v>
      </c>
      <c r="N1388" s="7">
        <f>_xlfn.XLOOKUP(A1388,[1]SKU!$A:$A,[1]SKU!$Z:$Z)</f>
        <v>6300000</v>
      </c>
    </row>
    <row r="1389" spans="1:14">
      <c r="A1389" s="1" t="s">
        <v>6211</v>
      </c>
      <c r="B1389" s="2" t="s">
        <v>4472</v>
      </c>
      <c r="C1389" s="2" t="s">
        <v>105</v>
      </c>
      <c r="D1389" s="2" t="s">
        <v>6212</v>
      </c>
      <c r="E1389" s="7" t="str">
        <f t="shared" si="150"/>
        <v>PSD</v>
      </c>
      <c r="F1389" s="7" t="str">
        <f t="shared" si="151"/>
        <v>UNI</v>
      </c>
      <c r="G1389" s="7" t="str">
        <f t="shared" si="152"/>
        <v>SOU</v>
      </c>
      <c r="H1389" s="7" t="str">
        <f t="shared" si="153"/>
        <v>DEC</v>
      </c>
      <c r="I1389" s="7" t="str">
        <f t="shared" si="154"/>
        <v>SBA</v>
      </c>
      <c r="J1389" s="7" t="str">
        <f t="shared" si="155"/>
        <v>BRO</v>
      </c>
      <c r="K1389" s="7" t="str">
        <f t="shared" si="156"/>
        <v>18</v>
      </c>
      <c r="L1389" s="7">
        <v>0</v>
      </c>
      <c r="M1389" s="7" t="s">
        <v>2609</v>
      </c>
      <c r="N1389" s="7">
        <f>_xlfn.XLOOKUP(A1389,[1]SKU!$A:$A,[1]SKU!$Z:$Z)</f>
        <v>550000</v>
      </c>
    </row>
    <row r="1390" spans="1:14">
      <c r="A1390" s="1" t="s">
        <v>6213</v>
      </c>
      <c r="B1390" s="2" t="s">
        <v>4481</v>
      </c>
      <c r="C1390" s="2" t="s">
        <v>1689</v>
      </c>
      <c r="D1390" s="2" t="s">
        <v>6214</v>
      </c>
      <c r="E1390" s="7" t="str">
        <f t="shared" si="150"/>
        <v>PAS</v>
      </c>
      <c r="F1390" s="7" t="str">
        <f t="shared" si="151"/>
        <v>UNI</v>
      </c>
      <c r="G1390" s="7" t="str">
        <f t="shared" si="152"/>
        <v>ART</v>
      </c>
      <c r="H1390" s="7" t="str">
        <f t="shared" si="153"/>
        <v>ART</v>
      </c>
      <c r="I1390" s="7" t="str">
        <f t="shared" si="154"/>
        <v>CPO</v>
      </c>
      <c r="J1390" s="7" t="str">
        <f t="shared" si="155"/>
        <v>MIX</v>
      </c>
      <c r="K1390" s="7" t="str">
        <f t="shared" si="156"/>
        <v>A2</v>
      </c>
      <c r="L1390" s="7">
        <v>0</v>
      </c>
      <c r="M1390" s="7" t="s">
        <v>2609</v>
      </c>
      <c r="N1390" s="7">
        <f>_xlfn.XLOOKUP(A1390,[1]SKU!$A:$A,[1]SKU!$Z:$Z)</f>
        <v>6000000</v>
      </c>
    </row>
    <row r="1391" spans="1:14">
      <c r="A1391" s="1" t="s">
        <v>1690</v>
      </c>
      <c r="B1391" s="2" t="s">
        <v>3</v>
      </c>
      <c r="C1391" s="2" t="s">
        <v>268</v>
      </c>
      <c r="D1391" s="2" t="s">
        <v>1691</v>
      </c>
      <c r="E1391" s="7" t="str">
        <f t="shared" si="150"/>
        <v>GBA</v>
      </c>
      <c r="F1391" s="7" t="str">
        <f t="shared" si="151"/>
        <v>MEN</v>
      </c>
      <c r="G1391" s="7" t="str">
        <f t="shared" si="152"/>
        <v>TSS</v>
      </c>
      <c r="H1391" s="7" t="str">
        <f t="shared" si="153"/>
        <v>ONE</v>
      </c>
      <c r="I1391" s="7" t="str">
        <f t="shared" si="154"/>
        <v>SSY</v>
      </c>
      <c r="J1391" s="7" t="str">
        <f t="shared" si="155"/>
        <v>GRE</v>
      </c>
      <c r="K1391" s="7" t="str">
        <f t="shared" si="156"/>
        <v>XXL</v>
      </c>
      <c r="L1391" s="7" t="s">
        <v>2018</v>
      </c>
      <c r="M1391" s="7" t="s">
        <v>4462</v>
      </c>
      <c r="N1391" s="7">
        <f>_xlfn.XLOOKUP(A1391,[1]SKU!$A:$A,[1]SKU!$Z:$Z)</f>
        <v>710000</v>
      </c>
    </row>
    <row r="1392" spans="1:14">
      <c r="A1392" s="1" t="s">
        <v>1692</v>
      </c>
      <c r="B1392" s="2" t="s">
        <v>3</v>
      </c>
      <c r="C1392" s="2" t="s">
        <v>29</v>
      </c>
      <c r="D1392" s="2" t="s">
        <v>1693</v>
      </c>
      <c r="E1392" s="7" t="str">
        <f t="shared" si="150"/>
        <v>GFN</v>
      </c>
      <c r="F1392" s="7" t="str">
        <f t="shared" si="151"/>
        <v>MEN</v>
      </c>
      <c r="G1392" s="7" t="str">
        <f t="shared" si="152"/>
        <v>SWL</v>
      </c>
      <c r="H1392" s="7" t="str">
        <f t="shared" si="153"/>
        <v>ONE</v>
      </c>
      <c r="I1392" s="7" t="str">
        <f t="shared" si="154"/>
        <v>SHU</v>
      </c>
      <c r="J1392" s="7" t="str">
        <f t="shared" si="155"/>
        <v>BLK</v>
      </c>
      <c r="K1392" s="7" t="str">
        <f t="shared" si="156"/>
        <v>XS</v>
      </c>
      <c r="L1392" s="7" t="s">
        <v>2581</v>
      </c>
      <c r="M1392" s="7" t="s">
        <v>4464</v>
      </c>
      <c r="N1392" s="7">
        <f>_xlfn.XLOOKUP(A1392,[1]SKU!$A:$A,[1]SKU!$Z:$Z)</f>
        <v>1290000</v>
      </c>
    </row>
    <row r="1393" spans="1:14">
      <c r="A1393" s="1" t="s">
        <v>1694</v>
      </c>
      <c r="B1393" s="2" t="s">
        <v>3</v>
      </c>
      <c r="C1393" s="2" t="s">
        <v>311</v>
      </c>
      <c r="D1393" s="2" t="s">
        <v>1695</v>
      </c>
      <c r="E1393" s="7" t="str">
        <f t="shared" si="150"/>
        <v>GSL</v>
      </c>
      <c r="F1393" s="7" t="str">
        <f t="shared" si="151"/>
        <v>WOM</v>
      </c>
      <c r="G1393" s="7" t="str">
        <f t="shared" si="152"/>
        <v>TSP</v>
      </c>
      <c r="H1393" s="7" t="str">
        <f t="shared" si="153"/>
        <v>ONE</v>
      </c>
      <c r="I1393" s="7" t="str">
        <f t="shared" si="154"/>
        <v>GL2</v>
      </c>
      <c r="J1393" s="7" t="str">
        <f t="shared" si="155"/>
        <v>WHI</v>
      </c>
      <c r="K1393" s="7" t="str">
        <f t="shared" si="156"/>
        <v>M</v>
      </c>
      <c r="L1393" s="7" t="s">
        <v>2085</v>
      </c>
      <c r="M1393" s="7" t="s">
        <v>4462</v>
      </c>
      <c r="N1393" s="7">
        <f>_xlfn.XLOOKUP(A1393,[1]SKU!$A:$A,[1]SKU!$Z:$Z)</f>
        <v>750000</v>
      </c>
    </row>
    <row r="1394" spans="1:14">
      <c r="A1394" s="1" t="s">
        <v>1696</v>
      </c>
      <c r="B1394" s="2" t="s">
        <v>3</v>
      </c>
      <c r="C1394" s="2" t="s">
        <v>7</v>
      </c>
      <c r="D1394" s="2" t="s">
        <v>1697</v>
      </c>
      <c r="E1394" s="7" t="str">
        <f t="shared" si="150"/>
        <v>GKK</v>
      </c>
      <c r="F1394" s="7" t="str">
        <f t="shared" si="151"/>
        <v>WOM</v>
      </c>
      <c r="G1394" s="7" t="str">
        <f t="shared" si="152"/>
        <v>SHD</v>
      </c>
      <c r="H1394" s="7" t="str">
        <f t="shared" si="153"/>
        <v>FBT</v>
      </c>
      <c r="I1394" s="7" t="str">
        <f t="shared" si="154"/>
        <v>FLH</v>
      </c>
      <c r="J1394" s="7" t="str">
        <f t="shared" si="155"/>
        <v>BLK</v>
      </c>
      <c r="K1394" s="7" t="str">
        <f t="shared" si="156"/>
        <v>L</v>
      </c>
      <c r="L1394" s="7" t="s">
        <v>2774</v>
      </c>
      <c r="M1394" s="7" t="s">
        <v>4463</v>
      </c>
      <c r="N1394" s="7">
        <f>_xlfn.XLOOKUP(A1394,[1]SKU!$A:$A,[1]SKU!$Z:$Z)</f>
        <v>1650000</v>
      </c>
    </row>
    <row r="1395" spans="1:14">
      <c r="A1395" s="1" t="s">
        <v>6215</v>
      </c>
      <c r="B1395" s="2" t="s">
        <v>69</v>
      </c>
      <c r="C1395" s="2" t="s">
        <v>1698</v>
      </c>
      <c r="D1395" s="2" t="s">
        <v>6216</v>
      </c>
      <c r="E1395" s="7" t="str">
        <f t="shared" si="150"/>
        <v>GCF</v>
      </c>
      <c r="F1395" s="7" t="str">
        <f t="shared" si="151"/>
        <v>UNI</v>
      </c>
      <c r="G1395" s="7" t="str">
        <f t="shared" si="152"/>
        <v>FNB</v>
      </c>
      <c r="H1395" s="7" t="str">
        <f t="shared" si="153"/>
        <v>CFO</v>
      </c>
      <c r="I1395" s="7" t="str">
        <f t="shared" si="154"/>
        <v>PGT</v>
      </c>
      <c r="J1395" s="7" t="str">
        <f t="shared" si="155"/>
        <v>MIX</v>
      </c>
      <c r="K1395" s="7" t="str">
        <f t="shared" si="156"/>
        <v>0</v>
      </c>
      <c r="L1395" s="7">
        <v>0</v>
      </c>
      <c r="M1395" s="7" t="s">
        <v>2609</v>
      </c>
      <c r="N1395" s="7">
        <f>_xlfn.XLOOKUP(A1395,[1]SKU!$A:$A,[1]SKU!$Z:$Z)</f>
        <v>75000</v>
      </c>
    </row>
    <row r="1396" spans="1:14">
      <c r="A1396" s="1" t="s">
        <v>6217</v>
      </c>
      <c r="B1396" s="2" t="s">
        <v>4472</v>
      </c>
      <c r="C1396" s="2" t="s">
        <v>282</v>
      </c>
      <c r="D1396" s="2" t="s">
        <v>6218</v>
      </c>
      <c r="E1396" s="7" t="str">
        <f t="shared" si="150"/>
        <v>PSD</v>
      </c>
      <c r="F1396" s="7" t="str">
        <f t="shared" si="151"/>
        <v>UNI</v>
      </c>
      <c r="G1396" s="7" t="str">
        <f t="shared" si="152"/>
        <v>SOU</v>
      </c>
      <c r="H1396" s="7" t="str">
        <f t="shared" si="153"/>
        <v>DEC</v>
      </c>
      <c r="I1396" s="7" t="str">
        <f t="shared" si="154"/>
        <v>BCB</v>
      </c>
      <c r="J1396" s="7" t="str">
        <f t="shared" si="155"/>
        <v>BLU</v>
      </c>
      <c r="K1396" s="7" t="str">
        <f t="shared" si="156"/>
        <v>40</v>
      </c>
      <c r="L1396" s="7">
        <v>0</v>
      </c>
      <c r="M1396" s="7" t="s">
        <v>2609</v>
      </c>
      <c r="N1396" s="7">
        <f>_xlfn.XLOOKUP(A1396,[1]SKU!$A:$A,[1]SKU!$Z:$Z)</f>
        <v>1850000</v>
      </c>
    </row>
    <row r="1397" spans="1:14">
      <c r="A1397" s="1" t="s">
        <v>6219</v>
      </c>
      <c r="B1397" s="2" t="s">
        <v>4481</v>
      </c>
      <c r="C1397" s="2" t="s">
        <v>1699</v>
      </c>
      <c r="D1397" s="2" t="s">
        <v>6220</v>
      </c>
      <c r="E1397" s="7" t="str">
        <f t="shared" si="150"/>
        <v>PAS</v>
      </c>
      <c r="F1397" s="7" t="str">
        <f t="shared" si="151"/>
        <v>UNI</v>
      </c>
      <c r="G1397" s="7" t="str">
        <f t="shared" si="152"/>
        <v>ART</v>
      </c>
      <c r="H1397" s="7" t="str">
        <f t="shared" si="153"/>
        <v>ART</v>
      </c>
      <c r="I1397" s="7" t="str">
        <f t="shared" si="154"/>
        <v>TNT</v>
      </c>
      <c r="J1397" s="7" t="str">
        <f t="shared" si="155"/>
        <v>MIX</v>
      </c>
      <c r="K1397" s="7" t="str">
        <f t="shared" si="156"/>
        <v>A3</v>
      </c>
      <c r="L1397" s="7">
        <v>0</v>
      </c>
      <c r="M1397" s="7" t="s">
        <v>2609</v>
      </c>
      <c r="N1397" s="7">
        <f>_xlfn.XLOOKUP(A1397,[1]SKU!$A:$A,[1]SKU!$Z:$Z)</f>
        <v>6000000</v>
      </c>
    </row>
    <row r="1398" spans="1:14">
      <c r="A1398" s="1" t="s">
        <v>6221</v>
      </c>
      <c r="B1398" s="2" t="s">
        <v>69</v>
      </c>
      <c r="C1398" s="2" t="s">
        <v>1700</v>
      </c>
      <c r="D1398" s="2" t="s">
        <v>6222</v>
      </c>
      <c r="E1398" s="7" t="str">
        <f t="shared" si="150"/>
        <v>GCF</v>
      </c>
      <c r="F1398" s="7" t="str">
        <f t="shared" si="151"/>
        <v>UNI</v>
      </c>
      <c r="G1398" s="7" t="str">
        <f t="shared" si="152"/>
        <v>FNB</v>
      </c>
      <c r="H1398" s="7" t="str">
        <f t="shared" si="153"/>
        <v>CFO</v>
      </c>
      <c r="I1398" s="7" t="str">
        <f t="shared" si="154"/>
        <v>LAT</v>
      </c>
      <c r="J1398" s="7" t="str">
        <f t="shared" si="155"/>
        <v>MIX</v>
      </c>
      <c r="K1398" s="7" t="str">
        <f t="shared" si="156"/>
        <v>0</v>
      </c>
      <c r="L1398" s="7">
        <v>0</v>
      </c>
      <c r="M1398" s="7" t="s">
        <v>2609</v>
      </c>
      <c r="N1398" s="7">
        <f>_xlfn.XLOOKUP(A1398,[1]SKU!$A:$A,[1]SKU!$Z:$Z)</f>
        <v>75000</v>
      </c>
    </row>
    <row r="1399" spans="1:14">
      <c r="A1399" s="1" t="s">
        <v>6223</v>
      </c>
      <c r="B1399" s="2" t="s">
        <v>4472</v>
      </c>
      <c r="C1399" s="2" t="s">
        <v>6224</v>
      </c>
      <c r="D1399" s="2" t="s">
        <v>6225</v>
      </c>
      <c r="E1399" s="7" t="str">
        <f t="shared" si="150"/>
        <v>HAM</v>
      </c>
      <c r="F1399" s="7" t="str">
        <f t="shared" si="151"/>
        <v>UNI</v>
      </c>
      <c r="G1399" s="7" t="str">
        <f t="shared" si="152"/>
        <v>JEW</v>
      </c>
      <c r="H1399" s="7" t="str">
        <f t="shared" si="153"/>
        <v>NEC</v>
      </c>
      <c r="I1399" s="7" t="str">
        <f t="shared" si="154"/>
        <v>115</v>
      </c>
      <c r="J1399" s="7" t="str">
        <f t="shared" si="155"/>
        <v>MIX</v>
      </c>
      <c r="K1399" s="7" t="str">
        <f t="shared" si="156"/>
        <v>0</v>
      </c>
      <c r="L1399" s="7">
        <v>0</v>
      </c>
      <c r="M1399" s="7" t="s">
        <v>2609</v>
      </c>
      <c r="N1399" s="7">
        <f>_xlfn.XLOOKUP(A1399,[1]SKU!$A:$A,[1]SKU!$Z:$Z)</f>
        <v>2500000</v>
      </c>
    </row>
    <row r="1400" spans="1:14">
      <c r="A1400" s="1" t="s">
        <v>6226</v>
      </c>
      <c r="B1400" s="2" t="s">
        <v>4472</v>
      </c>
      <c r="C1400" s="2" t="s">
        <v>6227</v>
      </c>
      <c r="D1400" s="2" t="s">
        <v>6228</v>
      </c>
      <c r="E1400" s="7" t="str">
        <f t="shared" si="150"/>
        <v>GAR</v>
      </c>
      <c r="F1400" s="7" t="str">
        <f t="shared" si="151"/>
        <v>UNI</v>
      </c>
      <c r="G1400" s="7" t="str">
        <f t="shared" si="152"/>
        <v>SOU</v>
      </c>
      <c r="H1400" s="7" t="str">
        <f t="shared" si="153"/>
        <v>TRA</v>
      </c>
      <c r="I1400" s="7" t="str">
        <f t="shared" si="154"/>
        <v>ST1</v>
      </c>
      <c r="J1400" s="7" t="str">
        <f t="shared" si="155"/>
        <v>MIX</v>
      </c>
      <c r="K1400" s="7" t="str">
        <f t="shared" si="156"/>
        <v>0</v>
      </c>
      <c r="L1400" s="7">
        <v>0</v>
      </c>
      <c r="M1400" s="7" t="s">
        <v>2609</v>
      </c>
      <c r="N1400" s="7">
        <f>_xlfn.XLOOKUP(A1400,[1]SKU!$A:$A,[1]SKU!$Z:$Z)</f>
        <v>95000</v>
      </c>
    </row>
    <row r="1401" spans="1:14">
      <c r="A1401" s="1" t="s">
        <v>1703</v>
      </c>
      <c r="B1401" s="2" t="s">
        <v>3</v>
      </c>
      <c r="C1401" s="2" t="s">
        <v>311</v>
      </c>
      <c r="D1401" s="2" t="s">
        <v>1704</v>
      </c>
      <c r="E1401" s="7" t="str">
        <f t="shared" si="150"/>
        <v>GSL</v>
      </c>
      <c r="F1401" s="7" t="str">
        <f t="shared" si="151"/>
        <v>WOM</v>
      </c>
      <c r="G1401" s="7" t="str">
        <f t="shared" si="152"/>
        <v>TSP</v>
      </c>
      <c r="H1401" s="7" t="str">
        <f t="shared" si="153"/>
        <v>ONE</v>
      </c>
      <c r="I1401" s="7" t="str">
        <f t="shared" si="154"/>
        <v>GL2</v>
      </c>
      <c r="J1401" s="7" t="str">
        <f t="shared" si="155"/>
        <v>WHI</v>
      </c>
      <c r="K1401" s="7" t="str">
        <f t="shared" si="156"/>
        <v>XL</v>
      </c>
      <c r="L1401" s="7" t="s">
        <v>2085</v>
      </c>
      <c r="M1401" s="7" t="s">
        <v>4462</v>
      </c>
      <c r="N1401" s="7">
        <f>_xlfn.XLOOKUP(A1401,[1]SKU!$A:$A,[1]SKU!$Z:$Z)</f>
        <v>750000</v>
      </c>
    </row>
    <row r="1402" spans="1:14">
      <c r="A1402" s="1" t="s">
        <v>1705</v>
      </c>
      <c r="B1402" s="2" t="s">
        <v>3</v>
      </c>
      <c r="C1402" s="2" t="s">
        <v>455</v>
      </c>
      <c r="D1402" s="2" t="s">
        <v>1706</v>
      </c>
      <c r="E1402" s="7" t="str">
        <f t="shared" si="150"/>
        <v>GOR</v>
      </c>
      <c r="F1402" s="7" t="str">
        <f t="shared" si="151"/>
        <v>MEN</v>
      </c>
      <c r="G1402" s="7" t="str">
        <f t="shared" si="152"/>
        <v>TSS</v>
      </c>
      <c r="H1402" s="7" t="str">
        <f t="shared" si="153"/>
        <v>ONE</v>
      </c>
      <c r="I1402" s="7" t="str">
        <f t="shared" si="154"/>
        <v>RTE</v>
      </c>
      <c r="J1402" s="7" t="str">
        <f t="shared" si="155"/>
        <v>BLK</v>
      </c>
      <c r="K1402" s="7" t="str">
        <f t="shared" si="156"/>
        <v>S</v>
      </c>
      <c r="L1402" s="7" t="s">
        <v>2018</v>
      </c>
      <c r="M1402" s="7" t="s">
        <v>4462</v>
      </c>
      <c r="N1402" s="7">
        <f>_xlfn.XLOOKUP(A1402,[1]SKU!$A:$A,[1]SKU!$Z:$Z)</f>
        <v>990000</v>
      </c>
    </row>
    <row r="1403" spans="1:14">
      <c r="A1403" s="1" t="s">
        <v>6229</v>
      </c>
      <c r="B1403" s="2" t="s">
        <v>4472</v>
      </c>
      <c r="C1403" s="2" t="s">
        <v>6230</v>
      </c>
      <c r="D1403" s="2" t="s">
        <v>6231</v>
      </c>
      <c r="E1403" s="7" t="str">
        <f t="shared" si="150"/>
        <v>LAN</v>
      </c>
      <c r="F1403" s="7" t="str">
        <f t="shared" si="151"/>
        <v>UNI</v>
      </c>
      <c r="G1403" s="7" t="str">
        <f t="shared" si="152"/>
        <v>HWR</v>
      </c>
      <c r="H1403" s="7" t="str">
        <f t="shared" si="153"/>
        <v>SC2</v>
      </c>
      <c r="I1403" s="7" t="str">
        <f t="shared" si="154"/>
        <v>TGG</v>
      </c>
      <c r="J1403" s="7" t="str">
        <f t="shared" si="155"/>
        <v>GRN</v>
      </c>
      <c r="K1403" s="7" t="str">
        <f t="shared" si="156"/>
        <v>6x130</v>
      </c>
      <c r="L1403" s="7">
        <v>0</v>
      </c>
      <c r="M1403" s="7" t="s">
        <v>2609</v>
      </c>
      <c r="N1403" s="7">
        <f>_xlfn.XLOOKUP(A1403,[1]SKU!$A:$A,[1]SKU!$Z:$Z)</f>
        <v>365000</v>
      </c>
    </row>
    <row r="1404" spans="1:14">
      <c r="A1404" s="1" t="s">
        <v>6232</v>
      </c>
      <c r="B1404" s="2" t="s">
        <v>69</v>
      </c>
      <c r="C1404" s="2" t="s">
        <v>1707</v>
      </c>
      <c r="D1404" s="2" t="s">
        <v>6233</v>
      </c>
      <c r="E1404" s="7" t="str">
        <f t="shared" si="150"/>
        <v>GCF</v>
      </c>
      <c r="F1404" s="7" t="str">
        <f t="shared" si="151"/>
        <v>UNI</v>
      </c>
      <c r="G1404" s="7" t="str">
        <f t="shared" si="152"/>
        <v>FNB</v>
      </c>
      <c r="H1404" s="7" t="str">
        <f t="shared" si="153"/>
        <v>CFO</v>
      </c>
      <c r="I1404" s="7" t="str">
        <f t="shared" si="154"/>
        <v>ESP</v>
      </c>
      <c r="J1404" s="7" t="str">
        <f t="shared" si="155"/>
        <v>MIX</v>
      </c>
      <c r="K1404" s="7" t="str">
        <f t="shared" si="156"/>
        <v>0</v>
      </c>
      <c r="L1404" s="7">
        <v>0</v>
      </c>
      <c r="M1404" s="7" t="s">
        <v>2609</v>
      </c>
      <c r="N1404" s="7">
        <f>_xlfn.XLOOKUP(A1404,[1]SKU!$A:$A,[1]SKU!$Z:$Z)</f>
        <v>65000</v>
      </c>
    </row>
    <row r="1405" spans="1:14">
      <c r="A1405" s="1" t="s">
        <v>1708</v>
      </c>
      <c r="B1405" s="2" t="s">
        <v>3</v>
      </c>
      <c r="C1405" s="2" t="s">
        <v>314</v>
      </c>
      <c r="D1405" s="2" t="s">
        <v>1709</v>
      </c>
      <c r="E1405" s="7" t="str">
        <f t="shared" si="150"/>
        <v>GOR</v>
      </c>
      <c r="F1405" s="7" t="str">
        <f t="shared" si="151"/>
        <v>MEN</v>
      </c>
      <c r="G1405" s="7" t="str">
        <f t="shared" si="152"/>
        <v>TSP</v>
      </c>
      <c r="H1405" s="7" t="str">
        <f t="shared" si="153"/>
        <v>ONE</v>
      </c>
      <c r="I1405" s="7" t="str">
        <f t="shared" si="154"/>
        <v>XLO</v>
      </c>
      <c r="J1405" s="7" t="str">
        <f t="shared" si="155"/>
        <v>WHI</v>
      </c>
      <c r="K1405" s="7" t="str">
        <f t="shared" si="156"/>
        <v>S</v>
      </c>
      <c r="L1405" s="7" t="s">
        <v>2085</v>
      </c>
      <c r="M1405" s="7" t="s">
        <v>4462</v>
      </c>
      <c r="N1405" s="7">
        <f>_xlfn.XLOOKUP(A1405,[1]SKU!$A:$A,[1]SKU!$Z:$Z)</f>
        <v>790000</v>
      </c>
    </row>
    <row r="1406" spans="1:14">
      <c r="A1406" s="1" t="s">
        <v>6234</v>
      </c>
      <c r="B1406" s="2" t="s">
        <v>4472</v>
      </c>
      <c r="C1406" s="2" t="s">
        <v>6235</v>
      </c>
      <c r="D1406" s="2" t="s">
        <v>6236</v>
      </c>
      <c r="E1406" s="7" t="str">
        <f t="shared" si="150"/>
        <v>EDE</v>
      </c>
      <c r="F1406" s="7" t="str">
        <f t="shared" si="151"/>
        <v>UNI</v>
      </c>
      <c r="G1406" s="7" t="str">
        <f t="shared" si="152"/>
        <v>BAG</v>
      </c>
      <c r="H1406" s="7" t="str">
        <f t="shared" si="153"/>
        <v>CLU</v>
      </c>
      <c r="I1406" s="7" t="str">
        <f t="shared" si="154"/>
        <v>CSD</v>
      </c>
      <c r="J1406" s="7" t="str">
        <f t="shared" si="155"/>
        <v>MIX</v>
      </c>
      <c r="K1406" s="7" t="str">
        <f t="shared" si="156"/>
        <v>0</v>
      </c>
      <c r="L1406" s="7">
        <v>0</v>
      </c>
      <c r="M1406" s="7" t="s">
        <v>2609</v>
      </c>
      <c r="N1406" s="7">
        <f>_xlfn.XLOOKUP(A1406,[1]SKU!$A:$A,[1]SKU!$Z:$Z)</f>
        <v>310000</v>
      </c>
    </row>
    <row r="1407" spans="1:14">
      <c r="A1407" s="1" t="s">
        <v>6237</v>
      </c>
      <c r="B1407" s="2" t="s">
        <v>4472</v>
      </c>
      <c r="C1407" s="2" t="s">
        <v>289</v>
      </c>
      <c r="D1407" s="2" t="s">
        <v>6238</v>
      </c>
      <c r="E1407" s="7" t="str">
        <f t="shared" si="150"/>
        <v>DSP</v>
      </c>
      <c r="F1407" s="7" t="str">
        <f t="shared" si="151"/>
        <v>UNI</v>
      </c>
      <c r="G1407" s="7" t="str">
        <f t="shared" si="152"/>
        <v>FWR</v>
      </c>
      <c r="H1407" s="7" t="str">
        <f t="shared" si="153"/>
        <v>SNE</v>
      </c>
      <c r="I1407" s="7" t="str">
        <f t="shared" si="154"/>
        <v>SBR</v>
      </c>
      <c r="J1407" s="7" t="str">
        <f t="shared" si="155"/>
        <v>TMB</v>
      </c>
      <c r="K1407" s="7" t="str">
        <f t="shared" si="156"/>
        <v>41</v>
      </c>
      <c r="L1407" s="7">
        <v>0</v>
      </c>
      <c r="M1407" s="7" t="s">
        <v>2609</v>
      </c>
      <c r="N1407" s="7">
        <f>_xlfn.XLOOKUP(A1407,[1]SKU!$A:$A,[1]SKU!$Z:$Z)</f>
        <v>7500000</v>
      </c>
    </row>
    <row r="1408" spans="1:14">
      <c r="A1408" s="1" t="s">
        <v>6239</v>
      </c>
      <c r="B1408" s="2" t="s">
        <v>4472</v>
      </c>
      <c r="C1408" s="2" t="s">
        <v>6240</v>
      </c>
      <c r="D1408" s="2" t="s">
        <v>6241</v>
      </c>
      <c r="E1408" s="7" t="str">
        <f t="shared" si="150"/>
        <v>LAN</v>
      </c>
      <c r="F1408" s="7" t="str">
        <f t="shared" si="151"/>
        <v>UNI</v>
      </c>
      <c r="G1408" s="7" t="str">
        <f t="shared" si="152"/>
        <v>HWR</v>
      </c>
      <c r="H1408" s="7" t="str">
        <f t="shared" si="153"/>
        <v>SC2</v>
      </c>
      <c r="I1408" s="7" t="str">
        <f t="shared" si="154"/>
        <v>NHH</v>
      </c>
      <c r="J1408" s="7" t="str">
        <f t="shared" si="155"/>
        <v>GRN</v>
      </c>
      <c r="K1408" s="7" t="str">
        <f t="shared" si="156"/>
        <v>90x90</v>
      </c>
      <c r="L1408" s="7">
        <v>0</v>
      </c>
      <c r="M1408" s="7" t="s">
        <v>2609</v>
      </c>
      <c r="N1408" s="7">
        <f>_xlfn.XLOOKUP(A1408,[1]SKU!$A:$A,[1]SKU!$Z:$Z)</f>
        <v>989000</v>
      </c>
    </row>
    <row r="1409" spans="1:14">
      <c r="A1409" s="1" t="s">
        <v>6242</v>
      </c>
      <c r="B1409" s="2" t="s">
        <v>4472</v>
      </c>
      <c r="C1409" s="2" t="s">
        <v>1710</v>
      </c>
      <c r="D1409" s="2" t="s">
        <v>6243</v>
      </c>
      <c r="E1409" s="7" t="str">
        <f t="shared" si="150"/>
        <v>DSP</v>
      </c>
      <c r="F1409" s="7" t="str">
        <f t="shared" si="151"/>
        <v>UNI</v>
      </c>
      <c r="G1409" s="7" t="str">
        <f t="shared" si="152"/>
        <v>BAG</v>
      </c>
      <c r="H1409" s="7" t="str">
        <f t="shared" si="153"/>
        <v>CLU</v>
      </c>
      <c r="I1409" s="7" t="str">
        <f t="shared" si="154"/>
        <v>CHA</v>
      </c>
      <c r="J1409" s="7" t="str">
        <f t="shared" si="155"/>
        <v>RED</v>
      </c>
      <c r="K1409" s="7" t="str">
        <f t="shared" si="156"/>
        <v>0</v>
      </c>
      <c r="L1409" s="7">
        <v>0</v>
      </c>
      <c r="M1409" s="7" t="s">
        <v>2609</v>
      </c>
      <c r="N1409" s="7">
        <f>_xlfn.XLOOKUP(A1409,[1]SKU!$A:$A,[1]SKU!$Z:$Z)</f>
        <v>1300000</v>
      </c>
    </row>
    <row r="1410" spans="1:14">
      <c r="A1410" s="1" t="s">
        <v>1711</v>
      </c>
      <c r="B1410" s="2" t="s">
        <v>3</v>
      </c>
      <c r="C1410" s="2" t="s">
        <v>84</v>
      </c>
      <c r="D1410" s="2" t="s">
        <v>1712</v>
      </c>
      <c r="E1410" s="7" t="str">
        <f t="shared" ref="E1410:E1473" si="157">_xlfn.TEXTBEFORE(_xlfn.TEXTAFTER(D1410,"-"),"-")</f>
        <v>GBA</v>
      </c>
      <c r="F1410" s="7" t="str">
        <f t="shared" si="151"/>
        <v>KID</v>
      </c>
      <c r="G1410" s="7" t="str">
        <f t="shared" si="152"/>
        <v>TSO</v>
      </c>
      <c r="H1410" s="7" t="str">
        <f t="shared" si="153"/>
        <v>ONE</v>
      </c>
      <c r="I1410" s="7" t="str">
        <f t="shared" si="154"/>
        <v>HAI</v>
      </c>
      <c r="J1410" s="7" t="str">
        <f t="shared" si="155"/>
        <v>BLK</v>
      </c>
      <c r="K1410" s="7" t="str">
        <f t="shared" si="156"/>
        <v>2</v>
      </c>
      <c r="L1410" s="7" t="s">
        <v>2071</v>
      </c>
      <c r="M1410" s="7" t="s">
        <v>4462</v>
      </c>
      <c r="N1410" s="7">
        <f>_xlfn.XLOOKUP(A1410,[1]SKU!$A:$A,[1]SKU!$Z:$Z)</f>
        <v>550000</v>
      </c>
    </row>
    <row r="1411" spans="1:14">
      <c r="A1411" s="1" t="s">
        <v>6244</v>
      </c>
      <c r="B1411" s="2" t="s">
        <v>4472</v>
      </c>
      <c r="C1411" s="2" t="s">
        <v>244</v>
      </c>
      <c r="D1411" s="2" t="s">
        <v>6245</v>
      </c>
      <c r="E1411" s="7" t="str">
        <f t="shared" si="157"/>
        <v>DSP</v>
      </c>
      <c r="F1411" s="7" t="str">
        <f t="shared" si="151"/>
        <v>UNI</v>
      </c>
      <c r="G1411" s="7" t="str">
        <f t="shared" si="152"/>
        <v>FWR</v>
      </c>
      <c r="H1411" s="7" t="str">
        <f t="shared" si="153"/>
        <v>LES</v>
      </c>
      <c r="I1411" s="7" t="str">
        <f t="shared" si="154"/>
        <v>LAS</v>
      </c>
      <c r="J1411" s="7" t="str">
        <f t="shared" si="155"/>
        <v>YEL</v>
      </c>
      <c r="K1411" s="7" t="str">
        <f t="shared" si="156"/>
        <v>37</v>
      </c>
      <c r="L1411" s="7">
        <v>0</v>
      </c>
      <c r="M1411" s="7" t="s">
        <v>2609</v>
      </c>
      <c r="N1411" s="7">
        <f>_xlfn.XLOOKUP(A1411,[1]SKU!$A:$A,[1]SKU!$Z:$Z)</f>
        <v>5200000</v>
      </c>
    </row>
    <row r="1412" spans="1:14">
      <c r="A1412" s="1" t="s">
        <v>6246</v>
      </c>
      <c r="B1412" s="2" t="s">
        <v>4481</v>
      </c>
      <c r="C1412" s="2" t="s">
        <v>1713</v>
      </c>
      <c r="D1412" s="2" t="s">
        <v>6247</v>
      </c>
      <c r="E1412" s="7" t="str">
        <f t="shared" si="157"/>
        <v>PAS</v>
      </c>
      <c r="F1412" s="7" t="str">
        <f t="shared" si="151"/>
        <v>UNI</v>
      </c>
      <c r="G1412" s="7" t="str">
        <f t="shared" si="152"/>
        <v>ART</v>
      </c>
      <c r="H1412" s="7" t="str">
        <f t="shared" si="153"/>
        <v>ART</v>
      </c>
      <c r="I1412" s="7" t="str">
        <f t="shared" si="154"/>
        <v>SMO</v>
      </c>
      <c r="J1412" s="7" t="str">
        <f t="shared" si="155"/>
        <v>MIX</v>
      </c>
      <c r="K1412" s="7" t="str">
        <f t="shared" si="156"/>
        <v>A4</v>
      </c>
      <c r="L1412" s="7">
        <v>0</v>
      </c>
      <c r="M1412" s="7" t="s">
        <v>2609</v>
      </c>
      <c r="N1412" s="7">
        <f>_xlfn.XLOOKUP(A1412,[1]SKU!$A:$A,[1]SKU!$Z:$Z)</f>
        <v>2500000</v>
      </c>
    </row>
    <row r="1413" spans="1:14">
      <c r="A1413" s="1" t="s">
        <v>6248</v>
      </c>
      <c r="B1413" s="2" t="s">
        <v>4472</v>
      </c>
      <c r="C1413" s="2" t="s">
        <v>172</v>
      </c>
      <c r="D1413" s="2" t="s">
        <v>6249</v>
      </c>
      <c r="E1413" s="7" t="str">
        <f t="shared" si="157"/>
        <v>DSP</v>
      </c>
      <c r="F1413" s="7" t="str">
        <f t="shared" si="151"/>
        <v>UNI</v>
      </c>
      <c r="G1413" s="7" t="str">
        <f t="shared" si="152"/>
        <v>FWR</v>
      </c>
      <c r="H1413" s="7" t="str">
        <f t="shared" si="153"/>
        <v>LES</v>
      </c>
      <c r="I1413" s="7" t="str">
        <f t="shared" si="154"/>
        <v>ALF</v>
      </c>
      <c r="J1413" s="7" t="str">
        <f t="shared" si="155"/>
        <v>DPU</v>
      </c>
      <c r="K1413" s="7" t="str">
        <f t="shared" si="156"/>
        <v>46</v>
      </c>
      <c r="L1413" s="7">
        <v>0</v>
      </c>
      <c r="M1413" s="7" t="s">
        <v>2609</v>
      </c>
      <c r="N1413" s="7">
        <f>_xlfn.XLOOKUP(A1413,[1]SKU!$A:$A,[1]SKU!$Z:$Z)</f>
        <v>7800000</v>
      </c>
    </row>
    <row r="1414" spans="1:14">
      <c r="A1414" s="1" t="s">
        <v>6250</v>
      </c>
      <c r="B1414" s="2" t="s">
        <v>4472</v>
      </c>
      <c r="C1414" s="2" t="s">
        <v>115</v>
      </c>
      <c r="D1414" s="2" t="s">
        <v>6251</v>
      </c>
      <c r="E1414" s="7" t="str">
        <f t="shared" si="157"/>
        <v>DSP</v>
      </c>
      <c r="F1414" s="7" t="str">
        <f t="shared" si="151"/>
        <v>UNI</v>
      </c>
      <c r="G1414" s="7" t="str">
        <f t="shared" si="152"/>
        <v>BAG</v>
      </c>
      <c r="H1414" s="7" t="str">
        <f t="shared" si="153"/>
        <v>HDB</v>
      </c>
      <c r="I1414" s="7" t="str">
        <f t="shared" si="154"/>
        <v>GA1</v>
      </c>
      <c r="J1414" s="7" t="str">
        <f t="shared" si="155"/>
        <v>CRI</v>
      </c>
      <c r="K1414" s="7" t="str">
        <f t="shared" si="156"/>
        <v>0</v>
      </c>
      <c r="L1414" s="7">
        <v>0</v>
      </c>
      <c r="M1414" s="7" t="s">
        <v>2609</v>
      </c>
      <c r="N1414" s="7">
        <f>_xlfn.XLOOKUP(A1414,[1]SKU!$A:$A,[1]SKU!$Z:$Z)</f>
        <v>8690000</v>
      </c>
    </row>
    <row r="1415" spans="1:14">
      <c r="A1415" s="1" t="s">
        <v>1714</v>
      </c>
      <c r="B1415" s="2" t="s">
        <v>3</v>
      </c>
      <c r="C1415" s="2" t="s">
        <v>119</v>
      </c>
      <c r="D1415" s="2" t="s">
        <v>1715</v>
      </c>
      <c r="E1415" s="7" t="str">
        <f t="shared" si="157"/>
        <v>GBA</v>
      </c>
      <c r="F1415" s="7" t="str">
        <f t="shared" si="151"/>
        <v>MEN</v>
      </c>
      <c r="G1415" s="7" t="str">
        <f t="shared" si="152"/>
        <v>TSS</v>
      </c>
      <c r="H1415" s="7" t="str">
        <f t="shared" si="153"/>
        <v>ONE</v>
      </c>
      <c r="I1415" s="7" t="str">
        <f t="shared" si="154"/>
        <v>VNW</v>
      </c>
      <c r="J1415" s="7" t="str">
        <f t="shared" si="155"/>
        <v>WHI</v>
      </c>
      <c r="K1415" s="7" t="str">
        <f t="shared" si="156"/>
        <v>M</v>
      </c>
      <c r="L1415" s="7" t="s">
        <v>2018</v>
      </c>
      <c r="M1415" s="7" t="s">
        <v>4462</v>
      </c>
      <c r="N1415" s="7">
        <f>_xlfn.XLOOKUP(A1415,[1]SKU!$A:$A,[1]SKU!$Z:$Z)</f>
        <v>1590000</v>
      </c>
    </row>
    <row r="1416" spans="1:14">
      <c r="A1416" s="1" t="s">
        <v>1716</v>
      </c>
      <c r="B1416" s="2" t="s">
        <v>3</v>
      </c>
      <c r="C1416" s="2" t="s">
        <v>787</v>
      </c>
      <c r="D1416" s="2" t="s">
        <v>1717</v>
      </c>
      <c r="E1416" s="7" t="str">
        <f t="shared" si="157"/>
        <v>GOR</v>
      </c>
      <c r="F1416" s="7" t="str">
        <f t="shared" si="151"/>
        <v>MEN</v>
      </c>
      <c r="G1416" s="7" t="str">
        <f t="shared" si="152"/>
        <v>TSS</v>
      </c>
      <c r="H1416" s="7" t="str">
        <f t="shared" si="153"/>
        <v>ONE</v>
      </c>
      <c r="I1416" s="7" t="str">
        <f t="shared" si="154"/>
        <v>LLY</v>
      </c>
      <c r="J1416" s="7" t="str">
        <f t="shared" si="155"/>
        <v>BOR</v>
      </c>
      <c r="K1416" s="7" t="str">
        <f t="shared" si="156"/>
        <v>S</v>
      </c>
      <c r="L1416" s="7" t="s">
        <v>2018</v>
      </c>
      <c r="M1416" s="7" t="s">
        <v>4462</v>
      </c>
      <c r="N1416" s="7">
        <f>_xlfn.XLOOKUP(A1416,[1]SKU!$A:$A,[1]SKU!$Z:$Z)</f>
        <v>990000</v>
      </c>
    </row>
    <row r="1417" spans="1:14">
      <c r="A1417" s="1" t="s">
        <v>6252</v>
      </c>
      <c r="B1417" s="2" t="s">
        <v>4472</v>
      </c>
      <c r="C1417" s="2" t="s">
        <v>439</v>
      </c>
      <c r="D1417" s="2" t="s">
        <v>6253</v>
      </c>
      <c r="E1417" s="7" t="str">
        <f t="shared" si="157"/>
        <v>SHI</v>
      </c>
      <c r="F1417" s="7" t="str">
        <f t="shared" si="151"/>
        <v>UNI</v>
      </c>
      <c r="G1417" s="7" t="str">
        <f t="shared" si="152"/>
        <v>FNB</v>
      </c>
      <c r="H1417" s="7" t="str">
        <f t="shared" si="153"/>
        <v>CFB</v>
      </c>
      <c r="I1417" s="7" t="str">
        <f t="shared" si="154"/>
        <v>ALB</v>
      </c>
      <c r="J1417" s="7" t="str">
        <f t="shared" si="155"/>
        <v>WHI</v>
      </c>
      <c r="K1417" s="7" t="str">
        <f t="shared" si="156"/>
        <v>BAG</v>
      </c>
      <c r="L1417" s="7">
        <v>0</v>
      </c>
      <c r="M1417" s="7" t="s">
        <v>2609</v>
      </c>
      <c r="N1417" s="7">
        <f>_xlfn.XLOOKUP(A1417,[1]SKU!$A:$A,[1]SKU!$Z:$Z)</f>
        <v>250000</v>
      </c>
    </row>
    <row r="1418" spans="1:14">
      <c r="A1418" s="1" t="s">
        <v>1719</v>
      </c>
      <c r="B1418" s="2" t="s">
        <v>3</v>
      </c>
      <c r="C1418" s="2" t="s">
        <v>81</v>
      </c>
      <c r="D1418" s="2" t="s">
        <v>1720</v>
      </c>
      <c r="E1418" s="7" t="str">
        <f t="shared" si="157"/>
        <v>GSU</v>
      </c>
      <c r="F1418" s="7" t="str">
        <f t="shared" si="151"/>
        <v>MEN</v>
      </c>
      <c r="G1418" s="7" t="str">
        <f t="shared" si="152"/>
        <v>POL</v>
      </c>
      <c r="H1418" s="7" t="str">
        <f t="shared" si="153"/>
        <v>MAN</v>
      </c>
      <c r="I1418" s="7" t="str">
        <f t="shared" si="154"/>
        <v>JUN</v>
      </c>
      <c r="J1418" s="7" t="str">
        <f t="shared" si="155"/>
        <v>WHI</v>
      </c>
      <c r="K1418" s="7" t="str">
        <f t="shared" si="156"/>
        <v>M</v>
      </c>
      <c r="L1418" s="7" t="s">
        <v>1995</v>
      </c>
      <c r="M1418" s="7" t="s">
        <v>4468</v>
      </c>
      <c r="N1418" s="7">
        <f>_xlfn.XLOOKUP(A1418,[1]SKU!$A:$A,[1]SKU!$Z:$Z)</f>
        <v>1190000</v>
      </c>
    </row>
    <row r="1419" spans="1:14">
      <c r="A1419" s="1" t="s">
        <v>6254</v>
      </c>
      <c r="B1419" s="2" t="s">
        <v>4472</v>
      </c>
      <c r="C1419" s="2" t="s">
        <v>924</v>
      </c>
      <c r="D1419" s="2" t="s">
        <v>6255</v>
      </c>
      <c r="E1419" s="7" t="str">
        <f t="shared" si="157"/>
        <v>DSP</v>
      </c>
      <c r="F1419" s="7" t="str">
        <f t="shared" si="151"/>
        <v>UNI</v>
      </c>
      <c r="G1419" s="7" t="str">
        <f t="shared" si="152"/>
        <v>BAG</v>
      </c>
      <c r="H1419" s="7" t="str">
        <f t="shared" si="153"/>
        <v>HDB</v>
      </c>
      <c r="I1419" s="7" t="str">
        <f t="shared" si="154"/>
        <v>SH1</v>
      </c>
      <c r="J1419" s="7" t="str">
        <f t="shared" si="155"/>
        <v>GRE</v>
      </c>
      <c r="K1419" s="7" t="str">
        <f t="shared" si="156"/>
        <v>0</v>
      </c>
      <c r="L1419" s="7">
        <v>0</v>
      </c>
      <c r="M1419" s="7" t="s">
        <v>2609</v>
      </c>
      <c r="N1419" s="7">
        <f>_xlfn.XLOOKUP(A1419,[1]SKU!$A:$A,[1]SKU!$Z:$Z)</f>
        <v>4650000</v>
      </c>
    </row>
    <row r="1420" spans="1:14">
      <c r="A1420" s="1" t="s">
        <v>6256</v>
      </c>
      <c r="B1420" s="2" t="s">
        <v>4472</v>
      </c>
      <c r="C1420" s="2" t="s">
        <v>94</v>
      </c>
      <c r="D1420" s="2" t="s">
        <v>6257</v>
      </c>
      <c r="E1420" s="7" t="str">
        <f t="shared" si="157"/>
        <v>NGO</v>
      </c>
      <c r="F1420" s="7" t="str">
        <f t="shared" si="151"/>
        <v>UNI</v>
      </c>
      <c r="G1420" s="7" t="str">
        <f t="shared" si="152"/>
        <v>FWR</v>
      </c>
      <c r="H1420" s="7" t="str">
        <f t="shared" si="153"/>
        <v>SNE</v>
      </c>
      <c r="I1420" s="7" t="str">
        <f t="shared" si="154"/>
        <v>SGS</v>
      </c>
      <c r="J1420" s="7" t="str">
        <f t="shared" si="155"/>
        <v>SAG</v>
      </c>
      <c r="K1420" s="7" t="str">
        <f t="shared" si="156"/>
        <v>45</v>
      </c>
      <c r="L1420" s="7">
        <v>0</v>
      </c>
      <c r="M1420" s="7" t="s">
        <v>2609</v>
      </c>
      <c r="N1420" s="7">
        <f>_xlfn.XLOOKUP(A1420,[1]SKU!$A:$A,[1]SKU!$Z:$Z)</f>
        <v>3850000</v>
      </c>
    </row>
    <row r="1421" spans="1:14">
      <c r="A1421" s="1" t="s">
        <v>6258</v>
      </c>
      <c r="B1421" s="2" t="s">
        <v>4472</v>
      </c>
      <c r="C1421" s="2" t="s">
        <v>354</v>
      </c>
      <c r="D1421" s="2" t="s">
        <v>6259</v>
      </c>
      <c r="E1421" s="7" t="str">
        <f t="shared" si="157"/>
        <v>PSD</v>
      </c>
      <c r="F1421" s="7" t="str">
        <f t="shared" si="151"/>
        <v>UNI</v>
      </c>
      <c r="G1421" s="7" t="str">
        <f t="shared" si="152"/>
        <v>SOU</v>
      </c>
      <c r="H1421" s="7" t="str">
        <f t="shared" si="153"/>
        <v>DEC</v>
      </c>
      <c r="I1421" s="7" t="str">
        <f t="shared" si="154"/>
        <v>TWB</v>
      </c>
      <c r="J1421" s="7" t="str">
        <f t="shared" si="155"/>
        <v>GRN</v>
      </c>
      <c r="K1421" s="7" t="str">
        <f t="shared" si="156"/>
        <v>0</v>
      </c>
      <c r="L1421" s="7">
        <v>0</v>
      </c>
      <c r="M1421" s="7" t="s">
        <v>2609</v>
      </c>
      <c r="N1421" s="7">
        <f>_xlfn.XLOOKUP(A1421,[1]SKU!$A:$A,[1]SKU!$Z:$Z)</f>
        <v>700000</v>
      </c>
    </row>
    <row r="1422" spans="1:14">
      <c r="A1422" s="1" t="s">
        <v>1721</v>
      </c>
      <c r="B1422" s="2" t="s">
        <v>3</v>
      </c>
      <c r="C1422" s="2" t="s">
        <v>78</v>
      </c>
      <c r="D1422" s="2" t="s">
        <v>1722</v>
      </c>
      <c r="E1422" s="7" t="str">
        <f t="shared" si="157"/>
        <v>GBA</v>
      </c>
      <c r="F1422" s="7" t="str">
        <f t="shared" si="151"/>
        <v>MEN</v>
      </c>
      <c r="G1422" s="7" t="str">
        <f t="shared" si="152"/>
        <v>TSS</v>
      </c>
      <c r="H1422" s="7" t="str">
        <f t="shared" si="153"/>
        <v>ONE</v>
      </c>
      <c r="I1422" s="7" t="str">
        <f t="shared" si="154"/>
        <v>STE</v>
      </c>
      <c r="J1422" s="7" t="str">
        <f t="shared" si="155"/>
        <v>WHI</v>
      </c>
      <c r="K1422" s="7" t="str">
        <f t="shared" si="156"/>
        <v>S</v>
      </c>
      <c r="L1422" s="7" t="s">
        <v>2018</v>
      </c>
      <c r="M1422" s="7" t="s">
        <v>4462</v>
      </c>
      <c r="N1422" s="7">
        <f>_xlfn.XLOOKUP(A1422,[1]SKU!$A:$A,[1]SKU!$Z:$Z)</f>
        <v>710000</v>
      </c>
    </row>
    <row r="1423" spans="1:14">
      <c r="A1423" s="1" t="s">
        <v>6260</v>
      </c>
      <c r="B1423" s="2" t="s">
        <v>69</v>
      </c>
      <c r="C1423" s="2" t="s">
        <v>1723</v>
      </c>
      <c r="D1423" s="2" t="s">
        <v>6261</v>
      </c>
      <c r="E1423" s="7" t="str">
        <f t="shared" si="157"/>
        <v>GCF</v>
      </c>
      <c r="F1423" s="7" t="str">
        <f t="shared" si="151"/>
        <v>UNI</v>
      </c>
      <c r="G1423" s="7" t="str">
        <f t="shared" si="152"/>
        <v>FNB</v>
      </c>
      <c r="H1423" s="7" t="str">
        <f t="shared" si="153"/>
        <v>CFO</v>
      </c>
      <c r="I1423" s="7" t="str">
        <f t="shared" si="154"/>
        <v>WHC</v>
      </c>
      <c r="J1423" s="7" t="str">
        <f t="shared" si="155"/>
        <v>MIX</v>
      </c>
      <c r="K1423" s="7" t="str">
        <f t="shared" si="156"/>
        <v>0</v>
      </c>
      <c r="L1423" s="7">
        <v>0</v>
      </c>
      <c r="M1423" s="7" t="s">
        <v>2609</v>
      </c>
      <c r="N1423" s="7">
        <f>_xlfn.XLOOKUP(A1423,[1]SKU!$A:$A,[1]SKU!$Z:$Z)</f>
        <v>75000</v>
      </c>
    </row>
    <row r="1424" spans="1:14">
      <c r="A1424" s="1" t="s">
        <v>1724</v>
      </c>
      <c r="B1424" s="2" t="s">
        <v>3</v>
      </c>
      <c r="C1424" s="2" t="s">
        <v>295</v>
      </c>
      <c r="D1424" s="2" t="s">
        <v>1725</v>
      </c>
      <c r="E1424" s="7" t="str">
        <f t="shared" si="157"/>
        <v>GOR</v>
      </c>
      <c r="F1424" s="7" t="str">
        <f t="shared" si="151"/>
        <v>KID</v>
      </c>
      <c r="G1424" s="7" t="str">
        <f t="shared" si="152"/>
        <v>TSS</v>
      </c>
      <c r="H1424" s="7" t="str">
        <f t="shared" si="153"/>
        <v>ONE</v>
      </c>
      <c r="I1424" s="7" t="str">
        <f t="shared" si="154"/>
        <v>WBO</v>
      </c>
      <c r="J1424" s="7" t="str">
        <f t="shared" si="155"/>
        <v>JBG</v>
      </c>
      <c r="K1424" s="7" t="str">
        <f t="shared" si="156"/>
        <v>8</v>
      </c>
      <c r="L1424" s="7" t="s">
        <v>2018</v>
      </c>
      <c r="M1424" s="7" t="s">
        <v>4462</v>
      </c>
      <c r="N1424" s="7">
        <f>_xlfn.XLOOKUP(A1424,[1]SKU!$A:$A,[1]SKU!$Z:$Z)</f>
        <v>590000</v>
      </c>
    </row>
    <row r="1425" spans="1:14">
      <c r="A1425" s="1" t="s">
        <v>6262</v>
      </c>
      <c r="B1425" s="2" t="s">
        <v>4472</v>
      </c>
      <c r="C1425" s="2" t="s">
        <v>94</v>
      </c>
      <c r="D1425" s="2" t="s">
        <v>6263</v>
      </c>
      <c r="E1425" s="7" t="str">
        <f t="shared" si="157"/>
        <v>NGO</v>
      </c>
      <c r="F1425" s="7" t="str">
        <f t="shared" si="151"/>
        <v>UNI</v>
      </c>
      <c r="G1425" s="7" t="str">
        <f t="shared" si="152"/>
        <v>FWR</v>
      </c>
      <c r="H1425" s="7" t="str">
        <f t="shared" si="153"/>
        <v>SNE</v>
      </c>
      <c r="I1425" s="7" t="str">
        <f t="shared" si="154"/>
        <v>SGS</v>
      </c>
      <c r="J1425" s="7" t="str">
        <f t="shared" si="155"/>
        <v>SAG</v>
      </c>
      <c r="K1425" s="7" t="str">
        <f t="shared" si="156"/>
        <v>37</v>
      </c>
      <c r="L1425" s="7">
        <v>0</v>
      </c>
      <c r="M1425" s="7" t="s">
        <v>2609</v>
      </c>
      <c r="N1425" s="7">
        <f>_xlfn.XLOOKUP(A1425,[1]SKU!$A:$A,[1]SKU!$Z:$Z)</f>
        <v>3850000</v>
      </c>
    </row>
    <row r="1426" spans="1:14">
      <c r="A1426" s="1" t="s">
        <v>1726</v>
      </c>
      <c r="B1426" s="2" t="s">
        <v>3</v>
      </c>
      <c r="C1426" s="2" t="s">
        <v>42</v>
      </c>
      <c r="D1426" s="2" t="s">
        <v>1727</v>
      </c>
      <c r="E1426" s="7" t="str">
        <f t="shared" si="157"/>
        <v>GCL</v>
      </c>
      <c r="F1426" s="7" t="str">
        <f t="shared" si="151"/>
        <v>MEN</v>
      </c>
      <c r="G1426" s="7" t="str">
        <f t="shared" si="152"/>
        <v>TSO</v>
      </c>
      <c r="H1426" s="7" t="str">
        <f t="shared" si="153"/>
        <v>ONE</v>
      </c>
      <c r="I1426" s="7" t="str">
        <f t="shared" si="154"/>
        <v>EHT</v>
      </c>
      <c r="J1426" s="7" t="str">
        <f t="shared" si="155"/>
        <v>WHI</v>
      </c>
      <c r="K1426" s="7" t="str">
        <f t="shared" si="156"/>
        <v>XS</v>
      </c>
      <c r="L1426" s="7" t="s">
        <v>2071</v>
      </c>
      <c r="M1426" s="7" t="s">
        <v>4462</v>
      </c>
      <c r="N1426" s="7">
        <f>_xlfn.XLOOKUP(A1426,[1]SKU!$A:$A,[1]SKU!$Z:$Z)</f>
        <v>1290000</v>
      </c>
    </row>
    <row r="1427" spans="1:14">
      <c r="A1427" s="1" t="s">
        <v>6264</v>
      </c>
      <c r="B1427" s="2" t="s">
        <v>4472</v>
      </c>
      <c r="C1427" s="2" t="s">
        <v>100</v>
      </c>
      <c r="D1427" s="2" t="s">
        <v>6265</v>
      </c>
      <c r="E1427" s="7" t="str">
        <f t="shared" si="157"/>
        <v>PSD</v>
      </c>
      <c r="F1427" s="7" t="str">
        <f t="shared" si="151"/>
        <v>UNI</v>
      </c>
      <c r="G1427" s="7" t="str">
        <f t="shared" si="152"/>
        <v>SOU</v>
      </c>
      <c r="H1427" s="7" t="str">
        <f t="shared" si="153"/>
        <v>DEC</v>
      </c>
      <c r="I1427" s="7" t="str">
        <f t="shared" si="154"/>
        <v>LBA</v>
      </c>
      <c r="J1427" s="7" t="str">
        <f t="shared" si="155"/>
        <v>RED</v>
      </c>
      <c r="K1427" s="7" t="str">
        <f t="shared" si="156"/>
        <v>18</v>
      </c>
      <c r="L1427" s="7">
        <v>0</v>
      </c>
      <c r="M1427" s="7" t="s">
        <v>2609</v>
      </c>
      <c r="N1427" s="7">
        <f>_xlfn.XLOOKUP(A1427,[1]SKU!$A:$A,[1]SKU!$Z:$Z)</f>
        <v>550000</v>
      </c>
    </row>
    <row r="1428" spans="1:14">
      <c r="A1428" s="1" t="s">
        <v>6266</v>
      </c>
      <c r="B1428" s="2" t="s">
        <v>4472</v>
      </c>
      <c r="C1428" s="2" t="s">
        <v>6267</v>
      </c>
      <c r="D1428" s="2" t="s">
        <v>6268</v>
      </c>
      <c r="E1428" s="7" t="str">
        <f t="shared" si="157"/>
        <v>EDE</v>
      </c>
      <c r="F1428" s="7" t="str">
        <f t="shared" si="151"/>
        <v>UNI</v>
      </c>
      <c r="G1428" s="7" t="str">
        <f t="shared" si="152"/>
        <v>HDR</v>
      </c>
      <c r="H1428" s="7" t="str">
        <f t="shared" si="153"/>
        <v>CUS</v>
      </c>
      <c r="I1428" s="7" t="str">
        <f t="shared" si="154"/>
        <v>CHA</v>
      </c>
      <c r="J1428" s="7" t="str">
        <f t="shared" si="155"/>
        <v>PIN</v>
      </c>
      <c r="K1428" s="7" t="str">
        <f t="shared" si="156"/>
        <v>0</v>
      </c>
      <c r="L1428" s="7">
        <v>0</v>
      </c>
      <c r="M1428" s="7" t="s">
        <v>2609</v>
      </c>
      <c r="N1428" s="7">
        <f>_xlfn.XLOOKUP(A1428,[1]SKU!$A:$A,[1]SKU!$Z:$Z)</f>
        <v>480000</v>
      </c>
    </row>
    <row r="1429" spans="1:14">
      <c r="A1429" s="1" t="s">
        <v>1728</v>
      </c>
      <c r="B1429" s="2" t="s">
        <v>3</v>
      </c>
      <c r="C1429" s="2" t="s">
        <v>223</v>
      </c>
      <c r="D1429" s="2" t="s">
        <v>1729</v>
      </c>
      <c r="E1429" s="7" t="str">
        <f t="shared" si="157"/>
        <v>GSU</v>
      </c>
      <c r="F1429" s="7" t="str">
        <f t="shared" si="151"/>
        <v>WOM</v>
      </c>
      <c r="G1429" s="7" t="str">
        <f t="shared" si="152"/>
        <v>TTB</v>
      </c>
      <c r="H1429" s="7" t="str">
        <f t="shared" si="153"/>
        <v>BNE</v>
      </c>
      <c r="I1429" s="7" t="str">
        <f t="shared" si="154"/>
        <v>BLF</v>
      </c>
      <c r="J1429" s="7" t="str">
        <f t="shared" si="155"/>
        <v>WHI</v>
      </c>
      <c r="K1429" s="7" t="str">
        <f t="shared" si="156"/>
        <v>S</v>
      </c>
      <c r="L1429" s="7" t="s">
        <v>2326</v>
      </c>
      <c r="M1429" s="7" t="s">
        <v>4469</v>
      </c>
      <c r="N1429" s="7">
        <f>_xlfn.XLOOKUP(A1429,[1]SKU!$A:$A,[1]SKU!$Z:$Z)</f>
        <v>850000</v>
      </c>
    </row>
    <row r="1430" spans="1:14">
      <c r="A1430" s="1" t="s">
        <v>1730</v>
      </c>
      <c r="B1430" s="2" t="s">
        <v>3</v>
      </c>
      <c r="C1430" s="2" t="s">
        <v>167</v>
      </c>
      <c r="D1430" s="2" t="s">
        <v>1731</v>
      </c>
      <c r="E1430" s="7" t="str">
        <f t="shared" si="157"/>
        <v>GOR</v>
      </c>
      <c r="F1430" s="7" t="str">
        <f t="shared" si="151"/>
        <v>MEN</v>
      </c>
      <c r="G1430" s="7" t="str">
        <f t="shared" si="152"/>
        <v>TSP</v>
      </c>
      <c r="H1430" s="7" t="str">
        <f t="shared" si="153"/>
        <v>ONE</v>
      </c>
      <c r="I1430" s="7" t="str">
        <f t="shared" si="154"/>
        <v>TJM</v>
      </c>
      <c r="J1430" s="7" t="str">
        <f t="shared" si="155"/>
        <v>OLI</v>
      </c>
      <c r="K1430" s="7" t="str">
        <f t="shared" si="156"/>
        <v>XL</v>
      </c>
      <c r="L1430" s="7" t="s">
        <v>2085</v>
      </c>
      <c r="M1430" s="7" t="s">
        <v>4462</v>
      </c>
      <c r="N1430" s="7">
        <f>_xlfn.XLOOKUP(A1430,[1]SKU!$A:$A,[1]SKU!$Z:$Z)</f>
        <v>790000</v>
      </c>
    </row>
    <row r="1431" spans="1:14">
      <c r="A1431" s="1" t="s">
        <v>6269</v>
      </c>
      <c r="B1431" s="2" t="s">
        <v>4472</v>
      </c>
      <c r="C1431" s="2" t="s">
        <v>6270</v>
      </c>
      <c r="D1431" s="2" t="s">
        <v>6271</v>
      </c>
      <c r="E1431" s="7" t="str">
        <f t="shared" si="157"/>
        <v>HAM</v>
      </c>
      <c r="F1431" s="7" t="str">
        <f t="shared" si="151"/>
        <v>UNI</v>
      </c>
      <c r="G1431" s="7" t="str">
        <f t="shared" si="152"/>
        <v>JEW</v>
      </c>
      <c r="H1431" s="7" t="str">
        <f t="shared" si="153"/>
        <v>BRA</v>
      </c>
      <c r="I1431" s="7" t="str">
        <f t="shared" si="154"/>
        <v>N48</v>
      </c>
      <c r="J1431" s="7" t="str">
        <f t="shared" si="155"/>
        <v>MIX</v>
      </c>
      <c r="K1431" s="7" t="str">
        <f t="shared" si="156"/>
        <v>0</v>
      </c>
      <c r="L1431" s="7">
        <v>0</v>
      </c>
      <c r="M1431" s="7" t="s">
        <v>2609</v>
      </c>
      <c r="N1431" s="7">
        <f>_xlfn.XLOOKUP(A1431,[1]SKU!$A:$A,[1]SKU!$Z:$Z)</f>
        <v>600000</v>
      </c>
    </row>
    <row r="1432" spans="1:14">
      <c r="A1432" s="1" t="s">
        <v>6272</v>
      </c>
      <c r="B1432" s="2" t="s">
        <v>4472</v>
      </c>
      <c r="C1432" s="2" t="s">
        <v>6273</v>
      </c>
      <c r="D1432" s="2" t="s">
        <v>6271</v>
      </c>
      <c r="E1432" s="7" t="str">
        <f t="shared" si="157"/>
        <v>HAM</v>
      </c>
      <c r="F1432" s="7" t="str">
        <f t="shared" si="151"/>
        <v>UNI</v>
      </c>
      <c r="G1432" s="7" t="str">
        <f t="shared" si="152"/>
        <v>JEW</v>
      </c>
      <c r="H1432" s="7" t="str">
        <f t="shared" si="153"/>
        <v>BRA</v>
      </c>
      <c r="I1432" s="7" t="str">
        <f t="shared" si="154"/>
        <v>N48</v>
      </c>
      <c r="J1432" s="7" t="str">
        <f t="shared" si="155"/>
        <v>MIX</v>
      </c>
      <c r="K1432" s="7" t="str">
        <f t="shared" si="156"/>
        <v>0</v>
      </c>
      <c r="L1432" s="7">
        <v>0</v>
      </c>
      <c r="M1432" s="7" t="s">
        <v>2609</v>
      </c>
      <c r="N1432" s="7">
        <f>_xlfn.XLOOKUP(A1432,[1]SKU!$A:$A,[1]SKU!$Z:$Z)</f>
        <v>600000</v>
      </c>
    </row>
    <row r="1433" spans="1:14">
      <c r="A1433" s="1" t="s">
        <v>1734</v>
      </c>
      <c r="B1433" s="2" t="s">
        <v>3</v>
      </c>
      <c r="C1433" s="2" t="s">
        <v>383</v>
      </c>
      <c r="D1433" s="2" t="s">
        <v>1735</v>
      </c>
      <c r="E1433" s="7" t="str">
        <f t="shared" si="157"/>
        <v>GOR</v>
      </c>
      <c r="F1433" s="7" t="str">
        <f t="shared" si="151"/>
        <v>MEN</v>
      </c>
      <c r="G1433" s="7" t="str">
        <f t="shared" si="152"/>
        <v>TSS</v>
      </c>
      <c r="H1433" s="7" t="str">
        <f t="shared" si="153"/>
        <v>ONE</v>
      </c>
      <c r="I1433" s="7" t="str">
        <f t="shared" si="154"/>
        <v>HCT</v>
      </c>
      <c r="J1433" s="7" t="str">
        <f t="shared" si="155"/>
        <v>WHI</v>
      </c>
      <c r="K1433" s="7" t="str">
        <f t="shared" si="156"/>
        <v>XL</v>
      </c>
      <c r="L1433" s="7" t="s">
        <v>2018</v>
      </c>
      <c r="M1433" s="7" t="s">
        <v>4462</v>
      </c>
      <c r="N1433" s="7">
        <f>_xlfn.XLOOKUP(A1433,[1]SKU!$A:$A,[1]SKU!$Z:$Z)</f>
        <v>790000</v>
      </c>
    </row>
    <row r="1434" spans="1:14">
      <c r="A1434" s="1" t="s">
        <v>6274</v>
      </c>
      <c r="B1434" s="2" t="s">
        <v>4472</v>
      </c>
      <c r="C1434" s="2" t="s">
        <v>6275</v>
      </c>
      <c r="D1434" s="2" t="s">
        <v>6276</v>
      </c>
      <c r="E1434" s="7" t="str">
        <f t="shared" si="157"/>
        <v>LAN</v>
      </c>
      <c r="F1434" s="7" t="str">
        <f t="shared" si="151"/>
        <v>UNI</v>
      </c>
      <c r="G1434" s="7" t="str">
        <f t="shared" si="152"/>
        <v>HDR</v>
      </c>
      <c r="H1434" s="7" t="str">
        <f t="shared" si="153"/>
        <v>LBX</v>
      </c>
      <c r="I1434" s="7" t="str">
        <f t="shared" si="154"/>
        <v>SNA</v>
      </c>
      <c r="J1434" s="7" t="str">
        <f t="shared" si="155"/>
        <v>YEL</v>
      </c>
      <c r="K1434" s="7" t="str">
        <f t="shared" si="156"/>
        <v>BOX</v>
      </c>
      <c r="L1434" s="7">
        <v>0</v>
      </c>
      <c r="M1434" s="7" t="s">
        <v>2609</v>
      </c>
      <c r="N1434" s="7">
        <f>_xlfn.XLOOKUP(A1434,[1]SKU!$A:$A,[1]SKU!$Z:$Z)</f>
        <v>1099000</v>
      </c>
    </row>
    <row r="1435" spans="1:14">
      <c r="A1435" s="1" t="s">
        <v>1736</v>
      </c>
      <c r="B1435" s="2" t="s">
        <v>3</v>
      </c>
      <c r="C1435" s="2" t="s">
        <v>204</v>
      </c>
      <c r="D1435" s="2" t="s">
        <v>1737</v>
      </c>
      <c r="E1435" s="7" t="str">
        <f t="shared" si="157"/>
        <v>GFI</v>
      </c>
      <c r="F1435" s="7" t="str">
        <f t="shared" si="151"/>
        <v>MEN</v>
      </c>
      <c r="G1435" s="7" t="str">
        <f t="shared" si="152"/>
        <v>HLS</v>
      </c>
      <c r="H1435" s="7" t="str">
        <f t="shared" si="153"/>
        <v>ONE</v>
      </c>
      <c r="I1435" s="7" t="str">
        <f t="shared" si="154"/>
        <v>GEC</v>
      </c>
      <c r="J1435" s="7" t="str">
        <f t="shared" si="155"/>
        <v>RED</v>
      </c>
      <c r="K1435" s="7" t="str">
        <f t="shared" si="156"/>
        <v>S</v>
      </c>
      <c r="L1435" s="7" t="s">
        <v>2494</v>
      </c>
      <c r="M1435" s="7" t="s">
        <v>4466</v>
      </c>
      <c r="N1435" s="7">
        <f>_xlfn.XLOOKUP(A1435,[1]SKU!$A:$A,[1]SKU!$Z:$Z)</f>
        <v>1590000</v>
      </c>
    </row>
    <row r="1436" spans="1:14">
      <c r="A1436" s="1" t="s">
        <v>6277</v>
      </c>
      <c r="B1436" s="2" t="s">
        <v>4481</v>
      </c>
      <c r="C1436" s="2" t="s">
        <v>1738</v>
      </c>
      <c r="D1436" s="2" t="s">
        <v>6278</v>
      </c>
      <c r="E1436" s="7" t="str">
        <f t="shared" si="157"/>
        <v>PAS</v>
      </c>
      <c r="F1436" s="7" t="str">
        <f t="shared" ref="F1436:F1499" si="158">_xlfn.TEXTBEFORE(_xlfn.TEXTAFTER(D1436,"-",2),"-")</f>
        <v>UNI</v>
      </c>
      <c r="G1436" s="7" t="str">
        <f t="shared" ref="G1436:G1499" si="159">_xlfn.TEXTBEFORE(_xlfn.TEXTAFTER(D1436,"-",3),"-")</f>
        <v>ART</v>
      </c>
      <c r="H1436" s="7" t="str">
        <f t="shared" ref="H1436:H1499" si="160">_xlfn.TEXTBEFORE(_xlfn.TEXTAFTER(D1436,"-",4),"-")</f>
        <v>ART</v>
      </c>
      <c r="I1436" s="7" t="str">
        <f t="shared" ref="I1436:I1499" si="161">_xlfn.TEXTBEFORE(_xlfn.TEXTAFTER(D1436,"-",5),"-")</f>
        <v>LIB</v>
      </c>
      <c r="J1436" s="7" t="str">
        <f t="shared" ref="J1436:J1499" si="162">_xlfn.TEXTBEFORE(_xlfn.TEXTAFTER(D1436,"-",6),"-")</f>
        <v>MIX</v>
      </c>
      <c r="K1436" s="7" t="str">
        <f t="shared" ref="K1436:K1499" si="163">_xlfn.TEXTAFTER(D1436,"-",7)</f>
        <v>A5</v>
      </c>
      <c r="L1436" s="7">
        <v>0</v>
      </c>
      <c r="M1436" s="7" t="s">
        <v>2609</v>
      </c>
      <c r="N1436" s="7">
        <f>_xlfn.XLOOKUP(A1436,[1]SKU!$A:$A,[1]SKU!$Z:$Z)</f>
        <v>1800000</v>
      </c>
    </row>
    <row r="1437" spans="1:14">
      <c r="A1437" s="1" t="s">
        <v>1739</v>
      </c>
      <c r="B1437" s="2" t="s">
        <v>3</v>
      </c>
      <c r="C1437" s="2" t="s">
        <v>113</v>
      </c>
      <c r="D1437" s="2" t="s">
        <v>1740</v>
      </c>
      <c r="E1437" s="7" t="str">
        <f t="shared" si="157"/>
        <v>GFI</v>
      </c>
      <c r="F1437" s="7" t="str">
        <f t="shared" si="158"/>
        <v>KID</v>
      </c>
      <c r="G1437" s="7" t="str">
        <f t="shared" si="159"/>
        <v>SWL</v>
      </c>
      <c r="H1437" s="7" t="str">
        <f t="shared" si="160"/>
        <v>ONE</v>
      </c>
      <c r="I1437" s="7" t="str">
        <f t="shared" si="161"/>
        <v>TCS</v>
      </c>
      <c r="J1437" s="7" t="str">
        <f t="shared" si="162"/>
        <v>CRE</v>
      </c>
      <c r="K1437" s="7" t="str">
        <f t="shared" si="163"/>
        <v>6</v>
      </c>
      <c r="L1437" s="7" t="s">
        <v>2581</v>
      </c>
      <c r="M1437" s="7" t="s">
        <v>4464</v>
      </c>
      <c r="N1437" s="7">
        <f>_xlfn.XLOOKUP(A1437,[1]SKU!$A:$A,[1]SKU!$Z:$Z)</f>
        <v>990000</v>
      </c>
    </row>
    <row r="1438" spans="1:14">
      <c r="A1438" s="1" t="s">
        <v>1741</v>
      </c>
      <c r="B1438" s="2" t="s">
        <v>3</v>
      </c>
      <c r="C1438" s="2" t="s">
        <v>311</v>
      </c>
      <c r="D1438" s="2" t="s">
        <v>1742</v>
      </c>
      <c r="E1438" s="7" t="str">
        <f t="shared" si="157"/>
        <v>GSL</v>
      </c>
      <c r="F1438" s="7" t="str">
        <f t="shared" si="158"/>
        <v>KID</v>
      </c>
      <c r="G1438" s="7" t="str">
        <f t="shared" si="159"/>
        <v>TTS</v>
      </c>
      <c r="H1438" s="7" t="str">
        <f t="shared" si="160"/>
        <v>ONE</v>
      </c>
      <c r="I1438" s="7" t="str">
        <f t="shared" si="161"/>
        <v>GL2</v>
      </c>
      <c r="J1438" s="7" t="str">
        <f t="shared" si="162"/>
        <v>RED</v>
      </c>
      <c r="K1438" s="7" t="str">
        <f t="shared" si="163"/>
        <v>2</v>
      </c>
      <c r="L1438" s="7" t="s">
        <v>2310</v>
      </c>
      <c r="M1438" s="7" t="s">
        <v>4469</v>
      </c>
      <c r="N1438" s="7">
        <f>_xlfn.XLOOKUP(A1438,[1]SKU!$A:$A,[1]SKU!$Z:$Z)</f>
        <v>550000</v>
      </c>
    </row>
    <row r="1439" spans="1:14">
      <c r="A1439" s="1" t="s">
        <v>6279</v>
      </c>
      <c r="B1439" s="2" t="s">
        <v>4472</v>
      </c>
      <c r="C1439" s="2" t="s">
        <v>6280</v>
      </c>
      <c r="D1439" s="2" t="s">
        <v>6281</v>
      </c>
      <c r="E1439" s="7" t="str">
        <f t="shared" si="157"/>
        <v>HAM</v>
      </c>
      <c r="F1439" s="7" t="str">
        <f t="shared" si="158"/>
        <v>UNI</v>
      </c>
      <c r="G1439" s="7" t="str">
        <f t="shared" si="159"/>
        <v>JEW</v>
      </c>
      <c r="H1439" s="7" t="str">
        <f t="shared" si="160"/>
        <v>NEC</v>
      </c>
      <c r="I1439" s="7" t="str">
        <f t="shared" si="161"/>
        <v>087</v>
      </c>
      <c r="J1439" s="7" t="str">
        <f t="shared" si="162"/>
        <v>MIX</v>
      </c>
      <c r="K1439" s="7" t="str">
        <f t="shared" si="163"/>
        <v>0</v>
      </c>
      <c r="L1439" s="7">
        <v>0</v>
      </c>
      <c r="M1439" s="7" t="s">
        <v>2609</v>
      </c>
      <c r="N1439" s="7">
        <f>_xlfn.XLOOKUP(A1439,[1]SKU!$A:$A,[1]SKU!$Z:$Z)</f>
        <v>1800000</v>
      </c>
    </row>
    <row r="1440" spans="1:14">
      <c r="A1440" s="1" t="s">
        <v>6282</v>
      </c>
      <c r="B1440" s="2" t="s">
        <v>4472</v>
      </c>
      <c r="C1440" s="2" t="s">
        <v>287</v>
      </c>
      <c r="D1440" s="2" t="s">
        <v>6283</v>
      </c>
      <c r="E1440" s="7" t="str">
        <f t="shared" si="157"/>
        <v>SHI</v>
      </c>
      <c r="F1440" s="7" t="str">
        <f t="shared" si="158"/>
        <v>UNI</v>
      </c>
      <c r="G1440" s="7" t="str">
        <f t="shared" si="159"/>
        <v>FNB</v>
      </c>
      <c r="H1440" s="7" t="str">
        <f t="shared" si="160"/>
        <v>CFP</v>
      </c>
      <c r="I1440" s="7" t="str">
        <f t="shared" si="161"/>
        <v>KSB</v>
      </c>
      <c r="J1440" s="7" t="str">
        <f t="shared" si="162"/>
        <v>WHI</v>
      </c>
      <c r="K1440" s="7" t="str">
        <f t="shared" si="163"/>
        <v>CAN</v>
      </c>
      <c r="L1440" s="7">
        <v>0</v>
      </c>
      <c r="M1440" s="7" t="s">
        <v>2609</v>
      </c>
      <c r="N1440" s="7">
        <f>_xlfn.XLOOKUP(A1440,[1]SKU!$A:$A,[1]SKU!$Z:$Z)</f>
        <v>180000</v>
      </c>
    </row>
    <row r="1441" spans="1:14">
      <c r="A1441" s="1" t="s">
        <v>6284</v>
      </c>
      <c r="B1441" s="2" t="s">
        <v>4472</v>
      </c>
      <c r="C1441" s="2" t="s">
        <v>260</v>
      </c>
      <c r="D1441" s="2" t="s">
        <v>6285</v>
      </c>
      <c r="E1441" s="7" t="str">
        <f t="shared" si="157"/>
        <v>DSP</v>
      </c>
      <c r="F1441" s="7" t="str">
        <f t="shared" si="158"/>
        <v>UNI</v>
      </c>
      <c r="G1441" s="7" t="str">
        <f t="shared" si="159"/>
        <v>HDR</v>
      </c>
      <c r="H1441" s="7" t="str">
        <f t="shared" si="160"/>
        <v>LTK</v>
      </c>
      <c r="I1441" s="7" t="str">
        <f t="shared" si="161"/>
        <v>LTK</v>
      </c>
      <c r="J1441" s="7" t="str">
        <f t="shared" si="162"/>
        <v>DRE</v>
      </c>
      <c r="K1441" s="7" t="str">
        <f t="shared" si="163"/>
        <v>0</v>
      </c>
      <c r="L1441" s="7">
        <v>0</v>
      </c>
      <c r="M1441" s="7" t="s">
        <v>2609</v>
      </c>
      <c r="N1441" s="7">
        <f>_xlfn.XLOOKUP(A1441,[1]SKU!$A:$A,[1]SKU!$Z:$Z)</f>
        <v>2400000</v>
      </c>
    </row>
    <row r="1442" spans="1:14">
      <c r="A1442" s="1" t="s">
        <v>6286</v>
      </c>
      <c r="B1442" s="2" t="s">
        <v>4472</v>
      </c>
      <c r="C1442" s="2" t="s">
        <v>6287</v>
      </c>
      <c r="D1442" s="2" t="s">
        <v>6288</v>
      </c>
      <c r="E1442" s="7" t="str">
        <f t="shared" si="157"/>
        <v>LAN</v>
      </c>
      <c r="F1442" s="7" t="str">
        <f t="shared" si="158"/>
        <v>UNI</v>
      </c>
      <c r="G1442" s="7" t="str">
        <f t="shared" si="159"/>
        <v>HWR</v>
      </c>
      <c r="H1442" s="7" t="str">
        <f t="shared" si="160"/>
        <v>SC2</v>
      </c>
      <c r="I1442" s="7" t="str">
        <f t="shared" si="161"/>
        <v>TCL</v>
      </c>
      <c r="J1442" s="7" t="str">
        <f t="shared" si="162"/>
        <v>YEL</v>
      </c>
      <c r="K1442" s="7" t="str">
        <f t="shared" si="163"/>
        <v>70x70</v>
      </c>
      <c r="L1442" s="7">
        <v>0</v>
      </c>
      <c r="M1442" s="7" t="s">
        <v>2609</v>
      </c>
      <c r="N1442" s="7">
        <f>_xlfn.XLOOKUP(A1442,[1]SKU!$A:$A,[1]SKU!$Z:$Z)</f>
        <v>749000</v>
      </c>
    </row>
    <row r="1443" spans="1:14">
      <c r="A1443" s="1" t="s">
        <v>1744</v>
      </c>
      <c r="B1443" s="2" t="s">
        <v>3</v>
      </c>
      <c r="C1443" s="2" t="s">
        <v>33</v>
      </c>
      <c r="D1443" s="2" t="s">
        <v>1745</v>
      </c>
      <c r="E1443" s="7" t="str">
        <f t="shared" si="157"/>
        <v>GOR</v>
      </c>
      <c r="F1443" s="7" t="str">
        <f t="shared" si="158"/>
        <v>MEN</v>
      </c>
      <c r="G1443" s="7" t="str">
        <f t="shared" si="159"/>
        <v>TSS</v>
      </c>
      <c r="H1443" s="7" t="str">
        <f t="shared" si="160"/>
        <v>ONE</v>
      </c>
      <c r="I1443" s="7" t="str">
        <f t="shared" si="161"/>
        <v>VTM</v>
      </c>
      <c r="J1443" s="7" t="str">
        <f t="shared" si="162"/>
        <v>WHI</v>
      </c>
      <c r="K1443" s="7" t="str">
        <f t="shared" si="163"/>
        <v>S</v>
      </c>
      <c r="L1443" s="7" t="s">
        <v>2018</v>
      </c>
      <c r="M1443" s="7" t="s">
        <v>4462</v>
      </c>
      <c r="N1443" s="7">
        <f>_xlfn.XLOOKUP(A1443,[1]SKU!$A:$A,[1]SKU!$Z:$Z)</f>
        <v>790000</v>
      </c>
    </row>
    <row r="1444" spans="1:14">
      <c r="A1444" s="1" t="s">
        <v>1746</v>
      </c>
      <c r="B1444" s="2" t="s">
        <v>3</v>
      </c>
      <c r="C1444" s="2" t="s">
        <v>262</v>
      </c>
      <c r="D1444" s="2" t="s">
        <v>1747</v>
      </c>
      <c r="E1444" s="7" t="str">
        <f t="shared" si="157"/>
        <v>GBA</v>
      </c>
      <c r="F1444" s="7" t="str">
        <f t="shared" si="158"/>
        <v>MEN</v>
      </c>
      <c r="G1444" s="7" t="str">
        <f t="shared" si="159"/>
        <v>TSS</v>
      </c>
      <c r="H1444" s="7" t="str">
        <f t="shared" si="160"/>
        <v>ONE</v>
      </c>
      <c r="I1444" s="7" t="str">
        <f t="shared" si="161"/>
        <v>XLO</v>
      </c>
      <c r="J1444" s="7" t="str">
        <f t="shared" si="162"/>
        <v>BLK</v>
      </c>
      <c r="K1444" s="7" t="str">
        <f t="shared" si="163"/>
        <v>L</v>
      </c>
      <c r="L1444" s="7" t="s">
        <v>2018</v>
      </c>
      <c r="M1444" s="7" t="s">
        <v>4462</v>
      </c>
      <c r="N1444" s="7">
        <f>_xlfn.XLOOKUP(A1444,[1]SKU!$A:$A,[1]SKU!$Z:$Z)</f>
        <v>710000</v>
      </c>
    </row>
    <row r="1445" spans="1:14">
      <c r="A1445" s="1" t="s">
        <v>6289</v>
      </c>
      <c r="B1445" s="2" t="s">
        <v>4472</v>
      </c>
      <c r="C1445" s="2" t="s">
        <v>1748</v>
      </c>
      <c r="D1445" s="2" t="s">
        <v>6290</v>
      </c>
      <c r="E1445" s="7" t="str">
        <f t="shared" si="157"/>
        <v>DSP</v>
      </c>
      <c r="F1445" s="7" t="str">
        <f t="shared" si="158"/>
        <v>UNI</v>
      </c>
      <c r="G1445" s="7" t="str">
        <f t="shared" si="159"/>
        <v>BAG</v>
      </c>
      <c r="H1445" s="7" t="str">
        <f t="shared" si="160"/>
        <v>HDB</v>
      </c>
      <c r="I1445" s="7" t="str">
        <f t="shared" si="161"/>
        <v>SIS</v>
      </c>
      <c r="J1445" s="7" t="str">
        <f t="shared" si="162"/>
        <v>DRE</v>
      </c>
      <c r="K1445" s="7" t="str">
        <f t="shared" si="163"/>
        <v>0</v>
      </c>
      <c r="L1445" s="7">
        <v>0</v>
      </c>
      <c r="M1445" s="7" t="s">
        <v>2609</v>
      </c>
      <c r="N1445" s="7">
        <f>_xlfn.XLOOKUP(A1445,[1]SKU!$A:$A,[1]SKU!$Z:$Z)</f>
        <v>3800000</v>
      </c>
    </row>
    <row r="1446" spans="1:14">
      <c r="A1446" s="1" t="s">
        <v>6291</v>
      </c>
      <c r="B1446" s="2" t="s">
        <v>4472</v>
      </c>
      <c r="C1446" s="2" t="s">
        <v>6292</v>
      </c>
      <c r="D1446" s="2" t="s">
        <v>6293</v>
      </c>
      <c r="E1446" s="7" t="str">
        <f t="shared" si="157"/>
        <v>LAN</v>
      </c>
      <c r="F1446" s="7" t="str">
        <f t="shared" si="158"/>
        <v>UNI</v>
      </c>
      <c r="G1446" s="7" t="str">
        <f t="shared" si="159"/>
        <v>HWR</v>
      </c>
      <c r="H1446" s="7" t="str">
        <f t="shared" si="160"/>
        <v>SC1</v>
      </c>
      <c r="I1446" s="7" t="str">
        <f t="shared" si="161"/>
        <v>DVN</v>
      </c>
      <c r="J1446" s="7" t="str">
        <f t="shared" si="162"/>
        <v>YEL</v>
      </c>
      <c r="K1446" s="7" t="str">
        <f t="shared" si="163"/>
        <v>90x90</v>
      </c>
      <c r="L1446" s="7">
        <v>0</v>
      </c>
      <c r="M1446" s="7" t="s">
        <v>2609</v>
      </c>
      <c r="N1446" s="7">
        <f>_xlfn.XLOOKUP(A1446,[1]SKU!$A:$A,[1]SKU!$Z:$Z)</f>
        <v>849000</v>
      </c>
    </row>
    <row r="1447" spans="1:14">
      <c r="A1447" s="1" t="s">
        <v>1749</v>
      </c>
      <c r="B1447" s="2" t="s">
        <v>3</v>
      </c>
      <c r="C1447" s="2" t="s">
        <v>295</v>
      </c>
      <c r="D1447" s="2" t="s">
        <v>1750</v>
      </c>
      <c r="E1447" s="7" t="str">
        <f t="shared" si="157"/>
        <v>GOR</v>
      </c>
      <c r="F1447" s="7" t="str">
        <f t="shared" si="158"/>
        <v>KID</v>
      </c>
      <c r="G1447" s="7" t="str">
        <f t="shared" si="159"/>
        <v>TSS</v>
      </c>
      <c r="H1447" s="7" t="str">
        <f t="shared" si="160"/>
        <v>ONE</v>
      </c>
      <c r="I1447" s="7" t="str">
        <f t="shared" si="161"/>
        <v>WBO</v>
      </c>
      <c r="J1447" s="7" t="str">
        <f t="shared" si="162"/>
        <v>JBG</v>
      </c>
      <c r="K1447" s="7" t="str">
        <f t="shared" si="163"/>
        <v>6</v>
      </c>
      <c r="L1447" s="7" t="s">
        <v>2018</v>
      </c>
      <c r="M1447" s="7" t="s">
        <v>4462</v>
      </c>
      <c r="N1447" s="7">
        <f>_xlfn.XLOOKUP(A1447,[1]SKU!$A:$A,[1]SKU!$Z:$Z)</f>
        <v>590000</v>
      </c>
    </row>
    <row r="1448" spans="1:14">
      <c r="A1448" s="1" t="s">
        <v>6294</v>
      </c>
      <c r="B1448" s="2" t="s">
        <v>4472</v>
      </c>
      <c r="C1448" s="2" t="s">
        <v>467</v>
      </c>
      <c r="D1448" s="2" t="s">
        <v>6295</v>
      </c>
      <c r="E1448" s="7" t="str">
        <f t="shared" si="157"/>
        <v>DSP</v>
      </c>
      <c r="F1448" s="7" t="str">
        <f t="shared" si="158"/>
        <v>UNI</v>
      </c>
      <c r="G1448" s="7" t="str">
        <f t="shared" si="159"/>
        <v>FWR</v>
      </c>
      <c r="H1448" s="7" t="str">
        <f t="shared" si="160"/>
        <v>LES</v>
      </c>
      <c r="I1448" s="7" t="str">
        <f t="shared" si="161"/>
        <v>DRI</v>
      </c>
      <c r="J1448" s="7" t="str">
        <f t="shared" si="162"/>
        <v>BLK</v>
      </c>
      <c r="K1448" s="7" t="str">
        <f t="shared" si="163"/>
        <v>39</v>
      </c>
      <c r="L1448" s="7">
        <v>0</v>
      </c>
      <c r="M1448" s="7" t="s">
        <v>2609</v>
      </c>
      <c r="N1448" s="7">
        <f>_xlfn.XLOOKUP(A1448,[1]SKU!$A:$A,[1]SKU!$Z:$Z)</f>
        <v>6200000</v>
      </c>
    </row>
    <row r="1449" spans="1:14">
      <c r="A1449" s="1" t="s">
        <v>6296</v>
      </c>
      <c r="B1449" s="2" t="s">
        <v>4472</v>
      </c>
      <c r="C1449" s="2" t="s">
        <v>1751</v>
      </c>
      <c r="D1449" s="2" t="s">
        <v>6297</v>
      </c>
      <c r="E1449" s="7" t="str">
        <f t="shared" si="157"/>
        <v>DSP</v>
      </c>
      <c r="F1449" s="7" t="str">
        <f t="shared" si="158"/>
        <v>UNI</v>
      </c>
      <c r="G1449" s="7" t="str">
        <f t="shared" si="159"/>
        <v>FWR</v>
      </c>
      <c r="H1449" s="7" t="str">
        <f t="shared" si="160"/>
        <v>HDB</v>
      </c>
      <c r="I1449" s="7" t="str">
        <f t="shared" si="161"/>
        <v>VIN</v>
      </c>
      <c r="J1449" s="7" t="str">
        <f t="shared" si="162"/>
        <v>BLU</v>
      </c>
      <c r="K1449" s="7" t="str">
        <f t="shared" si="163"/>
        <v>44</v>
      </c>
      <c r="L1449" s="7">
        <v>0</v>
      </c>
      <c r="M1449" s="7" t="s">
        <v>2609</v>
      </c>
      <c r="N1449" s="7">
        <f>_xlfn.XLOOKUP(A1449,[1]SKU!$A:$A,[1]SKU!$Z:$Z)</f>
        <v>7500000</v>
      </c>
    </row>
    <row r="1450" spans="1:14">
      <c r="A1450" s="1" t="s">
        <v>6298</v>
      </c>
      <c r="B1450" s="2" t="s">
        <v>4472</v>
      </c>
      <c r="C1450" s="2" t="s">
        <v>6299</v>
      </c>
      <c r="D1450" s="2" t="s">
        <v>6300</v>
      </c>
      <c r="E1450" s="7" t="str">
        <f t="shared" si="157"/>
        <v>EDE</v>
      </c>
      <c r="F1450" s="7" t="str">
        <f t="shared" si="158"/>
        <v>UNI</v>
      </c>
      <c r="G1450" s="7" t="str">
        <f t="shared" si="159"/>
        <v>HDR</v>
      </c>
      <c r="H1450" s="7" t="str">
        <f t="shared" si="160"/>
        <v>CUS</v>
      </c>
      <c r="I1450" s="7" t="str">
        <f t="shared" si="161"/>
        <v>HO1</v>
      </c>
      <c r="J1450" s="7" t="str">
        <f t="shared" si="162"/>
        <v>PIN</v>
      </c>
      <c r="K1450" s="7" t="str">
        <f t="shared" si="163"/>
        <v>0</v>
      </c>
      <c r="L1450" s="7">
        <v>0</v>
      </c>
      <c r="M1450" s="7" t="s">
        <v>2609</v>
      </c>
      <c r="N1450" s="7">
        <f>_xlfn.XLOOKUP(A1450,[1]SKU!$A:$A,[1]SKU!$Z:$Z)</f>
        <v>480000</v>
      </c>
    </row>
    <row r="1451" spans="1:14">
      <c r="A1451" s="1" t="s">
        <v>6301</v>
      </c>
      <c r="B1451" s="2" t="s">
        <v>4472</v>
      </c>
      <c r="C1451" s="2" t="s">
        <v>100</v>
      </c>
      <c r="D1451" s="2" t="s">
        <v>6302</v>
      </c>
      <c r="E1451" s="7" t="str">
        <f t="shared" si="157"/>
        <v>PSD</v>
      </c>
      <c r="F1451" s="7" t="str">
        <f t="shared" si="158"/>
        <v>UNI</v>
      </c>
      <c r="G1451" s="7" t="str">
        <f t="shared" si="159"/>
        <v>SOU</v>
      </c>
      <c r="H1451" s="7" t="str">
        <f t="shared" si="160"/>
        <v>DEC</v>
      </c>
      <c r="I1451" s="7" t="str">
        <f t="shared" si="161"/>
        <v>LBA</v>
      </c>
      <c r="J1451" s="7" t="str">
        <f t="shared" si="162"/>
        <v>GRN</v>
      </c>
      <c r="K1451" s="7" t="str">
        <f t="shared" si="163"/>
        <v>55</v>
      </c>
      <c r="L1451" s="7">
        <v>0</v>
      </c>
      <c r="M1451" s="7" t="s">
        <v>2609</v>
      </c>
      <c r="N1451" s="7">
        <f>_xlfn.XLOOKUP(A1451,[1]SKU!$A:$A,[1]SKU!$Z:$Z)</f>
        <v>3500000</v>
      </c>
    </row>
    <row r="1452" spans="1:14">
      <c r="A1452" s="1" t="s">
        <v>6303</v>
      </c>
      <c r="B1452" s="2" t="s">
        <v>4472</v>
      </c>
      <c r="C1452" s="2" t="s">
        <v>4498</v>
      </c>
      <c r="D1452" s="2" t="s">
        <v>6304</v>
      </c>
      <c r="E1452" s="7" t="str">
        <f t="shared" si="157"/>
        <v>HAM</v>
      </c>
      <c r="F1452" s="7" t="str">
        <f t="shared" si="158"/>
        <v>UNI</v>
      </c>
      <c r="G1452" s="7" t="str">
        <f t="shared" si="159"/>
        <v>JEW</v>
      </c>
      <c r="H1452" s="7" t="str">
        <f t="shared" si="160"/>
        <v>NEC</v>
      </c>
      <c r="I1452" s="7" t="str">
        <f t="shared" si="161"/>
        <v>135</v>
      </c>
      <c r="J1452" s="7" t="str">
        <f t="shared" si="162"/>
        <v>MIX</v>
      </c>
      <c r="K1452" s="7" t="str">
        <f t="shared" si="163"/>
        <v>0</v>
      </c>
      <c r="L1452" s="7">
        <v>0</v>
      </c>
      <c r="M1452" s="7" t="s">
        <v>2609</v>
      </c>
      <c r="N1452" s="7">
        <f>_xlfn.XLOOKUP(A1452,[1]SKU!$A:$A,[1]SKU!$Z:$Z)</f>
        <v>1800000</v>
      </c>
    </row>
    <row r="1453" spans="1:14">
      <c r="A1453" s="1" t="s">
        <v>6305</v>
      </c>
      <c r="B1453" s="2" t="s">
        <v>4472</v>
      </c>
      <c r="C1453" s="2" t="s">
        <v>1753</v>
      </c>
      <c r="D1453" s="2" t="s">
        <v>6306</v>
      </c>
      <c r="E1453" s="7" t="str">
        <f t="shared" si="157"/>
        <v>SHI</v>
      </c>
      <c r="F1453" s="7" t="str">
        <f t="shared" si="158"/>
        <v>UNI</v>
      </c>
      <c r="G1453" s="7" t="str">
        <f t="shared" si="159"/>
        <v>FNB</v>
      </c>
      <c r="H1453" s="7" t="str">
        <f t="shared" si="160"/>
        <v>CFP</v>
      </c>
      <c r="I1453" s="7" t="str">
        <f t="shared" si="161"/>
        <v>PBO</v>
      </c>
      <c r="J1453" s="7" t="str">
        <f t="shared" si="162"/>
        <v>BRO</v>
      </c>
      <c r="K1453" s="7" t="str">
        <f t="shared" si="163"/>
        <v>CAN</v>
      </c>
      <c r="L1453" s="7">
        <v>0</v>
      </c>
      <c r="M1453" s="7" t="s">
        <v>2609</v>
      </c>
      <c r="N1453" s="7">
        <f>_xlfn.XLOOKUP(A1453,[1]SKU!$A:$A,[1]SKU!$Z:$Z)</f>
        <v>180000</v>
      </c>
    </row>
    <row r="1454" spans="1:14">
      <c r="A1454" s="1" t="s">
        <v>1754</v>
      </c>
      <c r="B1454" s="2" t="s">
        <v>3</v>
      </c>
      <c r="C1454" s="2" t="s">
        <v>84</v>
      </c>
      <c r="D1454" s="2" t="s">
        <v>1755</v>
      </c>
      <c r="E1454" s="7" t="str">
        <f t="shared" si="157"/>
        <v>GOR</v>
      </c>
      <c r="F1454" s="7" t="str">
        <f t="shared" si="158"/>
        <v>MEN</v>
      </c>
      <c r="G1454" s="7" t="str">
        <f t="shared" si="159"/>
        <v>TSP</v>
      </c>
      <c r="H1454" s="7" t="str">
        <f t="shared" si="160"/>
        <v>ONE</v>
      </c>
      <c r="I1454" s="7" t="str">
        <f t="shared" si="161"/>
        <v>HAI</v>
      </c>
      <c r="J1454" s="7" t="str">
        <f t="shared" si="162"/>
        <v>BLK</v>
      </c>
      <c r="K1454" s="7" t="str">
        <f t="shared" si="163"/>
        <v>M</v>
      </c>
      <c r="L1454" s="7" t="s">
        <v>2085</v>
      </c>
      <c r="M1454" s="7" t="s">
        <v>4462</v>
      </c>
      <c r="N1454" s="7">
        <f>_xlfn.XLOOKUP(A1454,[1]SKU!$A:$A,[1]SKU!$Z:$Z)</f>
        <v>790000</v>
      </c>
    </row>
    <row r="1455" spans="1:14">
      <c r="A1455" s="1" t="s">
        <v>6307</v>
      </c>
      <c r="B1455" s="2" t="s">
        <v>4472</v>
      </c>
      <c r="C1455" s="2" t="s">
        <v>552</v>
      </c>
      <c r="D1455" s="2" t="s">
        <v>6308</v>
      </c>
      <c r="E1455" s="7" t="str">
        <f t="shared" si="157"/>
        <v>DSP</v>
      </c>
      <c r="F1455" s="7" t="str">
        <f t="shared" si="158"/>
        <v>UNI</v>
      </c>
      <c r="G1455" s="7" t="str">
        <f t="shared" si="159"/>
        <v>BAG</v>
      </c>
      <c r="H1455" s="7" t="str">
        <f t="shared" si="160"/>
        <v>WAL</v>
      </c>
      <c r="I1455" s="7" t="str">
        <f t="shared" si="161"/>
        <v>SEU</v>
      </c>
      <c r="J1455" s="7" t="str">
        <f t="shared" si="162"/>
        <v>LEA</v>
      </c>
      <c r="K1455" s="7" t="str">
        <f t="shared" si="163"/>
        <v>0</v>
      </c>
      <c r="L1455" s="7">
        <v>0</v>
      </c>
      <c r="M1455" s="7" t="s">
        <v>2609</v>
      </c>
      <c r="N1455" s="7">
        <f>_xlfn.XLOOKUP(A1455,[1]SKU!$A:$A,[1]SKU!$Z:$Z)</f>
        <v>2900000</v>
      </c>
    </row>
    <row r="1456" spans="1:14">
      <c r="A1456" s="1" t="s">
        <v>1756</v>
      </c>
      <c r="B1456" s="2" t="s">
        <v>3</v>
      </c>
      <c r="C1456" s="2" t="s">
        <v>110</v>
      </c>
      <c r="D1456" s="2" t="s">
        <v>1757</v>
      </c>
      <c r="E1456" s="7" t="str">
        <f t="shared" si="157"/>
        <v>GBA</v>
      </c>
      <c r="F1456" s="7" t="str">
        <f t="shared" si="158"/>
        <v>MEN</v>
      </c>
      <c r="G1456" s="7" t="str">
        <f t="shared" si="159"/>
        <v>TSS</v>
      </c>
      <c r="H1456" s="7" t="str">
        <f t="shared" si="160"/>
        <v>ONE</v>
      </c>
      <c r="I1456" s="7" t="str">
        <f t="shared" si="161"/>
        <v>TLT</v>
      </c>
      <c r="J1456" s="7" t="str">
        <f t="shared" si="162"/>
        <v>BLK</v>
      </c>
      <c r="K1456" s="7" t="str">
        <f t="shared" si="163"/>
        <v>L</v>
      </c>
      <c r="L1456" s="7" t="s">
        <v>2018</v>
      </c>
      <c r="M1456" s="7" t="s">
        <v>4462</v>
      </c>
      <c r="N1456" s="7">
        <f>_xlfn.XLOOKUP(A1456,[1]SKU!$A:$A,[1]SKU!$Z:$Z)</f>
        <v>710000</v>
      </c>
    </row>
    <row r="1457" spans="1:14">
      <c r="A1457" s="1" t="s">
        <v>1758</v>
      </c>
      <c r="B1457" s="2" t="s">
        <v>3</v>
      </c>
      <c r="C1457" s="2" t="s">
        <v>509</v>
      </c>
      <c r="D1457" s="2" t="s">
        <v>1759</v>
      </c>
      <c r="E1457" s="7" t="str">
        <f t="shared" si="157"/>
        <v>GOR</v>
      </c>
      <c r="F1457" s="7" t="str">
        <f t="shared" si="158"/>
        <v>MEN</v>
      </c>
      <c r="G1457" s="7" t="str">
        <f t="shared" si="159"/>
        <v>TSS</v>
      </c>
      <c r="H1457" s="7" t="str">
        <f t="shared" si="160"/>
        <v>HNE</v>
      </c>
      <c r="I1457" s="7" t="str">
        <f t="shared" si="161"/>
        <v>FPC</v>
      </c>
      <c r="J1457" s="7" t="str">
        <f t="shared" si="162"/>
        <v>BDE</v>
      </c>
      <c r="K1457" s="7" t="str">
        <f t="shared" si="163"/>
        <v>XL</v>
      </c>
      <c r="L1457" s="7" t="s">
        <v>2018</v>
      </c>
      <c r="M1457" s="7" t="s">
        <v>4462</v>
      </c>
      <c r="N1457" s="7">
        <f>_xlfn.XLOOKUP(A1457,[1]SKU!$A:$A,[1]SKU!$Z:$Z)</f>
        <v>1190000</v>
      </c>
    </row>
    <row r="1458" spans="1:14">
      <c r="A1458" s="1" t="s">
        <v>1760</v>
      </c>
      <c r="B1458" s="2" t="s">
        <v>3</v>
      </c>
      <c r="C1458" s="2" t="s">
        <v>509</v>
      </c>
      <c r="D1458" s="2" t="s">
        <v>1761</v>
      </c>
      <c r="E1458" s="7" t="str">
        <f t="shared" si="157"/>
        <v>GOR</v>
      </c>
      <c r="F1458" s="7" t="str">
        <f t="shared" si="158"/>
        <v>MEN</v>
      </c>
      <c r="G1458" s="7" t="str">
        <f t="shared" si="159"/>
        <v>TSS</v>
      </c>
      <c r="H1458" s="7" t="str">
        <f t="shared" si="160"/>
        <v>HNE</v>
      </c>
      <c r="I1458" s="7" t="str">
        <f t="shared" si="161"/>
        <v>FPC</v>
      </c>
      <c r="J1458" s="7" t="str">
        <f t="shared" si="162"/>
        <v>OLI</v>
      </c>
      <c r="K1458" s="7" t="str">
        <f t="shared" si="163"/>
        <v>XXL</v>
      </c>
      <c r="L1458" s="7" t="s">
        <v>2018</v>
      </c>
      <c r="M1458" s="7" t="s">
        <v>4462</v>
      </c>
      <c r="N1458" s="7">
        <f>_xlfn.XLOOKUP(A1458,[1]SKU!$A:$A,[1]SKU!$Z:$Z)</f>
        <v>1190000</v>
      </c>
    </row>
    <row r="1459" spans="1:14">
      <c r="A1459" s="1" t="s">
        <v>1762</v>
      </c>
      <c r="B1459" s="2" t="s">
        <v>3</v>
      </c>
      <c r="C1459" s="2" t="s">
        <v>509</v>
      </c>
      <c r="D1459" s="2" t="s">
        <v>1763</v>
      </c>
      <c r="E1459" s="7" t="str">
        <f t="shared" si="157"/>
        <v>GOR</v>
      </c>
      <c r="F1459" s="7" t="str">
        <f t="shared" si="158"/>
        <v>MEN</v>
      </c>
      <c r="G1459" s="7" t="str">
        <f t="shared" si="159"/>
        <v>TSS</v>
      </c>
      <c r="H1459" s="7" t="str">
        <f t="shared" si="160"/>
        <v>HNE</v>
      </c>
      <c r="I1459" s="7" t="str">
        <f t="shared" si="161"/>
        <v>FPC</v>
      </c>
      <c r="J1459" s="7" t="str">
        <f t="shared" si="162"/>
        <v>OLI</v>
      </c>
      <c r="K1459" s="7" t="str">
        <f t="shared" si="163"/>
        <v>XL</v>
      </c>
      <c r="L1459" s="7" t="s">
        <v>2018</v>
      </c>
      <c r="M1459" s="7" t="s">
        <v>4462</v>
      </c>
      <c r="N1459" s="7">
        <f>_xlfn.XLOOKUP(A1459,[1]SKU!$A:$A,[1]SKU!$Z:$Z)</f>
        <v>1190000</v>
      </c>
    </row>
    <row r="1460" spans="1:14">
      <c r="A1460" s="1" t="s">
        <v>1764</v>
      </c>
      <c r="B1460" s="2" t="s">
        <v>3</v>
      </c>
      <c r="C1460" s="2" t="s">
        <v>75</v>
      </c>
      <c r="D1460" s="2" t="s">
        <v>1765</v>
      </c>
      <c r="E1460" s="7" t="str">
        <f t="shared" si="157"/>
        <v>GSL</v>
      </c>
      <c r="F1460" s="7" t="str">
        <f t="shared" si="158"/>
        <v>KID</v>
      </c>
      <c r="G1460" s="7" t="str">
        <f t="shared" si="159"/>
        <v>APP</v>
      </c>
      <c r="H1460" s="7" t="str">
        <f t="shared" si="160"/>
        <v>BNE</v>
      </c>
      <c r="I1460" s="7" t="str">
        <f t="shared" si="161"/>
        <v>HOA</v>
      </c>
      <c r="J1460" s="7" t="str">
        <f t="shared" si="162"/>
        <v>WHI</v>
      </c>
      <c r="K1460" s="7" t="str">
        <f t="shared" si="163"/>
        <v>8</v>
      </c>
      <c r="L1460" s="7" t="s">
        <v>2117</v>
      </c>
      <c r="M1460" s="7" t="s">
        <v>2117</v>
      </c>
      <c r="N1460" s="7">
        <f>_xlfn.XLOOKUP(A1460,[1]SKU!$A:$A,[1]SKU!$Z:$Z)</f>
        <v>550000</v>
      </c>
    </row>
    <row r="1461" spans="1:14">
      <c r="A1461" s="1" t="s">
        <v>6309</v>
      </c>
      <c r="B1461" s="2" t="s">
        <v>4472</v>
      </c>
      <c r="C1461" s="2" t="s">
        <v>6310</v>
      </c>
      <c r="D1461" s="2" t="s">
        <v>6311</v>
      </c>
      <c r="E1461" s="7" t="str">
        <f t="shared" si="157"/>
        <v>LAN</v>
      </c>
      <c r="F1461" s="7" t="str">
        <f t="shared" si="158"/>
        <v>UNI</v>
      </c>
      <c r="G1461" s="7" t="str">
        <f t="shared" si="159"/>
        <v>HWR</v>
      </c>
      <c r="H1461" s="7" t="str">
        <f t="shared" si="160"/>
        <v>SC1</v>
      </c>
      <c r="I1461" s="7" t="str">
        <f t="shared" si="161"/>
        <v>TKU</v>
      </c>
      <c r="J1461" s="7" t="str">
        <f t="shared" si="162"/>
        <v>PIN</v>
      </c>
      <c r="K1461" s="7" t="str">
        <f t="shared" si="163"/>
        <v>90x90</v>
      </c>
      <c r="L1461" s="7">
        <v>0</v>
      </c>
      <c r="M1461" s="7" t="s">
        <v>2609</v>
      </c>
      <c r="N1461" s="7">
        <f>_xlfn.XLOOKUP(A1461,[1]SKU!$A:$A,[1]SKU!$Z:$Z)</f>
        <v>849000</v>
      </c>
    </row>
    <row r="1462" spans="1:14">
      <c r="A1462" s="1" t="s">
        <v>6312</v>
      </c>
      <c r="B1462" s="2" t="s">
        <v>4481</v>
      </c>
      <c r="C1462" s="2" t="s">
        <v>1766</v>
      </c>
      <c r="D1462" s="2" t="s">
        <v>6313</v>
      </c>
      <c r="E1462" s="7" t="str">
        <f t="shared" si="157"/>
        <v>PAS</v>
      </c>
      <c r="F1462" s="7" t="str">
        <f t="shared" si="158"/>
        <v>UNI</v>
      </c>
      <c r="G1462" s="7" t="str">
        <f t="shared" si="159"/>
        <v>ART</v>
      </c>
      <c r="H1462" s="7" t="str">
        <f t="shared" si="160"/>
        <v>ART</v>
      </c>
      <c r="I1462" s="7" t="str">
        <f t="shared" si="161"/>
        <v>CPA</v>
      </c>
      <c r="J1462" s="7" t="str">
        <f t="shared" si="162"/>
        <v>MIX</v>
      </c>
      <c r="K1462" s="7" t="str">
        <f t="shared" si="163"/>
        <v>A1</v>
      </c>
      <c r="L1462" s="7">
        <v>0</v>
      </c>
      <c r="M1462" s="7" t="s">
        <v>2609</v>
      </c>
      <c r="N1462" s="7">
        <f>_xlfn.XLOOKUP(A1462,[1]SKU!$A:$A,[1]SKU!$Z:$Z)</f>
        <v>7000000</v>
      </c>
    </row>
    <row r="1463" spans="1:14">
      <c r="A1463" s="1" t="s">
        <v>6314</v>
      </c>
      <c r="B1463" s="2" t="s">
        <v>4472</v>
      </c>
      <c r="C1463" s="2" t="s">
        <v>5828</v>
      </c>
      <c r="D1463" s="2" t="s">
        <v>6315</v>
      </c>
      <c r="E1463" s="7" t="str">
        <f t="shared" si="157"/>
        <v>HAM</v>
      </c>
      <c r="F1463" s="7" t="str">
        <f t="shared" si="158"/>
        <v>UNI</v>
      </c>
      <c r="G1463" s="7" t="str">
        <f t="shared" si="159"/>
        <v>JEW</v>
      </c>
      <c r="H1463" s="7" t="str">
        <f t="shared" si="160"/>
        <v>NEC</v>
      </c>
      <c r="I1463" s="7" t="str">
        <f t="shared" si="161"/>
        <v>093</v>
      </c>
      <c r="J1463" s="7" t="str">
        <f t="shared" si="162"/>
        <v>MIX</v>
      </c>
      <c r="K1463" s="7" t="str">
        <f t="shared" si="163"/>
        <v>0</v>
      </c>
      <c r="L1463" s="7">
        <v>0</v>
      </c>
      <c r="M1463" s="7" t="s">
        <v>2609</v>
      </c>
      <c r="N1463" s="7">
        <f>_xlfn.XLOOKUP(A1463,[1]SKU!$A:$A,[1]SKU!$Z:$Z)</f>
        <v>2800000</v>
      </c>
    </row>
    <row r="1464" spans="1:14">
      <c r="A1464" s="1" t="s">
        <v>1768</v>
      </c>
      <c r="B1464" s="2" t="s">
        <v>3</v>
      </c>
      <c r="C1464" s="2" t="s">
        <v>167</v>
      </c>
      <c r="D1464" s="2" t="s">
        <v>1769</v>
      </c>
      <c r="E1464" s="7" t="str">
        <f t="shared" si="157"/>
        <v>GOR</v>
      </c>
      <c r="F1464" s="7" t="str">
        <f t="shared" si="158"/>
        <v>MEN</v>
      </c>
      <c r="G1464" s="7" t="str">
        <f t="shared" si="159"/>
        <v>TSS</v>
      </c>
      <c r="H1464" s="7" t="str">
        <f t="shared" si="160"/>
        <v>ONE</v>
      </c>
      <c r="I1464" s="7" t="str">
        <f t="shared" si="161"/>
        <v>TJM</v>
      </c>
      <c r="J1464" s="7" t="str">
        <f t="shared" si="162"/>
        <v>OLI</v>
      </c>
      <c r="K1464" s="7" t="str">
        <f t="shared" si="163"/>
        <v>M</v>
      </c>
      <c r="L1464" s="7" t="s">
        <v>2018</v>
      </c>
      <c r="M1464" s="7" t="s">
        <v>4462</v>
      </c>
      <c r="N1464" s="7">
        <f>_xlfn.XLOOKUP(A1464,[1]SKU!$A:$A,[1]SKU!$Z:$Z)</f>
        <v>790000</v>
      </c>
    </row>
    <row r="1465" spans="1:14">
      <c r="A1465" s="1" t="s">
        <v>6316</v>
      </c>
      <c r="B1465" s="2" t="s">
        <v>4472</v>
      </c>
      <c r="C1465" s="2" t="s">
        <v>36</v>
      </c>
      <c r="D1465" s="2" t="s">
        <v>6317</v>
      </c>
      <c r="E1465" s="7" t="str">
        <f t="shared" si="157"/>
        <v>PSD</v>
      </c>
      <c r="F1465" s="7" t="str">
        <f t="shared" si="158"/>
        <v>UNI</v>
      </c>
      <c r="G1465" s="7" t="str">
        <f t="shared" si="159"/>
        <v>SOU</v>
      </c>
      <c r="H1465" s="7" t="str">
        <f t="shared" si="160"/>
        <v>DEC</v>
      </c>
      <c r="I1465" s="7" t="str">
        <f t="shared" si="161"/>
        <v>SIB</v>
      </c>
      <c r="J1465" s="7" t="str">
        <f t="shared" si="162"/>
        <v>RED</v>
      </c>
      <c r="K1465" s="7" t="str">
        <f t="shared" si="163"/>
        <v>8</v>
      </c>
      <c r="L1465" s="7">
        <v>0</v>
      </c>
      <c r="M1465" s="7" t="s">
        <v>2609</v>
      </c>
      <c r="N1465" s="7">
        <f>_xlfn.XLOOKUP(A1465,[1]SKU!$A:$A,[1]SKU!$Z:$Z)</f>
        <v>290000</v>
      </c>
    </row>
    <row r="1466" spans="1:14">
      <c r="A1466" s="1" t="s">
        <v>6318</v>
      </c>
      <c r="B1466" s="2" t="s">
        <v>4472</v>
      </c>
      <c r="C1466" s="2" t="s">
        <v>362</v>
      </c>
      <c r="D1466" s="2" t="s">
        <v>6319</v>
      </c>
      <c r="E1466" s="7" t="str">
        <f t="shared" si="157"/>
        <v>DSP</v>
      </c>
      <c r="F1466" s="7" t="str">
        <f t="shared" si="158"/>
        <v>UNI</v>
      </c>
      <c r="G1466" s="7" t="str">
        <f t="shared" si="159"/>
        <v>HDR</v>
      </c>
      <c r="H1466" s="7" t="str">
        <f t="shared" si="160"/>
        <v>TRA</v>
      </c>
      <c r="I1466" s="7" t="str">
        <f t="shared" si="161"/>
        <v>ST2</v>
      </c>
      <c r="J1466" s="7" t="str">
        <f t="shared" si="162"/>
        <v>DRE</v>
      </c>
      <c r="K1466" s="7" t="str">
        <f t="shared" si="163"/>
        <v>0</v>
      </c>
      <c r="L1466" s="7">
        <v>0</v>
      </c>
      <c r="M1466" s="7" t="s">
        <v>2609</v>
      </c>
      <c r="N1466" s="7">
        <f>_xlfn.XLOOKUP(A1466,[1]SKU!$A:$A,[1]SKU!$Z:$Z)</f>
        <v>3550000</v>
      </c>
    </row>
    <row r="1467" spans="1:14">
      <c r="A1467" s="1" t="s">
        <v>6320</v>
      </c>
      <c r="B1467" s="2" t="s">
        <v>4472</v>
      </c>
      <c r="C1467" s="2" t="s">
        <v>51</v>
      </c>
      <c r="D1467" s="2" t="s">
        <v>6321</v>
      </c>
      <c r="E1467" s="7" t="str">
        <f t="shared" si="157"/>
        <v>DSP</v>
      </c>
      <c r="F1467" s="7" t="str">
        <f t="shared" si="158"/>
        <v>UNI</v>
      </c>
      <c r="G1467" s="7" t="str">
        <f t="shared" si="159"/>
        <v>BAG</v>
      </c>
      <c r="H1467" s="7" t="str">
        <f t="shared" si="160"/>
        <v>CHR</v>
      </c>
      <c r="I1467" s="7" t="str">
        <f t="shared" si="161"/>
        <v>SCH</v>
      </c>
      <c r="J1467" s="7" t="str">
        <f t="shared" si="162"/>
        <v>MBE</v>
      </c>
      <c r="K1467" s="7" t="str">
        <f t="shared" si="163"/>
        <v>0</v>
      </c>
      <c r="L1467" s="7">
        <v>0</v>
      </c>
      <c r="M1467" s="7" t="s">
        <v>2609</v>
      </c>
      <c r="N1467" s="7">
        <f>_xlfn.XLOOKUP(A1467,[1]SKU!$A:$A,[1]SKU!$Z:$Z)</f>
        <v>1150000</v>
      </c>
    </row>
    <row r="1468" spans="1:14">
      <c r="A1468" s="1" t="s">
        <v>1770</v>
      </c>
      <c r="B1468" s="2" t="s">
        <v>3</v>
      </c>
      <c r="C1468" s="2" t="s">
        <v>110</v>
      </c>
      <c r="D1468" s="2" t="s">
        <v>1771</v>
      </c>
      <c r="E1468" s="7" t="str">
        <f t="shared" si="157"/>
        <v>GBA</v>
      </c>
      <c r="F1468" s="7" t="str">
        <f t="shared" si="158"/>
        <v>MEN</v>
      </c>
      <c r="G1468" s="7" t="str">
        <f t="shared" si="159"/>
        <v>TSS</v>
      </c>
      <c r="H1468" s="7" t="str">
        <f t="shared" si="160"/>
        <v>ONE</v>
      </c>
      <c r="I1468" s="7" t="str">
        <f t="shared" si="161"/>
        <v>TLT</v>
      </c>
      <c r="J1468" s="7" t="str">
        <f t="shared" si="162"/>
        <v>BLK</v>
      </c>
      <c r="K1468" s="7" t="str">
        <f t="shared" si="163"/>
        <v>S</v>
      </c>
      <c r="L1468" s="7" t="s">
        <v>2018</v>
      </c>
      <c r="M1468" s="7" t="s">
        <v>4462</v>
      </c>
      <c r="N1468" s="7">
        <f>_xlfn.XLOOKUP(A1468,[1]SKU!$A:$A,[1]SKU!$Z:$Z)</f>
        <v>710000</v>
      </c>
    </row>
    <row r="1469" spans="1:14">
      <c r="A1469" s="1" t="s">
        <v>1772</v>
      </c>
      <c r="B1469" s="2" t="s">
        <v>3</v>
      </c>
      <c r="C1469" s="2" t="s">
        <v>129</v>
      </c>
      <c r="D1469" s="2" t="s">
        <v>1773</v>
      </c>
      <c r="E1469" s="7" t="str">
        <f t="shared" si="157"/>
        <v>GBA</v>
      </c>
      <c r="F1469" s="7" t="str">
        <f t="shared" si="158"/>
        <v>MEN</v>
      </c>
      <c r="G1469" s="7" t="str">
        <f t="shared" si="159"/>
        <v>TSP</v>
      </c>
      <c r="H1469" s="7" t="str">
        <f t="shared" si="160"/>
        <v>ONE</v>
      </c>
      <c r="I1469" s="7" t="str">
        <f t="shared" si="161"/>
        <v>TJM</v>
      </c>
      <c r="J1469" s="7" t="str">
        <f t="shared" si="162"/>
        <v>OLI</v>
      </c>
      <c r="K1469" s="7" t="str">
        <f t="shared" si="163"/>
        <v>S</v>
      </c>
      <c r="L1469" s="7" t="s">
        <v>2085</v>
      </c>
      <c r="M1469" s="7" t="s">
        <v>4462</v>
      </c>
      <c r="N1469" s="7">
        <f>_xlfn.XLOOKUP(A1469,[1]SKU!$A:$A,[1]SKU!$Z:$Z)</f>
        <v>710000</v>
      </c>
    </row>
    <row r="1470" spans="1:14">
      <c r="A1470" s="1" t="s">
        <v>6322</v>
      </c>
      <c r="B1470" s="2" t="s">
        <v>4472</v>
      </c>
      <c r="C1470" s="2" t="s">
        <v>36</v>
      </c>
      <c r="D1470" s="2" t="s">
        <v>6323</v>
      </c>
      <c r="E1470" s="7" t="str">
        <f t="shared" si="157"/>
        <v>PSD</v>
      </c>
      <c r="F1470" s="7" t="str">
        <f t="shared" si="158"/>
        <v>UNI</v>
      </c>
      <c r="G1470" s="7" t="str">
        <f t="shared" si="159"/>
        <v>SOU</v>
      </c>
      <c r="H1470" s="7" t="str">
        <f t="shared" si="160"/>
        <v>DEC</v>
      </c>
      <c r="I1470" s="7" t="str">
        <f t="shared" si="161"/>
        <v>SIB</v>
      </c>
      <c r="J1470" s="7" t="str">
        <f t="shared" si="162"/>
        <v>GRN</v>
      </c>
      <c r="K1470" s="7" t="str">
        <f t="shared" si="163"/>
        <v>8</v>
      </c>
      <c r="L1470" s="7">
        <v>0</v>
      </c>
      <c r="M1470" s="7" t="s">
        <v>2609</v>
      </c>
      <c r="N1470" s="7">
        <f>_xlfn.XLOOKUP(A1470,[1]SKU!$A:$A,[1]SKU!$Z:$Z)</f>
        <v>290000</v>
      </c>
    </row>
    <row r="1471" spans="1:14">
      <c r="A1471" s="1" t="s">
        <v>1774</v>
      </c>
      <c r="B1471" s="2" t="s">
        <v>3</v>
      </c>
      <c r="C1471" s="2" t="s">
        <v>1608</v>
      </c>
      <c r="D1471" s="2" t="s">
        <v>1775</v>
      </c>
      <c r="E1471" s="7" t="str">
        <f t="shared" si="157"/>
        <v>GSL</v>
      </c>
      <c r="F1471" s="7" t="str">
        <f t="shared" si="158"/>
        <v>KID</v>
      </c>
      <c r="G1471" s="7" t="str">
        <f t="shared" si="159"/>
        <v>TSS</v>
      </c>
      <c r="H1471" s="7" t="str">
        <f t="shared" si="160"/>
        <v>ONE</v>
      </c>
      <c r="I1471" s="7" t="str">
        <f t="shared" si="161"/>
        <v>DHT</v>
      </c>
      <c r="J1471" s="7" t="str">
        <f t="shared" si="162"/>
        <v>ORA</v>
      </c>
      <c r="K1471" s="7" t="str">
        <f t="shared" si="163"/>
        <v>6</v>
      </c>
      <c r="L1471" s="7" t="s">
        <v>2018</v>
      </c>
      <c r="M1471" s="7" t="s">
        <v>4462</v>
      </c>
      <c r="N1471" s="7">
        <f>_xlfn.XLOOKUP(A1471,[1]SKU!$A:$A,[1]SKU!$Z:$Z)</f>
        <v>550000</v>
      </c>
    </row>
    <row r="1472" spans="1:14">
      <c r="A1472" s="1" t="s">
        <v>1776</v>
      </c>
      <c r="B1472" s="2" t="s">
        <v>19</v>
      </c>
      <c r="C1472" s="2" t="s">
        <v>1777</v>
      </c>
      <c r="D1472" s="2" t="s">
        <v>1778</v>
      </c>
      <c r="E1472" s="7" t="str">
        <f t="shared" si="157"/>
        <v>OTH</v>
      </c>
      <c r="F1472" s="7" t="str">
        <f t="shared" si="158"/>
        <v>UNI</v>
      </c>
      <c r="G1472" s="7" t="str">
        <f t="shared" si="159"/>
        <v>BAG</v>
      </c>
      <c r="H1472" s="7" t="str">
        <f t="shared" si="160"/>
        <v>OTH</v>
      </c>
      <c r="I1472" s="7" t="str">
        <f t="shared" si="161"/>
        <v>GKO</v>
      </c>
      <c r="J1472" s="7" t="str">
        <f t="shared" si="162"/>
        <v>CRE</v>
      </c>
      <c r="K1472" s="7" t="str">
        <f t="shared" si="163"/>
        <v>0</v>
      </c>
      <c r="L1472" s="7">
        <v>0</v>
      </c>
      <c r="M1472" s="7" t="s">
        <v>2609</v>
      </c>
      <c r="N1472" s="7">
        <f>_xlfn.XLOOKUP(A1472,[1]SKU!$A:$A,[1]SKU!$Z:$Z)</f>
        <v>390000</v>
      </c>
    </row>
    <row r="1473" spans="1:14">
      <c r="A1473" s="1" t="s">
        <v>6324</v>
      </c>
      <c r="B1473" s="2" t="s">
        <v>4472</v>
      </c>
      <c r="C1473" s="2" t="s">
        <v>1288</v>
      </c>
      <c r="D1473" s="2" t="s">
        <v>6325</v>
      </c>
      <c r="E1473" s="7" t="str">
        <f t="shared" si="157"/>
        <v>DSP</v>
      </c>
      <c r="F1473" s="7" t="str">
        <f t="shared" si="158"/>
        <v>UNI</v>
      </c>
      <c r="G1473" s="7" t="str">
        <f t="shared" si="159"/>
        <v>FWR</v>
      </c>
      <c r="H1473" s="7" t="str">
        <f t="shared" si="160"/>
        <v>FLA</v>
      </c>
      <c r="I1473" s="7" t="str">
        <f t="shared" si="161"/>
        <v>CO0</v>
      </c>
      <c r="J1473" s="7" t="str">
        <f t="shared" si="162"/>
        <v>PUR</v>
      </c>
      <c r="K1473" s="7" t="str">
        <f t="shared" si="163"/>
        <v>39</v>
      </c>
      <c r="L1473" s="7">
        <v>0</v>
      </c>
      <c r="M1473" s="7" t="s">
        <v>2609</v>
      </c>
      <c r="N1473" s="7">
        <f>_xlfn.XLOOKUP(A1473,[1]SKU!$A:$A,[1]SKU!$Z:$Z)</f>
        <v>5950000</v>
      </c>
    </row>
    <row r="1474" spans="1:14">
      <c r="A1474" s="1" t="s">
        <v>6326</v>
      </c>
      <c r="B1474" s="2" t="s">
        <v>4472</v>
      </c>
      <c r="C1474" s="2" t="s">
        <v>6327</v>
      </c>
      <c r="D1474" s="2" t="s">
        <v>6328</v>
      </c>
      <c r="E1474" s="7" t="str">
        <f t="shared" ref="E1474:E1537" si="164">_xlfn.TEXTBEFORE(_xlfn.TEXTAFTER(D1474,"-"),"-")</f>
        <v>LAN</v>
      </c>
      <c r="F1474" s="7" t="str">
        <f t="shared" si="158"/>
        <v>UNI</v>
      </c>
      <c r="G1474" s="7" t="str">
        <f t="shared" si="159"/>
        <v>HWR</v>
      </c>
      <c r="H1474" s="7" t="str">
        <f t="shared" si="160"/>
        <v>SC1</v>
      </c>
      <c r="I1474" s="7" t="str">
        <f t="shared" si="161"/>
        <v>DDL</v>
      </c>
      <c r="J1474" s="7" t="str">
        <f t="shared" si="162"/>
        <v>BLU</v>
      </c>
      <c r="K1474" s="7" t="str">
        <f t="shared" si="163"/>
        <v>90x90</v>
      </c>
      <c r="L1474" s="7">
        <v>0</v>
      </c>
      <c r="M1474" s="7" t="s">
        <v>2609</v>
      </c>
      <c r="N1474" s="7">
        <f>_xlfn.XLOOKUP(A1474,[1]SKU!$A:$A,[1]SKU!$Z:$Z)</f>
        <v>849000</v>
      </c>
    </row>
    <row r="1475" spans="1:14">
      <c r="A1475" s="1" t="s">
        <v>6329</v>
      </c>
      <c r="B1475" s="2" t="s">
        <v>4472</v>
      </c>
      <c r="C1475" s="2" t="s">
        <v>1779</v>
      </c>
      <c r="D1475" s="2" t="s">
        <v>6330</v>
      </c>
      <c r="E1475" s="7" t="str">
        <f t="shared" si="164"/>
        <v>MAZ</v>
      </c>
      <c r="F1475" s="7" t="str">
        <f t="shared" si="158"/>
        <v>UNI</v>
      </c>
      <c r="G1475" s="7" t="str">
        <f t="shared" si="159"/>
        <v>SOU</v>
      </c>
      <c r="H1475" s="7" t="str">
        <f t="shared" si="160"/>
        <v>GAM</v>
      </c>
      <c r="I1475" s="7" t="str">
        <f t="shared" si="161"/>
        <v>CHS</v>
      </c>
      <c r="J1475" s="7" t="str">
        <f t="shared" si="162"/>
        <v>WOE</v>
      </c>
      <c r="K1475" s="7" t="str">
        <f t="shared" si="163"/>
        <v>0</v>
      </c>
      <c r="L1475" s="7">
        <v>0</v>
      </c>
      <c r="M1475" s="7" t="s">
        <v>2609</v>
      </c>
      <c r="N1475" s="7">
        <f>_xlfn.XLOOKUP(A1475,[1]SKU!$A:$A,[1]SKU!$Z:$Z)</f>
        <v>5190000</v>
      </c>
    </row>
    <row r="1476" spans="1:14">
      <c r="A1476" s="1" t="s">
        <v>6331</v>
      </c>
      <c r="B1476" s="2" t="s">
        <v>4472</v>
      </c>
      <c r="C1476" s="2" t="s">
        <v>6332</v>
      </c>
      <c r="D1476" s="2" t="s">
        <v>6333</v>
      </c>
      <c r="E1476" s="7" t="str">
        <f t="shared" si="164"/>
        <v>EDE</v>
      </c>
      <c r="F1476" s="7" t="str">
        <f t="shared" si="158"/>
        <v>UNI</v>
      </c>
      <c r="G1476" s="7" t="str">
        <f t="shared" si="159"/>
        <v>BAG</v>
      </c>
      <c r="H1476" s="7" t="str">
        <f t="shared" si="160"/>
        <v>CLU</v>
      </c>
      <c r="I1476" s="7" t="str">
        <f t="shared" si="161"/>
        <v>EAR</v>
      </c>
      <c r="J1476" s="7" t="str">
        <f t="shared" si="162"/>
        <v>MIX</v>
      </c>
      <c r="K1476" s="7" t="str">
        <f t="shared" si="163"/>
        <v>L</v>
      </c>
      <c r="L1476" s="7">
        <v>0</v>
      </c>
      <c r="M1476" s="7" t="s">
        <v>2609</v>
      </c>
      <c r="N1476" s="7">
        <f>_xlfn.XLOOKUP(A1476,[1]SKU!$A:$A,[1]SKU!$Z:$Z)</f>
        <v>395000</v>
      </c>
    </row>
    <row r="1477" spans="1:14">
      <c r="A1477" s="1" t="s">
        <v>1780</v>
      </c>
      <c r="B1477" s="2" t="s">
        <v>3</v>
      </c>
      <c r="C1477" s="2" t="s">
        <v>167</v>
      </c>
      <c r="D1477" s="2" t="s">
        <v>1781</v>
      </c>
      <c r="E1477" s="7" t="str">
        <f t="shared" si="164"/>
        <v>GSL</v>
      </c>
      <c r="F1477" s="7" t="str">
        <f t="shared" si="158"/>
        <v>KID</v>
      </c>
      <c r="G1477" s="7" t="str">
        <f t="shared" si="159"/>
        <v>TSS</v>
      </c>
      <c r="H1477" s="7" t="str">
        <f t="shared" si="160"/>
        <v>ONE</v>
      </c>
      <c r="I1477" s="7" t="str">
        <f t="shared" si="161"/>
        <v>TJM</v>
      </c>
      <c r="J1477" s="7" t="str">
        <f t="shared" si="162"/>
        <v>GPE</v>
      </c>
      <c r="K1477" s="7" t="str">
        <f t="shared" si="163"/>
        <v>10</v>
      </c>
      <c r="L1477" s="7" t="s">
        <v>2018</v>
      </c>
      <c r="M1477" s="7" t="s">
        <v>4462</v>
      </c>
      <c r="N1477" s="7">
        <f>_xlfn.XLOOKUP(A1477,[1]SKU!$A:$A,[1]SKU!$Z:$Z)</f>
        <v>550000</v>
      </c>
    </row>
    <row r="1478" spans="1:14">
      <c r="A1478" s="1" t="s">
        <v>1782</v>
      </c>
      <c r="B1478" s="2" t="s">
        <v>3</v>
      </c>
      <c r="C1478" s="2" t="s">
        <v>7</v>
      </c>
      <c r="D1478" s="2" t="s">
        <v>1783</v>
      </c>
      <c r="E1478" s="7" t="str">
        <f t="shared" si="164"/>
        <v>GSU</v>
      </c>
      <c r="F1478" s="7" t="str">
        <f t="shared" si="158"/>
        <v>MEN</v>
      </c>
      <c r="G1478" s="7" t="str">
        <f t="shared" si="159"/>
        <v>POL</v>
      </c>
      <c r="H1478" s="7" t="str">
        <f t="shared" si="160"/>
        <v>MAN</v>
      </c>
      <c r="I1478" s="7" t="str">
        <f t="shared" si="161"/>
        <v>FLH</v>
      </c>
      <c r="J1478" s="7" t="str">
        <f t="shared" si="162"/>
        <v>WHI</v>
      </c>
      <c r="K1478" s="7" t="str">
        <f t="shared" si="163"/>
        <v>S</v>
      </c>
      <c r="L1478" s="7" t="s">
        <v>1995</v>
      </c>
      <c r="M1478" s="7" t="s">
        <v>4468</v>
      </c>
      <c r="N1478" s="7">
        <f>_xlfn.XLOOKUP(A1478,[1]SKU!$A:$A,[1]SKU!$Z:$Z)</f>
        <v>1190000</v>
      </c>
    </row>
    <row r="1479" spans="1:14">
      <c r="A1479" s="1" t="s">
        <v>6334</v>
      </c>
      <c r="B1479" s="2" t="s">
        <v>69</v>
      </c>
      <c r="C1479" s="2" t="s">
        <v>1784</v>
      </c>
      <c r="D1479" s="2" t="s">
        <v>6335</v>
      </c>
      <c r="E1479" s="7" t="str">
        <f t="shared" si="164"/>
        <v>GCF</v>
      </c>
      <c r="F1479" s="7" t="str">
        <f t="shared" si="158"/>
        <v>UNI</v>
      </c>
      <c r="G1479" s="7" t="str">
        <f t="shared" si="159"/>
        <v>FNB</v>
      </c>
      <c r="H1479" s="7" t="str">
        <f t="shared" si="160"/>
        <v>CFO</v>
      </c>
      <c r="I1479" s="7" t="str">
        <f t="shared" si="161"/>
        <v>EGC</v>
      </c>
      <c r="J1479" s="7" t="str">
        <f t="shared" si="162"/>
        <v>MIX</v>
      </c>
      <c r="K1479" s="7" t="str">
        <f t="shared" si="163"/>
        <v>0</v>
      </c>
      <c r="L1479" s="7">
        <v>0</v>
      </c>
      <c r="M1479" s="7" t="s">
        <v>2609</v>
      </c>
      <c r="N1479" s="7">
        <f>_xlfn.XLOOKUP(A1479,[1]SKU!$A:$A,[1]SKU!$Z:$Z)</f>
        <v>75000</v>
      </c>
    </row>
    <row r="1480" spans="1:14">
      <c r="A1480" s="1" t="s">
        <v>6336</v>
      </c>
      <c r="B1480" s="2" t="s">
        <v>4472</v>
      </c>
      <c r="C1480" s="2" t="s">
        <v>6337</v>
      </c>
      <c r="D1480" s="2" t="s">
        <v>6338</v>
      </c>
      <c r="E1480" s="7" t="str">
        <f t="shared" si="164"/>
        <v>BLS</v>
      </c>
      <c r="F1480" s="7" t="str">
        <f t="shared" si="158"/>
        <v>UNI</v>
      </c>
      <c r="G1480" s="7" t="str">
        <f t="shared" si="159"/>
        <v>FNB</v>
      </c>
      <c r="H1480" s="7" t="str">
        <f t="shared" si="160"/>
        <v>SAL</v>
      </c>
      <c r="I1480" s="7" t="str">
        <f t="shared" si="161"/>
        <v>009</v>
      </c>
      <c r="J1480" s="7" t="str">
        <f t="shared" si="162"/>
        <v>MIX</v>
      </c>
      <c r="K1480" s="7" t="str">
        <f t="shared" si="163"/>
        <v>70g</v>
      </c>
      <c r="L1480" s="7">
        <v>0</v>
      </c>
      <c r="M1480" s="7" t="s">
        <v>2609</v>
      </c>
      <c r="N1480" s="7">
        <f>_xlfn.XLOOKUP(A1480,[1]SKU!$A:$A,[1]SKU!$Z:$Z)</f>
        <v>135000</v>
      </c>
    </row>
    <row r="1481" spans="1:14">
      <c r="A1481" s="1" t="s">
        <v>6339</v>
      </c>
      <c r="B1481" s="2" t="s">
        <v>4472</v>
      </c>
      <c r="C1481" s="2" t="s">
        <v>172</v>
      </c>
      <c r="D1481" s="2" t="s">
        <v>6340</v>
      </c>
      <c r="E1481" s="7" t="str">
        <f t="shared" si="164"/>
        <v>DSP</v>
      </c>
      <c r="F1481" s="7" t="str">
        <f t="shared" si="158"/>
        <v>UNI</v>
      </c>
      <c r="G1481" s="7" t="str">
        <f t="shared" si="159"/>
        <v>FWR</v>
      </c>
      <c r="H1481" s="7" t="str">
        <f t="shared" si="160"/>
        <v>LES</v>
      </c>
      <c r="I1481" s="7" t="str">
        <f t="shared" si="161"/>
        <v>ALF</v>
      </c>
      <c r="J1481" s="7" t="str">
        <f t="shared" si="162"/>
        <v>BPA</v>
      </c>
      <c r="K1481" s="7" t="str">
        <f t="shared" si="163"/>
        <v>40</v>
      </c>
      <c r="L1481" s="7">
        <v>0</v>
      </c>
      <c r="M1481" s="7" t="s">
        <v>2609</v>
      </c>
      <c r="N1481" s="7">
        <f>_xlfn.XLOOKUP(A1481,[1]SKU!$A:$A,[1]SKU!$Z:$Z)</f>
        <v>7800000</v>
      </c>
    </row>
    <row r="1482" spans="1:14">
      <c r="A1482" s="1" t="s">
        <v>1785</v>
      </c>
      <c r="B1482" s="2" t="s">
        <v>3</v>
      </c>
      <c r="C1482" s="2" t="s">
        <v>38</v>
      </c>
      <c r="D1482" s="2" t="s">
        <v>1786</v>
      </c>
      <c r="E1482" s="7" t="str">
        <f t="shared" si="164"/>
        <v>GLI</v>
      </c>
      <c r="F1482" s="7" t="str">
        <f t="shared" si="158"/>
        <v>MEN</v>
      </c>
      <c r="G1482" s="7" t="str">
        <f t="shared" si="159"/>
        <v>SIS</v>
      </c>
      <c r="H1482" s="7" t="str">
        <f t="shared" si="160"/>
        <v>MAN</v>
      </c>
      <c r="I1482" s="7" t="str">
        <f t="shared" si="161"/>
        <v>LOG</v>
      </c>
      <c r="J1482" s="7" t="str">
        <f t="shared" si="162"/>
        <v>CAM</v>
      </c>
      <c r="K1482" s="7" t="str">
        <f t="shared" si="163"/>
        <v>M</v>
      </c>
      <c r="L1482" s="7" t="s">
        <v>2211</v>
      </c>
      <c r="M1482" s="7" t="s">
        <v>4464</v>
      </c>
      <c r="N1482" s="7">
        <f>_xlfn.XLOOKUP(A1482,[1]SKU!$A:$A,[1]SKU!$Z:$Z)</f>
        <v>2790000</v>
      </c>
    </row>
    <row r="1483" spans="1:14">
      <c r="A1483" s="1" t="s">
        <v>6341</v>
      </c>
      <c r="B1483" s="2" t="s">
        <v>4472</v>
      </c>
      <c r="C1483" s="2" t="s">
        <v>380</v>
      </c>
      <c r="D1483" s="2" t="s">
        <v>6342</v>
      </c>
      <c r="E1483" s="7" t="str">
        <f t="shared" si="164"/>
        <v>DSP</v>
      </c>
      <c r="F1483" s="7" t="str">
        <f t="shared" si="158"/>
        <v>UNI</v>
      </c>
      <c r="G1483" s="7" t="str">
        <f t="shared" si="159"/>
        <v>FWR</v>
      </c>
      <c r="H1483" s="7" t="str">
        <f t="shared" si="160"/>
        <v>LES</v>
      </c>
      <c r="I1483" s="7" t="str">
        <f t="shared" si="161"/>
        <v>OWE</v>
      </c>
      <c r="J1483" s="7" t="str">
        <f t="shared" si="162"/>
        <v>RED</v>
      </c>
      <c r="K1483" s="7" t="str">
        <f t="shared" si="163"/>
        <v>38</v>
      </c>
      <c r="L1483" s="7">
        <v>0</v>
      </c>
      <c r="M1483" s="7" t="s">
        <v>2609</v>
      </c>
      <c r="N1483" s="7">
        <f>_xlfn.XLOOKUP(A1483,[1]SKU!$A:$A,[1]SKU!$Z:$Z)</f>
        <v>8250000</v>
      </c>
    </row>
    <row r="1484" spans="1:14">
      <c r="A1484" s="1" t="s">
        <v>1787</v>
      </c>
      <c r="B1484" s="2" t="s">
        <v>3</v>
      </c>
      <c r="C1484" s="2" t="s">
        <v>841</v>
      </c>
      <c r="D1484" s="2" t="s">
        <v>1788</v>
      </c>
      <c r="E1484" s="7" t="str">
        <f t="shared" si="164"/>
        <v>GSU</v>
      </c>
      <c r="F1484" s="7" t="str">
        <f t="shared" si="158"/>
        <v>WOM</v>
      </c>
      <c r="G1484" s="7" t="str">
        <f t="shared" si="159"/>
        <v>TTB</v>
      </c>
      <c r="H1484" s="7" t="str">
        <f t="shared" si="160"/>
        <v>BNE</v>
      </c>
      <c r="I1484" s="7" t="str">
        <f t="shared" si="161"/>
        <v>RDY</v>
      </c>
      <c r="J1484" s="7" t="str">
        <f t="shared" si="162"/>
        <v>WHI</v>
      </c>
      <c r="K1484" s="7" t="str">
        <f t="shared" si="163"/>
        <v>S</v>
      </c>
      <c r="L1484" s="7" t="s">
        <v>2326</v>
      </c>
      <c r="M1484" s="7" t="s">
        <v>4469</v>
      </c>
      <c r="N1484" s="7">
        <f>_xlfn.XLOOKUP(A1484,[1]SKU!$A:$A,[1]SKU!$Z:$Z)</f>
        <v>850000</v>
      </c>
    </row>
    <row r="1485" spans="1:14">
      <c r="A1485" s="1" t="s">
        <v>6343</v>
      </c>
      <c r="B1485" s="2" t="s">
        <v>4472</v>
      </c>
      <c r="C1485" s="2" t="s">
        <v>105</v>
      </c>
      <c r="D1485" s="2" t="s">
        <v>6344</v>
      </c>
      <c r="E1485" s="7" t="str">
        <f t="shared" si="164"/>
        <v>PSD</v>
      </c>
      <c r="F1485" s="7" t="str">
        <f t="shared" si="158"/>
        <v>UNI</v>
      </c>
      <c r="G1485" s="7" t="str">
        <f t="shared" si="159"/>
        <v>SOU</v>
      </c>
      <c r="H1485" s="7" t="str">
        <f t="shared" si="160"/>
        <v>DEC</v>
      </c>
      <c r="I1485" s="7" t="str">
        <f t="shared" si="161"/>
        <v>SBA</v>
      </c>
      <c r="J1485" s="7" t="str">
        <f t="shared" si="162"/>
        <v>GRN</v>
      </c>
      <c r="K1485" s="7" t="str">
        <f t="shared" si="163"/>
        <v>12</v>
      </c>
      <c r="L1485" s="7">
        <v>0</v>
      </c>
      <c r="M1485" s="7" t="s">
        <v>2609</v>
      </c>
      <c r="N1485" s="7">
        <f>_xlfn.XLOOKUP(A1485,[1]SKU!$A:$A,[1]SKU!$Z:$Z)</f>
        <v>395000</v>
      </c>
    </row>
    <row r="1486" spans="1:14">
      <c r="A1486" s="1" t="s">
        <v>6345</v>
      </c>
      <c r="B1486" s="2" t="s">
        <v>4472</v>
      </c>
      <c r="C1486" s="2" t="s">
        <v>1789</v>
      </c>
      <c r="D1486" s="2" t="s">
        <v>6346</v>
      </c>
      <c r="E1486" s="7" t="str">
        <f t="shared" si="164"/>
        <v>GAR</v>
      </c>
      <c r="F1486" s="7" t="str">
        <f t="shared" si="158"/>
        <v>UNI</v>
      </c>
      <c r="G1486" s="7" t="str">
        <f t="shared" si="159"/>
        <v>SOU</v>
      </c>
      <c r="H1486" s="7" t="str">
        <f t="shared" si="160"/>
        <v>SOP</v>
      </c>
      <c r="I1486" s="7" t="str">
        <f t="shared" si="161"/>
        <v>COS</v>
      </c>
      <c r="J1486" s="7" t="str">
        <f t="shared" si="162"/>
        <v>MIX</v>
      </c>
      <c r="K1486" s="7" t="str">
        <f t="shared" si="163"/>
        <v>0</v>
      </c>
      <c r="L1486" s="7">
        <v>0</v>
      </c>
      <c r="M1486" s="7" t="s">
        <v>2609</v>
      </c>
      <c r="N1486" s="7">
        <f>_xlfn.XLOOKUP(A1486,[1]SKU!$A:$A,[1]SKU!$Z:$Z)</f>
        <v>115000</v>
      </c>
    </row>
    <row r="1487" spans="1:14">
      <c r="A1487" s="1" t="s">
        <v>1790</v>
      </c>
      <c r="B1487" s="2" t="s">
        <v>3</v>
      </c>
      <c r="C1487" s="2" t="s">
        <v>311</v>
      </c>
      <c r="D1487" s="2" t="s">
        <v>1791</v>
      </c>
      <c r="E1487" s="7" t="str">
        <f t="shared" si="164"/>
        <v>GSU</v>
      </c>
      <c r="F1487" s="7" t="str">
        <f t="shared" si="158"/>
        <v>WOM</v>
      </c>
      <c r="G1487" s="7" t="str">
        <f t="shared" si="159"/>
        <v>PZE</v>
      </c>
      <c r="H1487" s="7" t="str">
        <f t="shared" si="160"/>
        <v>ONE</v>
      </c>
      <c r="I1487" s="7" t="str">
        <f t="shared" si="161"/>
        <v>GL2</v>
      </c>
      <c r="J1487" s="7" t="str">
        <f t="shared" si="162"/>
        <v>BJL</v>
      </c>
      <c r="K1487" s="7" t="str">
        <f t="shared" si="163"/>
        <v>XL</v>
      </c>
      <c r="L1487" s="7" t="s">
        <v>2167</v>
      </c>
      <c r="M1487" s="7" t="s">
        <v>2167</v>
      </c>
      <c r="N1487" s="7">
        <f>_xlfn.XLOOKUP(A1487,[1]SKU!$A:$A,[1]SKU!$Z:$Z)</f>
        <v>850000</v>
      </c>
    </row>
    <row r="1488" spans="1:14">
      <c r="A1488" s="1" t="s">
        <v>6347</v>
      </c>
      <c r="B1488" s="2" t="s">
        <v>4472</v>
      </c>
      <c r="C1488" s="2" t="s">
        <v>172</v>
      </c>
      <c r="D1488" s="2" t="s">
        <v>6348</v>
      </c>
      <c r="E1488" s="7" t="str">
        <f t="shared" si="164"/>
        <v>DSP</v>
      </c>
      <c r="F1488" s="7" t="str">
        <f t="shared" si="158"/>
        <v>UNI</v>
      </c>
      <c r="G1488" s="7" t="str">
        <f t="shared" si="159"/>
        <v>FWR</v>
      </c>
      <c r="H1488" s="7" t="str">
        <f t="shared" si="160"/>
        <v>LES</v>
      </c>
      <c r="I1488" s="7" t="str">
        <f t="shared" si="161"/>
        <v>ALF</v>
      </c>
      <c r="J1488" s="7" t="str">
        <f t="shared" si="162"/>
        <v>DBP</v>
      </c>
      <c r="K1488" s="7" t="str">
        <f t="shared" si="163"/>
        <v>48</v>
      </c>
      <c r="L1488" s="7">
        <v>0</v>
      </c>
      <c r="M1488" s="7" t="s">
        <v>2609</v>
      </c>
      <c r="N1488" s="7">
        <f>_xlfn.XLOOKUP(A1488,[1]SKU!$A:$A,[1]SKU!$Z:$Z)</f>
        <v>7800000</v>
      </c>
    </row>
    <row r="1489" spans="1:14">
      <c r="A1489" s="1" t="s">
        <v>1792</v>
      </c>
      <c r="B1489" s="2" t="s">
        <v>3</v>
      </c>
      <c r="C1489" s="2" t="s">
        <v>236</v>
      </c>
      <c r="D1489" s="2" t="s">
        <v>1793</v>
      </c>
      <c r="E1489" s="7" t="str">
        <f t="shared" si="164"/>
        <v>GOR</v>
      </c>
      <c r="F1489" s="7" t="str">
        <f t="shared" si="158"/>
        <v>KID</v>
      </c>
      <c r="G1489" s="7" t="str">
        <f t="shared" si="159"/>
        <v>TSS</v>
      </c>
      <c r="H1489" s="7" t="str">
        <f t="shared" si="160"/>
        <v>ONE</v>
      </c>
      <c r="I1489" s="7" t="str">
        <f t="shared" si="161"/>
        <v>STA</v>
      </c>
      <c r="J1489" s="7" t="str">
        <f t="shared" si="162"/>
        <v>RED</v>
      </c>
      <c r="K1489" s="7" t="str">
        <f t="shared" si="163"/>
        <v>4</v>
      </c>
      <c r="L1489" s="7" t="s">
        <v>2018</v>
      </c>
      <c r="M1489" s="7" t="s">
        <v>4462</v>
      </c>
      <c r="N1489" s="7">
        <f>_xlfn.XLOOKUP(A1489,[1]SKU!$A:$A,[1]SKU!$Z:$Z)</f>
        <v>590000</v>
      </c>
    </row>
    <row r="1490" spans="1:14">
      <c r="A1490" s="1" t="s">
        <v>6349</v>
      </c>
      <c r="B1490" s="2" t="s">
        <v>4472</v>
      </c>
      <c r="C1490" s="2" t="s">
        <v>127</v>
      </c>
      <c r="D1490" s="2" t="s">
        <v>6350</v>
      </c>
      <c r="E1490" s="7" t="str">
        <f t="shared" si="164"/>
        <v>DSP</v>
      </c>
      <c r="F1490" s="7" t="str">
        <f t="shared" si="158"/>
        <v>UNI</v>
      </c>
      <c r="G1490" s="7" t="str">
        <f t="shared" si="159"/>
        <v>BAG</v>
      </c>
      <c r="H1490" s="7" t="str">
        <f t="shared" si="160"/>
        <v>HDB</v>
      </c>
      <c r="I1490" s="7" t="str">
        <f t="shared" si="161"/>
        <v>BRO</v>
      </c>
      <c r="J1490" s="7" t="str">
        <f t="shared" si="162"/>
        <v>GME</v>
      </c>
      <c r="K1490" s="7" t="str">
        <f t="shared" si="163"/>
        <v>0</v>
      </c>
      <c r="L1490" s="7">
        <v>0</v>
      </c>
      <c r="M1490" s="7" t="s">
        <v>2609</v>
      </c>
      <c r="N1490" s="7">
        <f>_xlfn.XLOOKUP(A1490,[1]SKU!$A:$A,[1]SKU!$Z:$Z)</f>
        <v>6190000</v>
      </c>
    </row>
    <row r="1491" spans="1:14">
      <c r="A1491" s="1" t="s">
        <v>6351</v>
      </c>
      <c r="B1491" s="2" t="s">
        <v>69</v>
      </c>
      <c r="C1491" s="2" t="s">
        <v>1794</v>
      </c>
      <c r="D1491" s="2" t="s">
        <v>6352</v>
      </c>
      <c r="E1491" s="7" t="str">
        <f t="shared" si="164"/>
        <v>GCF</v>
      </c>
      <c r="F1491" s="7" t="str">
        <f t="shared" si="158"/>
        <v>UNI</v>
      </c>
      <c r="G1491" s="7" t="str">
        <f t="shared" si="159"/>
        <v>FNB</v>
      </c>
      <c r="H1491" s="7" t="str">
        <f t="shared" si="160"/>
        <v>CFO</v>
      </c>
      <c r="I1491" s="7" t="str">
        <f t="shared" si="161"/>
        <v>BLC</v>
      </c>
      <c r="J1491" s="7" t="str">
        <f t="shared" si="162"/>
        <v>MIX</v>
      </c>
      <c r="K1491" s="7" t="str">
        <f t="shared" si="163"/>
        <v>0</v>
      </c>
      <c r="L1491" s="7">
        <v>0</v>
      </c>
      <c r="M1491" s="7" t="s">
        <v>2609</v>
      </c>
      <c r="N1491" s="7">
        <f>_xlfn.XLOOKUP(A1491,[1]SKU!$A:$A,[1]SKU!$Z:$Z)</f>
        <v>65000</v>
      </c>
    </row>
    <row r="1492" spans="1:14">
      <c r="A1492" s="1" t="s">
        <v>6353</v>
      </c>
      <c r="B1492" s="2" t="s">
        <v>4472</v>
      </c>
      <c r="C1492" s="2" t="s">
        <v>4876</v>
      </c>
      <c r="D1492" s="2" t="s">
        <v>6354</v>
      </c>
      <c r="E1492" s="7" t="str">
        <f t="shared" si="164"/>
        <v>HAM</v>
      </c>
      <c r="F1492" s="7" t="str">
        <f t="shared" si="158"/>
        <v>UNI</v>
      </c>
      <c r="G1492" s="7" t="str">
        <f t="shared" si="159"/>
        <v>JEW</v>
      </c>
      <c r="H1492" s="7" t="str">
        <f t="shared" si="160"/>
        <v>NEC</v>
      </c>
      <c r="I1492" s="7" t="str">
        <f t="shared" si="161"/>
        <v>L25</v>
      </c>
      <c r="J1492" s="7" t="str">
        <f t="shared" si="162"/>
        <v>MIX</v>
      </c>
      <c r="K1492" s="7" t="str">
        <f t="shared" si="163"/>
        <v>0</v>
      </c>
      <c r="L1492" s="7">
        <v>0</v>
      </c>
      <c r="M1492" s="7" t="s">
        <v>2609</v>
      </c>
      <c r="N1492" s="7">
        <f>_xlfn.XLOOKUP(A1492,[1]SKU!$A:$A,[1]SKU!$Z:$Z)</f>
        <v>2000000</v>
      </c>
    </row>
    <row r="1493" spans="1:14">
      <c r="A1493" s="1" t="s">
        <v>6355</v>
      </c>
      <c r="B1493" s="2" t="s">
        <v>4481</v>
      </c>
      <c r="C1493" s="2" t="s">
        <v>6356</v>
      </c>
      <c r="D1493" s="2" t="s">
        <v>6357</v>
      </c>
      <c r="E1493" s="7" t="str">
        <f t="shared" si="164"/>
        <v>PAS</v>
      </c>
      <c r="F1493" s="7" t="str">
        <f t="shared" si="158"/>
        <v>UNI</v>
      </c>
      <c r="G1493" s="7" t="str">
        <f t="shared" si="159"/>
        <v>ART</v>
      </c>
      <c r="H1493" s="7" t="str">
        <f t="shared" si="160"/>
        <v>ART</v>
      </c>
      <c r="I1493" s="7" t="str">
        <f t="shared" si="161"/>
        <v>BBH</v>
      </c>
      <c r="J1493" s="7" t="str">
        <f t="shared" si="162"/>
        <v>MIX</v>
      </c>
      <c r="K1493" s="7" t="str">
        <f t="shared" si="163"/>
        <v>A2</v>
      </c>
      <c r="L1493" s="7">
        <v>0</v>
      </c>
      <c r="M1493" s="7" t="s">
        <v>2609</v>
      </c>
      <c r="N1493" s="7">
        <f>_xlfn.XLOOKUP(A1493,[1]SKU!$A:$A,[1]SKU!$Z:$Z)</f>
        <v>3000000</v>
      </c>
    </row>
    <row r="1494" spans="1:14">
      <c r="A1494" s="1" t="s">
        <v>6358</v>
      </c>
      <c r="B1494" s="2" t="s">
        <v>4472</v>
      </c>
      <c r="C1494" s="2" t="s">
        <v>5599</v>
      </c>
      <c r="D1494" s="2" t="s">
        <v>6359</v>
      </c>
      <c r="E1494" s="7" t="str">
        <f t="shared" si="164"/>
        <v>HAM</v>
      </c>
      <c r="F1494" s="7" t="str">
        <f t="shared" si="158"/>
        <v>UNI</v>
      </c>
      <c r="G1494" s="7" t="str">
        <f t="shared" si="159"/>
        <v>JEW</v>
      </c>
      <c r="H1494" s="7" t="str">
        <f t="shared" si="160"/>
        <v>NEC</v>
      </c>
      <c r="I1494" s="7" t="str">
        <f t="shared" si="161"/>
        <v>A32</v>
      </c>
      <c r="J1494" s="7" t="str">
        <f t="shared" si="162"/>
        <v>MIX</v>
      </c>
      <c r="K1494" s="7" t="str">
        <f t="shared" si="163"/>
        <v>0</v>
      </c>
      <c r="L1494" s="7">
        <v>0</v>
      </c>
      <c r="M1494" s="7" t="s">
        <v>2609</v>
      </c>
      <c r="N1494" s="7">
        <f>_xlfn.XLOOKUP(A1494,[1]SKU!$A:$A,[1]SKU!$Z:$Z)</f>
        <v>1800000</v>
      </c>
    </row>
    <row r="1495" spans="1:14">
      <c r="A1495" s="1" t="s">
        <v>1797</v>
      </c>
      <c r="B1495" s="2" t="s">
        <v>19</v>
      </c>
      <c r="C1495" s="2" t="s">
        <v>314</v>
      </c>
      <c r="D1495" s="2" t="s">
        <v>1798</v>
      </c>
      <c r="E1495" s="7" t="str">
        <f t="shared" si="164"/>
        <v>OTH</v>
      </c>
      <c r="F1495" s="7" t="str">
        <f t="shared" si="158"/>
        <v>UNI</v>
      </c>
      <c r="G1495" s="7" t="str">
        <f t="shared" si="159"/>
        <v>SOU</v>
      </c>
      <c r="H1495" s="7" t="str">
        <f t="shared" si="160"/>
        <v>LUG</v>
      </c>
      <c r="I1495" s="7" t="str">
        <f t="shared" si="161"/>
        <v>XLO</v>
      </c>
      <c r="J1495" s="7" t="str">
        <f t="shared" si="162"/>
        <v>NAV</v>
      </c>
      <c r="K1495" s="7" t="str">
        <f t="shared" si="163"/>
        <v>0</v>
      </c>
      <c r="L1495" s="7">
        <v>0</v>
      </c>
      <c r="M1495" s="7" t="s">
        <v>2609</v>
      </c>
      <c r="N1495" s="7">
        <f>_xlfn.XLOOKUP(A1495,[1]SKU!$A:$A,[1]SKU!$Z:$Z)</f>
        <v>155000</v>
      </c>
    </row>
    <row r="1496" spans="1:14">
      <c r="A1496" s="1" t="s">
        <v>6360</v>
      </c>
      <c r="B1496" s="2" t="s">
        <v>4472</v>
      </c>
      <c r="C1496" s="2" t="s">
        <v>6361</v>
      </c>
      <c r="D1496" s="2" t="s">
        <v>6362</v>
      </c>
      <c r="E1496" s="7" t="str">
        <f t="shared" si="164"/>
        <v>LAN</v>
      </c>
      <c r="F1496" s="7" t="str">
        <f t="shared" si="158"/>
        <v>UNI</v>
      </c>
      <c r="G1496" s="7" t="str">
        <f t="shared" si="159"/>
        <v>HWR</v>
      </c>
      <c r="H1496" s="7" t="str">
        <f t="shared" si="160"/>
        <v>SC2</v>
      </c>
      <c r="I1496" s="7" t="str">
        <f t="shared" si="161"/>
        <v>ATU</v>
      </c>
      <c r="J1496" s="7" t="str">
        <f t="shared" si="162"/>
        <v>BLU</v>
      </c>
      <c r="K1496" s="7" t="str">
        <f t="shared" si="163"/>
        <v>6x130</v>
      </c>
      <c r="L1496" s="7">
        <v>0</v>
      </c>
      <c r="M1496" s="7" t="s">
        <v>2609</v>
      </c>
      <c r="N1496" s="7">
        <f>_xlfn.XLOOKUP(A1496,[1]SKU!$A:$A,[1]SKU!$Z:$Z)</f>
        <v>365000</v>
      </c>
    </row>
    <row r="1497" spans="1:14">
      <c r="A1497" s="1" t="s">
        <v>1799</v>
      </c>
      <c r="B1497" s="2" t="s">
        <v>3</v>
      </c>
      <c r="C1497" s="2" t="s">
        <v>81</v>
      </c>
      <c r="D1497" s="2" t="s">
        <v>1800</v>
      </c>
      <c r="E1497" s="7" t="str">
        <f t="shared" si="164"/>
        <v>GCV</v>
      </c>
      <c r="F1497" s="7" t="str">
        <f t="shared" si="158"/>
        <v>MEN</v>
      </c>
      <c r="G1497" s="7" t="str">
        <f t="shared" si="159"/>
        <v>SIS</v>
      </c>
      <c r="H1497" s="7" t="str">
        <f t="shared" si="160"/>
        <v>BUT</v>
      </c>
      <c r="I1497" s="7" t="str">
        <f t="shared" si="161"/>
        <v>JUN</v>
      </c>
      <c r="J1497" s="7" t="str">
        <f t="shared" si="162"/>
        <v>WHI</v>
      </c>
      <c r="K1497" s="7" t="str">
        <f t="shared" si="163"/>
        <v>XXL</v>
      </c>
      <c r="L1497" s="7" t="s">
        <v>2211</v>
      </c>
      <c r="M1497" s="7" t="s">
        <v>4464</v>
      </c>
      <c r="N1497" s="7">
        <f>_xlfn.XLOOKUP(A1497,[1]SKU!$A:$A,[1]SKU!$Z:$Z)</f>
        <v>1790000</v>
      </c>
    </row>
    <row r="1498" spans="1:14">
      <c r="A1498" s="1" t="s">
        <v>6363</v>
      </c>
      <c r="B1498" s="2" t="s">
        <v>4472</v>
      </c>
      <c r="C1498" s="2" t="s">
        <v>51</v>
      </c>
      <c r="D1498" s="2" t="s">
        <v>6364</v>
      </c>
      <c r="E1498" s="7" t="str">
        <f t="shared" si="164"/>
        <v>DSP</v>
      </c>
      <c r="F1498" s="7" t="str">
        <f t="shared" si="158"/>
        <v>UNI</v>
      </c>
      <c r="G1498" s="7" t="str">
        <f t="shared" si="159"/>
        <v>BAG</v>
      </c>
      <c r="H1498" s="7" t="str">
        <f t="shared" si="160"/>
        <v>CHR</v>
      </c>
      <c r="I1498" s="7" t="str">
        <f t="shared" si="161"/>
        <v>SCH</v>
      </c>
      <c r="J1498" s="7" t="str">
        <f t="shared" si="162"/>
        <v>BUR</v>
      </c>
      <c r="K1498" s="7" t="str">
        <f t="shared" si="163"/>
        <v>0</v>
      </c>
      <c r="L1498" s="7">
        <v>0</v>
      </c>
      <c r="M1498" s="7" t="s">
        <v>2609</v>
      </c>
      <c r="N1498" s="7">
        <f>_xlfn.XLOOKUP(A1498,[1]SKU!$A:$A,[1]SKU!$Z:$Z)</f>
        <v>1150000</v>
      </c>
    </row>
    <row r="1499" spans="1:14">
      <c r="A1499" s="1" t="s">
        <v>1801</v>
      </c>
      <c r="B1499" s="2" t="s">
        <v>3</v>
      </c>
      <c r="C1499" s="2" t="s">
        <v>81</v>
      </c>
      <c r="D1499" s="2" t="s">
        <v>1802</v>
      </c>
      <c r="E1499" s="7" t="str">
        <f t="shared" si="164"/>
        <v>GCV</v>
      </c>
      <c r="F1499" s="7" t="str">
        <f t="shared" si="158"/>
        <v>MEN</v>
      </c>
      <c r="G1499" s="7" t="str">
        <f t="shared" si="159"/>
        <v>SIS</v>
      </c>
      <c r="H1499" s="7" t="str">
        <f t="shared" si="160"/>
        <v>BUT</v>
      </c>
      <c r="I1499" s="7" t="str">
        <f t="shared" si="161"/>
        <v>JUN</v>
      </c>
      <c r="J1499" s="7" t="str">
        <f t="shared" si="162"/>
        <v>WHI</v>
      </c>
      <c r="K1499" s="7" t="str">
        <f t="shared" si="163"/>
        <v>XL</v>
      </c>
      <c r="L1499" s="7" t="s">
        <v>2211</v>
      </c>
      <c r="M1499" s="7" t="s">
        <v>4464</v>
      </c>
      <c r="N1499" s="7">
        <f>_xlfn.XLOOKUP(A1499,[1]SKU!$A:$A,[1]SKU!$Z:$Z)</f>
        <v>1790000</v>
      </c>
    </row>
    <row r="1500" spans="1:14">
      <c r="A1500" s="1" t="s">
        <v>6365</v>
      </c>
      <c r="B1500" s="2" t="s">
        <v>4472</v>
      </c>
      <c r="C1500" s="2" t="s">
        <v>6366</v>
      </c>
      <c r="D1500" s="2" t="s">
        <v>6367</v>
      </c>
      <c r="E1500" s="7" t="str">
        <f t="shared" si="164"/>
        <v>LAN</v>
      </c>
      <c r="F1500" s="7" t="str">
        <f t="shared" ref="F1500:F1563" si="165">_xlfn.TEXTBEFORE(_xlfn.TEXTAFTER(D1500,"-",2),"-")</f>
        <v>UNI</v>
      </c>
      <c r="G1500" s="7" t="str">
        <f t="shared" ref="G1500:G1563" si="166">_xlfn.TEXTBEFORE(_xlfn.TEXTAFTER(D1500,"-",3),"-")</f>
        <v>HWR</v>
      </c>
      <c r="H1500" s="7" t="str">
        <f t="shared" ref="H1500:H1563" si="167">_xlfn.TEXTBEFORE(_xlfn.TEXTAFTER(D1500,"-",4),"-")</f>
        <v>SC2</v>
      </c>
      <c r="I1500" s="7" t="str">
        <f t="shared" ref="I1500:I1563" si="168">_xlfn.TEXTBEFORE(_xlfn.TEXTAFTER(D1500,"-",5),"-")</f>
        <v>HXH</v>
      </c>
      <c r="J1500" s="7" t="str">
        <f t="shared" ref="J1500:J1563" si="169">_xlfn.TEXTBEFORE(_xlfn.TEXTAFTER(D1500,"-",6),"-")</f>
        <v>BLU</v>
      </c>
      <c r="K1500" s="7" t="str">
        <f t="shared" ref="K1500:K1563" si="170">_xlfn.TEXTAFTER(D1500,"-",7)</f>
        <v>70x70</v>
      </c>
      <c r="L1500" s="7">
        <v>0</v>
      </c>
      <c r="M1500" s="7" t="s">
        <v>2609</v>
      </c>
      <c r="N1500" s="7">
        <f>_xlfn.XLOOKUP(A1500,[1]SKU!$A:$A,[1]SKU!$Z:$Z)</f>
        <v>749000</v>
      </c>
    </row>
    <row r="1501" spans="1:14">
      <c r="A1501" s="1" t="s">
        <v>6368</v>
      </c>
      <c r="B1501" s="2" t="s">
        <v>4472</v>
      </c>
      <c r="C1501" s="2" t="s">
        <v>1803</v>
      </c>
      <c r="D1501" s="2" t="s">
        <v>6369</v>
      </c>
      <c r="E1501" s="7" t="str">
        <f t="shared" si="164"/>
        <v>DSP</v>
      </c>
      <c r="F1501" s="7" t="str">
        <f t="shared" si="165"/>
        <v>UNI</v>
      </c>
      <c r="G1501" s="7" t="str">
        <f t="shared" si="166"/>
        <v>BAG</v>
      </c>
      <c r="H1501" s="7" t="str">
        <f t="shared" si="167"/>
        <v>CLU</v>
      </c>
      <c r="I1501" s="7" t="str">
        <f t="shared" si="168"/>
        <v>SIS</v>
      </c>
      <c r="J1501" s="7" t="str">
        <f t="shared" si="169"/>
        <v>DGN</v>
      </c>
      <c r="K1501" s="7" t="str">
        <f t="shared" si="170"/>
        <v>0</v>
      </c>
      <c r="L1501" s="7">
        <v>0</v>
      </c>
      <c r="M1501" s="7" t="s">
        <v>2609</v>
      </c>
      <c r="N1501" s="7">
        <f>_xlfn.XLOOKUP(A1501,[1]SKU!$A:$A,[1]SKU!$Z:$Z)</f>
        <v>3800000</v>
      </c>
    </row>
    <row r="1502" spans="1:14">
      <c r="A1502" s="1" t="s">
        <v>6370</v>
      </c>
      <c r="B1502" s="2" t="s">
        <v>4472</v>
      </c>
      <c r="C1502" s="2" t="s">
        <v>94</v>
      </c>
      <c r="D1502" s="2" t="s">
        <v>6371</v>
      </c>
      <c r="E1502" s="7" t="str">
        <f t="shared" si="164"/>
        <v>NGO</v>
      </c>
      <c r="F1502" s="7" t="str">
        <f t="shared" si="165"/>
        <v>UNI</v>
      </c>
      <c r="G1502" s="7" t="str">
        <f t="shared" si="166"/>
        <v>FWR</v>
      </c>
      <c r="H1502" s="7" t="str">
        <f t="shared" si="167"/>
        <v>SNE</v>
      </c>
      <c r="I1502" s="7" t="str">
        <f t="shared" si="168"/>
        <v>SGS</v>
      </c>
      <c r="J1502" s="7" t="str">
        <f t="shared" si="169"/>
        <v>RBY</v>
      </c>
      <c r="K1502" s="7" t="str">
        <f t="shared" si="170"/>
        <v>37</v>
      </c>
      <c r="L1502" s="7">
        <v>0</v>
      </c>
      <c r="M1502" s="7" t="s">
        <v>2609</v>
      </c>
      <c r="N1502" s="7">
        <f>_xlfn.XLOOKUP(A1502,[1]SKU!$A:$A,[1]SKU!$Z:$Z)</f>
        <v>3850000</v>
      </c>
    </row>
    <row r="1503" spans="1:14">
      <c r="A1503" s="1" t="s">
        <v>1804</v>
      </c>
      <c r="B1503" s="2" t="s">
        <v>3</v>
      </c>
      <c r="C1503" s="2" t="s">
        <v>29</v>
      </c>
      <c r="D1503" s="2" t="s">
        <v>1805</v>
      </c>
      <c r="E1503" s="7" t="str">
        <f t="shared" si="164"/>
        <v>GSP</v>
      </c>
      <c r="F1503" s="7" t="str">
        <f t="shared" si="165"/>
        <v>MEN</v>
      </c>
      <c r="G1503" s="7" t="str">
        <f t="shared" si="166"/>
        <v>POL</v>
      </c>
      <c r="H1503" s="7" t="str">
        <f t="shared" si="167"/>
        <v>MAN</v>
      </c>
      <c r="I1503" s="7" t="str">
        <f t="shared" si="168"/>
        <v>SHU</v>
      </c>
      <c r="J1503" s="7" t="str">
        <f t="shared" si="169"/>
        <v>BLK</v>
      </c>
      <c r="K1503" s="7" t="str">
        <f t="shared" si="170"/>
        <v>XXL</v>
      </c>
      <c r="L1503" s="7" t="s">
        <v>1995</v>
      </c>
      <c r="M1503" s="7" t="s">
        <v>4468</v>
      </c>
      <c r="N1503" s="7">
        <f>_xlfn.XLOOKUP(A1503,[1]SKU!$A:$A,[1]SKU!$Z:$Z)</f>
        <v>1090000</v>
      </c>
    </row>
    <row r="1504" spans="1:14">
      <c r="A1504" s="1" t="s">
        <v>1806</v>
      </c>
      <c r="B1504" s="2" t="s">
        <v>3</v>
      </c>
      <c r="C1504" s="2" t="s">
        <v>572</v>
      </c>
      <c r="D1504" s="2" t="s">
        <v>1807</v>
      </c>
      <c r="E1504" s="7" t="str">
        <f t="shared" si="164"/>
        <v>GOR</v>
      </c>
      <c r="F1504" s="7" t="str">
        <f t="shared" si="165"/>
        <v>KID</v>
      </c>
      <c r="G1504" s="7" t="str">
        <f t="shared" si="166"/>
        <v>TSS</v>
      </c>
      <c r="H1504" s="7" t="str">
        <f t="shared" si="167"/>
        <v>ONE</v>
      </c>
      <c r="I1504" s="7" t="str">
        <f t="shared" si="168"/>
        <v>SDS</v>
      </c>
      <c r="J1504" s="7" t="str">
        <f t="shared" si="169"/>
        <v>WHI</v>
      </c>
      <c r="K1504" s="7" t="str">
        <f t="shared" si="170"/>
        <v>12</v>
      </c>
      <c r="L1504" s="7" t="s">
        <v>2018</v>
      </c>
      <c r="M1504" s="7" t="s">
        <v>4462</v>
      </c>
      <c r="N1504" s="7">
        <f>_xlfn.XLOOKUP(A1504,[1]SKU!$A:$A,[1]SKU!$Z:$Z)</f>
        <v>590000</v>
      </c>
    </row>
    <row r="1505" spans="1:14">
      <c r="A1505" s="1" t="s">
        <v>6372</v>
      </c>
      <c r="B1505" s="2" t="s">
        <v>4472</v>
      </c>
      <c r="C1505" s="2" t="s">
        <v>6373</v>
      </c>
      <c r="D1505" s="2" t="s">
        <v>6374</v>
      </c>
      <c r="E1505" s="7" t="str">
        <f t="shared" si="164"/>
        <v>HAM</v>
      </c>
      <c r="F1505" s="7" t="str">
        <f t="shared" si="165"/>
        <v>UNI</v>
      </c>
      <c r="G1505" s="7" t="str">
        <f t="shared" si="166"/>
        <v>JEW</v>
      </c>
      <c r="H1505" s="7" t="str">
        <f t="shared" si="167"/>
        <v>NEC</v>
      </c>
      <c r="I1505" s="7" t="str">
        <f t="shared" si="168"/>
        <v>144</v>
      </c>
      <c r="J1505" s="7" t="str">
        <f t="shared" si="169"/>
        <v>MIX</v>
      </c>
      <c r="K1505" s="7" t="str">
        <f t="shared" si="170"/>
        <v>0</v>
      </c>
      <c r="L1505" s="7">
        <v>0</v>
      </c>
      <c r="M1505" s="7" t="s">
        <v>2609</v>
      </c>
      <c r="N1505" s="7">
        <f>_xlfn.XLOOKUP(A1505,[1]SKU!$A:$A,[1]SKU!$Z:$Z)</f>
        <v>4200000</v>
      </c>
    </row>
    <row r="1506" spans="1:14">
      <c r="A1506" s="1" t="s">
        <v>6375</v>
      </c>
      <c r="B1506" s="2" t="s">
        <v>4472</v>
      </c>
      <c r="C1506" s="2" t="s">
        <v>1808</v>
      </c>
      <c r="D1506" s="2" t="s">
        <v>6376</v>
      </c>
      <c r="E1506" s="7" t="str">
        <f t="shared" si="164"/>
        <v>ODE</v>
      </c>
      <c r="F1506" s="7" t="str">
        <f t="shared" si="165"/>
        <v>UNI</v>
      </c>
      <c r="G1506" s="7" t="str">
        <f t="shared" si="166"/>
        <v>COS</v>
      </c>
      <c r="H1506" s="7" t="str">
        <f t="shared" si="167"/>
        <v>FCE</v>
      </c>
      <c r="I1506" s="7" t="str">
        <f t="shared" si="168"/>
        <v>F02</v>
      </c>
      <c r="J1506" s="7" t="str">
        <f t="shared" si="169"/>
        <v>NON</v>
      </c>
      <c r="K1506" s="7" t="str">
        <f t="shared" si="170"/>
        <v>0</v>
      </c>
      <c r="L1506" s="7">
        <v>0</v>
      </c>
      <c r="M1506" s="7" t="s">
        <v>2609</v>
      </c>
      <c r="N1506" s="7">
        <f>_xlfn.XLOOKUP(A1506,[1]SKU!$A:$A,[1]SKU!$Z:$Z)</f>
        <v>295000</v>
      </c>
    </row>
    <row r="1507" spans="1:14">
      <c r="A1507" s="1" t="s">
        <v>6377</v>
      </c>
      <c r="B1507" s="2" t="s">
        <v>4472</v>
      </c>
      <c r="C1507" s="2" t="s">
        <v>1809</v>
      </c>
      <c r="D1507" s="2" t="s">
        <v>6378</v>
      </c>
      <c r="E1507" s="7" t="str">
        <f t="shared" si="164"/>
        <v>RUN</v>
      </c>
      <c r="F1507" s="7" t="str">
        <f t="shared" si="165"/>
        <v>UNI</v>
      </c>
      <c r="G1507" s="7" t="str">
        <f t="shared" si="166"/>
        <v>SOU</v>
      </c>
      <c r="H1507" s="7" t="str">
        <f t="shared" si="167"/>
        <v>SAS</v>
      </c>
      <c r="I1507" s="7" t="str">
        <f t="shared" si="168"/>
        <v>CGY</v>
      </c>
      <c r="J1507" s="7" t="str">
        <f t="shared" si="169"/>
        <v>MIX</v>
      </c>
      <c r="K1507" s="7" t="str">
        <f t="shared" si="170"/>
        <v>0</v>
      </c>
      <c r="L1507" s="7">
        <v>0</v>
      </c>
      <c r="M1507" s="7" t="s">
        <v>2609</v>
      </c>
      <c r="N1507" s="7">
        <f>_xlfn.XLOOKUP(A1507,[1]SKU!$A:$A,[1]SKU!$Z:$Z)</f>
        <v>249000</v>
      </c>
    </row>
    <row r="1508" spans="1:14">
      <c r="A1508" s="1" t="s">
        <v>1810</v>
      </c>
      <c r="B1508" s="2" t="s">
        <v>3</v>
      </c>
      <c r="C1508" s="2" t="s">
        <v>1811</v>
      </c>
      <c r="D1508" s="2" t="s">
        <v>1812</v>
      </c>
      <c r="E1508" s="7" t="str">
        <f t="shared" si="164"/>
        <v>GFI</v>
      </c>
      <c r="F1508" s="7" t="str">
        <f t="shared" si="165"/>
        <v>MEN</v>
      </c>
      <c r="G1508" s="7" t="str">
        <f t="shared" si="166"/>
        <v>SWL</v>
      </c>
      <c r="H1508" s="7" t="str">
        <f t="shared" si="167"/>
        <v>ONE</v>
      </c>
      <c r="I1508" s="7" t="str">
        <f t="shared" si="168"/>
        <v>BTS</v>
      </c>
      <c r="J1508" s="7" t="str">
        <f t="shared" si="169"/>
        <v>NAV</v>
      </c>
      <c r="K1508" s="7" t="str">
        <f t="shared" si="170"/>
        <v>S</v>
      </c>
      <c r="L1508" s="7" t="s">
        <v>2581</v>
      </c>
      <c r="M1508" s="7" t="s">
        <v>4464</v>
      </c>
      <c r="N1508" s="7">
        <f>_xlfn.XLOOKUP(A1508,[1]SKU!$A:$A,[1]SKU!$Z:$Z)</f>
        <v>1290000</v>
      </c>
    </row>
    <row r="1509" spans="1:14">
      <c r="A1509" s="1" t="s">
        <v>6379</v>
      </c>
      <c r="B1509" s="2" t="s">
        <v>4472</v>
      </c>
      <c r="C1509" s="2" t="s">
        <v>4876</v>
      </c>
      <c r="D1509" s="2" t="s">
        <v>6380</v>
      </c>
      <c r="E1509" s="7" t="str">
        <f t="shared" si="164"/>
        <v>HAM</v>
      </c>
      <c r="F1509" s="7" t="str">
        <f t="shared" si="165"/>
        <v>UNI</v>
      </c>
      <c r="G1509" s="7" t="str">
        <f t="shared" si="166"/>
        <v>JEW</v>
      </c>
      <c r="H1509" s="7" t="str">
        <f t="shared" si="167"/>
        <v>NEC</v>
      </c>
      <c r="I1509" s="7" t="str">
        <f t="shared" si="168"/>
        <v>033</v>
      </c>
      <c r="J1509" s="7" t="str">
        <f t="shared" si="169"/>
        <v>MIX</v>
      </c>
      <c r="K1509" s="7" t="str">
        <f t="shared" si="170"/>
        <v>0</v>
      </c>
      <c r="L1509" s="7">
        <v>0</v>
      </c>
      <c r="M1509" s="7" t="s">
        <v>2609</v>
      </c>
      <c r="N1509" s="7">
        <f>_xlfn.XLOOKUP(A1509,[1]SKU!$A:$A,[1]SKU!$Z:$Z)</f>
        <v>2200000</v>
      </c>
    </row>
    <row r="1510" spans="1:14">
      <c r="A1510" s="1" t="s">
        <v>6381</v>
      </c>
      <c r="B1510" s="2" t="s">
        <v>4472</v>
      </c>
      <c r="C1510" s="2" t="s">
        <v>6382</v>
      </c>
      <c r="D1510" s="2" t="s">
        <v>6383</v>
      </c>
      <c r="E1510" s="7" t="str">
        <f t="shared" si="164"/>
        <v>HAM</v>
      </c>
      <c r="F1510" s="7" t="str">
        <f t="shared" si="165"/>
        <v>UNI</v>
      </c>
      <c r="G1510" s="7" t="str">
        <f t="shared" si="166"/>
        <v>JEW</v>
      </c>
      <c r="H1510" s="7" t="str">
        <f t="shared" si="167"/>
        <v>NEC</v>
      </c>
      <c r="I1510" s="7" t="str">
        <f t="shared" si="168"/>
        <v>A41</v>
      </c>
      <c r="J1510" s="7" t="str">
        <f t="shared" si="169"/>
        <v>MIX</v>
      </c>
      <c r="K1510" s="7" t="str">
        <f t="shared" si="170"/>
        <v>0</v>
      </c>
      <c r="L1510" s="7">
        <v>0</v>
      </c>
      <c r="M1510" s="7" t="s">
        <v>2609</v>
      </c>
      <c r="N1510" s="7">
        <f>_xlfn.XLOOKUP(A1510,[1]SKU!$A:$A,[1]SKU!$Z:$Z)</f>
        <v>1800000</v>
      </c>
    </row>
    <row r="1511" spans="1:14">
      <c r="A1511" s="1" t="s">
        <v>1815</v>
      </c>
      <c r="B1511" s="2" t="s">
        <v>3</v>
      </c>
      <c r="C1511" s="2" t="s">
        <v>674</v>
      </c>
      <c r="D1511" s="2" t="s">
        <v>1816</v>
      </c>
      <c r="E1511" s="7" t="str">
        <f t="shared" si="164"/>
        <v>GBA</v>
      </c>
      <c r="F1511" s="7" t="str">
        <f t="shared" si="165"/>
        <v>MEN</v>
      </c>
      <c r="G1511" s="7" t="str">
        <f t="shared" si="166"/>
        <v>TSS</v>
      </c>
      <c r="H1511" s="7" t="str">
        <f t="shared" si="167"/>
        <v>ONE</v>
      </c>
      <c r="I1511" s="7" t="str">
        <f t="shared" si="168"/>
        <v>TPO</v>
      </c>
      <c r="J1511" s="7" t="str">
        <f t="shared" si="169"/>
        <v>YEL</v>
      </c>
      <c r="K1511" s="7" t="str">
        <f t="shared" si="170"/>
        <v>L</v>
      </c>
      <c r="L1511" s="7" t="s">
        <v>2018</v>
      </c>
      <c r="M1511" s="7" t="s">
        <v>4462</v>
      </c>
      <c r="N1511" s="7">
        <f>_xlfn.XLOOKUP(A1511,[1]SKU!$A:$A,[1]SKU!$Z:$Z)</f>
        <v>890000</v>
      </c>
    </row>
    <row r="1512" spans="1:14">
      <c r="A1512" s="1" t="s">
        <v>1817</v>
      </c>
      <c r="B1512" s="2" t="s">
        <v>3</v>
      </c>
      <c r="C1512" s="2" t="s">
        <v>45</v>
      </c>
      <c r="D1512" s="2" t="s">
        <v>1818</v>
      </c>
      <c r="E1512" s="7" t="str">
        <f t="shared" si="164"/>
        <v>GOR</v>
      </c>
      <c r="F1512" s="7" t="str">
        <f t="shared" si="165"/>
        <v>KID</v>
      </c>
      <c r="G1512" s="7" t="str">
        <f t="shared" si="166"/>
        <v>TSS</v>
      </c>
      <c r="H1512" s="7" t="str">
        <f t="shared" si="167"/>
        <v>ONE</v>
      </c>
      <c r="I1512" s="7" t="str">
        <f t="shared" si="168"/>
        <v>DDU</v>
      </c>
      <c r="J1512" s="7" t="str">
        <f t="shared" si="169"/>
        <v>BOR</v>
      </c>
      <c r="K1512" s="7" t="str">
        <f t="shared" si="170"/>
        <v>8</v>
      </c>
      <c r="L1512" s="7" t="s">
        <v>2018</v>
      </c>
      <c r="M1512" s="7" t="s">
        <v>4462</v>
      </c>
      <c r="N1512" s="7">
        <f>_xlfn.XLOOKUP(A1512,[1]SKU!$A:$A,[1]SKU!$Z:$Z)</f>
        <v>590000</v>
      </c>
    </row>
    <row r="1513" spans="1:14">
      <c r="A1513" s="1" t="s">
        <v>1819</v>
      </c>
      <c r="B1513" s="2" t="s">
        <v>3</v>
      </c>
      <c r="C1513" s="2" t="s">
        <v>1108</v>
      </c>
      <c r="D1513" s="2" t="s">
        <v>1820</v>
      </c>
      <c r="E1513" s="7" t="str">
        <f t="shared" si="164"/>
        <v>GOR</v>
      </c>
      <c r="F1513" s="7" t="str">
        <f t="shared" si="165"/>
        <v>WOM</v>
      </c>
      <c r="G1513" s="7" t="str">
        <f t="shared" si="166"/>
        <v>TSP</v>
      </c>
      <c r="H1513" s="7" t="str">
        <f t="shared" si="167"/>
        <v>ONE</v>
      </c>
      <c r="I1513" s="7" t="str">
        <f t="shared" si="168"/>
        <v>DRF</v>
      </c>
      <c r="J1513" s="7" t="str">
        <f t="shared" si="169"/>
        <v>WHI</v>
      </c>
      <c r="K1513" s="7" t="str">
        <f t="shared" si="170"/>
        <v>L</v>
      </c>
      <c r="L1513" s="7" t="s">
        <v>2085</v>
      </c>
      <c r="M1513" s="7" t="s">
        <v>4462</v>
      </c>
      <c r="N1513" s="7">
        <f>_xlfn.XLOOKUP(A1513,[1]SKU!$A:$A,[1]SKU!$Z:$Z)</f>
        <v>1690000</v>
      </c>
    </row>
    <row r="1514" spans="1:14">
      <c r="A1514" s="1" t="s">
        <v>6384</v>
      </c>
      <c r="B1514" s="2" t="s">
        <v>4472</v>
      </c>
      <c r="C1514" s="2" t="s">
        <v>287</v>
      </c>
      <c r="D1514" s="2" t="s">
        <v>6385</v>
      </c>
      <c r="E1514" s="7" t="str">
        <f t="shared" si="164"/>
        <v>SHI</v>
      </c>
      <c r="F1514" s="7" t="str">
        <f t="shared" si="165"/>
        <v>UNI</v>
      </c>
      <c r="G1514" s="7" t="str">
        <f t="shared" si="166"/>
        <v>FNB</v>
      </c>
      <c r="H1514" s="7" t="str">
        <f t="shared" si="167"/>
        <v>CFB</v>
      </c>
      <c r="I1514" s="7" t="str">
        <f t="shared" si="168"/>
        <v>KSB</v>
      </c>
      <c r="J1514" s="7" t="str">
        <f t="shared" si="169"/>
        <v>WHI</v>
      </c>
      <c r="K1514" s="7" t="str">
        <f t="shared" si="170"/>
        <v>BAG</v>
      </c>
      <c r="L1514" s="7">
        <v>0</v>
      </c>
      <c r="M1514" s="7" t="s">
        <v>2609</v>
      </c>
      <c r="N1514" s="7">
        <f>_xlfn.XLOOKUP(A1514,[1]SKU!$A:$A,[1]SKU!$Z:$Z)</f>
        <v>250000</v>
      </c>
    </row>
    <row r="1515" spans="1:14">
      <c r="A1515" s="1" t="s">
        <v>1822</v>
      </c>
      <c r="B1515" s="2" t="s">
        <v>3</v>
      </c>
      <c r="C1515" s="2" t="s">
        <v>81</v>
      </c>
      <c r="D1515" s="2" t="s">
        <v>1823</v>
      </c>
      <c r="E1515" s="7" t="str">
        <f t="shared" si="164"/>
        <v>GOR</v>
      </c>
      <c r="F1515" s="7" t="str">
        <f t="shared" si="165"/>
        <v>MEN</v>
      </c>
      <c r="G1515" s="7" t="str">
        <f t="shared" si="166"/>
        <v>TSP</v>
      </c>
      <c r="H1515" s="7" t="str">
        <f t="shared" si="167"/>
        <v>ONE</v>
      </c>
      <c r="I1515" s="7" t="str">
        <f t="shared" si="168"/>
        <v>JUN</v>
      </c>
      <c r="J1515" s="7" t="str">
        <f t="shared" si="169"/>
        <v>JBG</v>
      </c>
      <c r="K1515" s="7" t="str">
        <f t="shared" si="170"/>
        <v>M</v>
      </c>
      <c r="L1515" s="7" t="s">
        <v>2085</v>
      </c>
      <c r="M1515" s="7" t="s">
        <v>4462</v>
      </c>
      <c r="N1515" s="7">
        <f>_xlfn.XLOOKUP(A1515,[1]SKU!$A:$A,[1]SKU!$Z:$Z)</f>
        <v>990000</v>
      </c>
    </row>
    <row r="1516" spans="1:14">
      <c r="A1516" s="1" t="s">
        <v>1824</v>
      </c>
      <c r="B1516" s="2" t="s">
        <v>3</v>
      </c>
      <c r="C1516" s="2" t="s">
        <v>154</v>
      </c>
      <c r="D1516" s="2" t="s">
        <v>1825</v>
      </c>
      <c r="E1516" s="7" t="str">
        <f t="shared" si="164"/>
        <v>GCL</v>
      </c>
      <c r="F1516" s="7" t="str">
        <f t="shared" si="165"/>
        <v>WOM</v>
      </c>
      <c r="G1516" s="7" t="str">
        <f t="shared" si="166"/>
        <v>CRO</v>
      </c>
      <c r="H1516" s="7" t="str">
        <f t="shared" si="167"/>
        <v>ONE</v>
      </c>
      <c r="I1516" s="7" t="str">
        <f t="shared" si="168"/>
        <v>TNT</v>
      </c>
      <c r="J1516" s="7" t="str">
        <f t="shared" si="169"/>
        <v>WHI</v>
      </c>
      <c r="K1516" s="7" t="str">
        <f t="shared" si="170"/>
        <v>L</v>
      </c>
      <c r="L1516" s="7" t="s">
        <v>2453</v>
      </c>
      <c r="M1516" s="7" t="s">
        <v>4463</v>
      </c>
      <c r="N1516" s="7">
        <f>_xlfn.XLOOKUP(A1516,[1]SKU!$A:$A,[1]SKU!$Z:$Z)</f>
        <v>1190000</v>
      </c>
    </row>
    <row r="1517" spans="1:14">
      <c r="A1517" s="1" t="s">
        <v>6386</v>
      </c>
      <c r="B1517" s="2" t="s">
        <v>4472</v>
      </c>
      <c r="C1517" s="2" t="s">
        <v>1032</v>
      </c>
      <c r="D1517" s="2" t="s">
        <v>6387</v>
      </c>
      <c r="E1517" s="7" t="str">
        <f t="shared" si="164"/>
        <v>DSP</v>
      </c>
      <c r="F1517" s="7" t="str">
        <f t="shared" si="165"/>
        <v>UNI</v>
      </c>
      <c r="G1517" s="7" t="str">
        <f t="shared" si="166"/>
        <v>FWR</v>
      </c>
      <c r="H1517" s="7" t="str">
        <f t="shared" si="167"/>
        <v>LES</v>
      </c>
      <c r="I1517" s="7" t="str">
        <f t="shared" si="168"/>
        <v>PEN</v>
      </c>
      <c r="J1517" s="7" t="str">
        <f t="shared" si="169"/>
        <v>MBE</v>
      </c>
      <c r="K1517" s="7" t="str">
        <f t="shared" si="170"/>
        <v>40</v>
      </c>
      <c r="L1517" s="7">
        <v>0</v>
      </c>
      <c r="M1517" s="7" t="s">
        <v>2609</v>
      </c>
      <c r="N1517" s="7">
        <f>_xlfn.XLOOKUP(A1517,[1]SKU!$A:$A,[1]SKU!$Z:$Z)</f>
        <v>7800000</v>
      </c>
    </row>
    <row r="1518" spans="1:14">
      <c r="A1518" s="1" t="s">
        <v>1826</v>
      </c>
      <c r="B1518" s="2" t="s">
        <v>3</v>
      </c>
      <c r="C1518" s="2" t="s">
        <v>38</v>
      </c>
      <c r="D1518" s="2" t="s">
        <v>1827</v>
      </c>
      <c r="E1518" s="7" t="str">
        <f t="shared" si="164"/>
        <v>GPI</v>
      </c>
      <c r="F1518" s="7" t="str">
        <f t="shared" si="165"/>
        <v>MEN</v>
      </c>
      <c r="G1518" s="7" t="str">
        <f t="shared" si="166"/>
        <v>POL</v>
      </c>
      <c r="H1518" s="7" t="str">
        <f t="shared" si="167"/>
        <v>RIB</v>
      </c>
      <c r="I1518" s="7" t="str">
        <f t="shared" si="168"/>
        <v>LOG</v>
      </c>
      <c r="J1518" s="7" t="str">
        <f t="shared" si="169"/>
        <v>AGD</v>
      </c>
      <c r="K1518" s="7" t="str">
        <f t="shared" si="170"/>
        <v>M</v>
      </c>
      <c r="L1518" s="7" t="s">
        <v>1995</v>
      </c>
      <c r="M1518" s="7" t="s">
        <v>4468</v>
      </c>
      <c r="N1518" s="7">
        <f>_xlfn.XLOOKUP(A1518,[1]SKU!$A:$A,[1]SKU!$Z:$Z)</f>
        <v>1390000</v>
      </c>
    </row>
    <row r="1519" spans="1:14">
      <c r="A1519" s="1" t="s">
        <v>6388</v>
      </c>
      <c r="B1519" s="2" t="s">
        <v>4472</v>
      </c>
      <c r="C1519" s="2" t="s">
        <v>6389</v>
      </c>
      <c r="D1519" s="2" t="s">
        <v>6390</v>
      </c>
      <c r="E1519" s="7" t="str">
        <f t="shared" si="164"/>
        <v>EDE</v>
      </c>
      <c r="F1519" s="7" t="str">
        <f t="shared" si="165"/>
        <v>UNI</v>
      </c>
      <c r="G1519" s="7" t="str">
        <f t="shared" si="166"/>
        <v>BAG</v>
      </c>
      <c r="H1519" s="7" t="str">
        <f t="shared" si="167"/>
        <v>CLU</v>
      </c>
      <c r="I1519" s="7" t="str">
        <f t="shared" si="168"/>
        <v>MAN</v>
      </c>
      <c r="J1519" s="7" t="str">
        <f t="shared" si="169"/>
        <v>MIX</v>
      </c>
      <c r="K1519" s="7" t="str">
        <f t="shared" si="170"/>
        <v>L</v>
      </c>
      <c r="L1519" s="7">
        <v>0</v>
      </c>
      <c r="M1519" s="7" t="s">
        <v>2609</v>
      </c>
      <c r="N1519" s="7">
        <f>_xlfn.XLOOKUP(A1519,[1]SKU!$A:$A,[1]SKU!$Z:$Z)</f>
        <v>395000</v>
      </c>
    </row>
    <row r="1520" spans="1:14">
      <c r="A1520" s="1" t="s">
        <v>6391</v>
      </c>
      <c r="B1520" s="2" t="s">
        <v>4472</v>
      </c>
      <c r="C1520" s="2" t="s">
        <v>6392</v>
      </c>
      <c r="D1520" s="2" t="s">
        <v>6393</v>
      </c>
      <c r="E1520" s="7" t="str">
        <f t="shared" si="164"/>
        <v>LAN</v>
      </c>
      <c r="F1520" s="7" t="str">
        <f t="shared" si="165"/>
        <v>UNI</v>
      </c>
      <c r="G1520" s="7" t="str">
        <f t="shared" si="166"/>
        <v>HWR</v>
      </c>
      <c r="H1520" s="7" t="str">
        <f t="shared" si="167"/>
        <v>SC1</v>
      </c>
      <c r="I1520" s="7" t="str">
        <f t="shared" si="168"/>
        <v>TCL</v>
      </c>
      <c r="J1520" s="7" t="str">
        <f t="shared" si="169"/>
        <v>YEL</v>
      </c>
      <c r="K1520" s="7" t="str">
        <f t="shared" si="170"/>
        <v>90x90</v>
      </c>
      <c r="L1520" s="7">
        <v>0</v>
      </c>
      <c r="M1520" s="7" t="s">
        <v>2609</v>
      </c>
      <c r="N1520" s="7">
        <f>_xlfn.XLOOKUP(A1520,[1]SKU!$A:$A,[1]SKU!$Z:$Z)</f>
        <v>849000</v>
      </c>
    </row>
    <row r="1521" spans="1:14">
      <c r="A1521" s="1" t="s">
        <v>1828</v>
      </c>
      <c r="B1521" s="2" t="s">
        <v>3</v>
      </c>
      <c r="C1521" s="2" t="s">
        <v>447</v>
      </c>
      <c r="D1521" s="2" t="s">
        <v>1829</v>
      </c>
      <c r="E1521" s="7" t="str">
        <f t="shared" si="164"/>
        <v>GBA</v>
      </c>
      <c r="F1521" s="7" t="str">
        <f t="shared" si="165"/>
        <v>MEN</v>
      </c>
      <c r="G1521" s="7" t="str">
        <f t="shared" si="166"/>
        <v>TSS</v>
      </c>
      <c r="H1521" s="7" t="str">
        <f t="shared" si="167"/>
        <v>ONE</v>
      </c>
      <c r="I1521" s="7" t="str">
        <f t="shared" si="168"/>
        <v>GVT</v>
      </c>
      <c r="J1521" s="7" t="str">
        <f t="shared" si="169"/>
        <v>WHI</v>
      </c>
      <c r="K1521" s="7" t="str">
        <f t="shared" si="170"/>
        <v>XXL</v>
      </c>
      <c r="L1521" s="7" t="s">
        <v>2018</v>
      </c>
      <c r="M1521" s="7" t="s">
        <v>4462</v>
      </c>
      <c r="N1521" s="7">
        <f>_xlfn.XLOOKUP(A1521,[1]SKU!$A:$A,[1]SKU!$Z:$Z)</f>
        <v>710000</v>
      </c>
    </row>
    <row r="1522" spans="1:14">
      <c r="A1522" s="1" t="s">
        <v>1830</v>
      </c>
      <c r="B1522" s="2" t="s">
        <v>3</v>
      </c>
      <c r="C1522" s="2" t="s">
        <v>33</v>
      </c>
      <c r="D1522" s="2" t="s">
        <v>1831</v>
      </c>
      <c r="E1522" s="7" t="str">
        <f t="shared" si="164"/>
        <v>GBA</v>
      </c>
      <c r="F1522" s="7" t="str">
        <f t="shared" si="165"/>
        <v>MEN</v>
      </c>
      <c r="G1522" s="7" t="str">
        <f t="shared" si="166"/>
        <v>TSS</v>
      </c>
      <c r="H1522" s="7" t="str">
        <f t="shared" si="167"/>
        <v>ONE</v>
      </c>
      <c r="I1522" s="7" t="str">
        <f t="shared" si="168"/>
        <v>VTM</v>
      </c>
      <c r="J1522" s="7" t="str">
        <f t="shared" si="169"/>
        <v>GRE</v>
      </c>
      <c r="K1522" s="7" t="str">
        <f t="shared" si="170"/>
        <v>M</v>
      </c>
      <c r="L1522" s="7" t="s">
        <v>2018</v>
      </c>
      <c r="M1522" s="7" t="s">
        <v>4462</v>
      </c>
      <c r="N1522" s="7">
        <f>_xlfn.XLOOKUP(A1522,[1]SKU!$A:$A,[1]SKU!$Z:$Z)</f>
        <v>710000</v>
      </c>
    </row>
    <row r="1523" spans="1:14">
      <c r="A1523" s="1" t="s">
        <v>1832</v>
      </c>
      <c r="B1523" s="2" t="s">
        <v>3</v>
      </c>
      <c r="C1523" s="2" t="s">
        <v>137</v>
      </c>
      <c r="D1523" s="2" t="s">
        <v>1833</v>
      </c>
      <c r="E1523" s="7" t="str">
        <f t="shared" si="164"/>
        <v>GOR</v>
      </c>
      <c r="F1523" s="7" t="str">
        <f t="shared" si="165"/>
        <v>MEN</v>
      </c>
      <c r="G1523" s="7" t="str">
        <f t="shared" si="166"/>
        <v>TSS</v>
      </c>
      <c r="H1523" s="7" t="str">
        <f t="shared" si="167"/>
        <v>ONE</v>
      </c>
      <c r="I1523" s="7" t="str">
        <f t="shared" si="168"/>
        <v>HHA</v>
      </c>
      <c r="J1523" s="7" t="str">
        <f t="shared" si="169"/>
        <v>WHI</v>
      </c>
      <c r="K1523" s="7" t="str">
        <f t="shared" si="170"/>
        <v>L</v>
      </c>
      <c r="L1523" s="7" t="s">
        <v>2018</v>
      </c>
      <c r="M1523" s="7" t="s">
        <v>4462</v>
      </c>
      <c r="N1523" s="7">
        <f>_xlfn.XLOOKUP(A1523,[1]SKU!$A:$A,[1]SKU!$Z:$Z)</f>
        <v>990000</v>
      </c>
    </row>
    <row r="1524" spans="1:14">
      <c r="A1524" s="1" t="s">
        <v>1834</v>
      </c>
      <c r="B1524" s="2" t="s">
        <v>19</v>
      </c>
      <c r="C1524" s="2" t="s">
        <v>455</v>
      </c>
      <c r="D1524" s="2" t="s">
        <v>1835</v>
      </c>
      <c r="E1524" s="7" t="str">
        <f t="shared" si="164"/>
        <v>OTH</v>
      </c>
      <c r="F1524" s="7" t="str">
        <f t="shared" si="165"/>
        <v>UNI</v>
      </c>
      <c r="G1524" s="7" t="str">
        <f t="shared" si="166"/>
        <v>SOU</v>
      </c>
      <c r="H1524" s="7" t="str">
        <f t="shared" si="167"/>
        <v>HFS</v>
      </c>
      <c r="I1524" s="7" t="str">
        <f t="shared" si="168"/>
        <v>RTE</v>
      </c>
      <c r="J1524" s="7" t="str">
        <f t="shared" si="169"/>
        <v>GRN</v>
      </c>
      <c r="K1524" s="7" t="str">
        <f t="shared" si="170"/>
        <v>0</v>
      </c>
      <c r="L1524" s="7">
        <v>0</v>
      </c>
      <c r="M1524" s="7" t="s">
        <v>2609</v>
      </c>
      <c r="N1524" s="7">
        <f>_xlfn.XLOOKUP(A1524,[1]SKU!$A:$A,[1]SKU!$Z:$Z)</f>
        <v>355000</v>
      </c>
    </row>
    <row r="1525" spans="1:14">
      <c r="A1525" s="1" t="s">
        <v>6394</v>
      </c>
      <c r="B1525" s="2" t="s">
        <v>4472</v>
      </c>
      <c r="C1525" s="2" t="s">
        <v>216</v>
      </c>
      <c r="D1525" s="2" t="s">
        <v>6395</v>
      </c>
      <c r="E1525" s="7" t="str">
        <f t="shared" si="164"/>
        <v>DSP</v>
      </c>
      <c r="F1525" s="7" t="str">
        <f t="shared" si="165"/>
        <v>UNI</v>
      </c>
      <c r="G1525" s="7" t="str">
        <f t="shared" si="166"/>
        <v>FWR</v>
      </c>
      <c r="H1525" s="7" t="str">
        <f t="shared" si="167"/>
        <v>LES</v>
      </c>
      <c r="I1525" s="7" t="str">
        <f t="shared" si="168"/>
        <v>BOX</v>
      </c>
      <c r="J1525" s="7" t="str">
        <f t="shared" si="169"/>
        <v>BUR</v>
      </c>
      <c r="K1525" s="7" t="str">
        <f t="shared" si="170"/>
        <v>36</v>
      </c>
      <c r="L1525" s="7">
        <v>0</v>
      </c>
      <c r="M1525" s="7" t="s">
        <v>2609</v>
      </c>
      <c r="N1525" s="7">
        <f>_xlfn.XLOOKUP(A1525,[1]SKU!$A:$A,[1]SKU!$Z:$Z)</f>
        <v>6200000</v>
      </c>
    </row>
    <row r="1526" spans="1:14">
      <c r="A1526" s="1" t="s">
        <v>6396</v>
      </c>
      <c r="B1526" s="2" t="s">
        <v>4472</v>
      </c>
      <c r="C1526" s="2" t="s">
        <v>1837</v>
      </c>
      <c r="D1526" s="2" t="s">
        <v>6397</v>
      </c>
      <c r="E1526" s="7" t="str">
        <f t="shared" si="164"/>
        <v>SHI</v>
      </c>
      <c r="F1526" s="7" t="str">
        <f t="shared" si="165"/>
        <v>UNI</v>
      </c>
      <c r="G1526" s="7" t="str">
        <f t="shared" si="166"/>
        <v>FNB</v>
      </c>
      <c r="H1526" s="7" t="str">
        <f t="shared" si="167"/>
        <v>CFB</v>
      </c>
      <c r="I1526" s="7" t="str">
        <f t="shared" si="168"/>
        <v>PBO</v>
      </c>
      <c r="J1526" s="7" t="str">
        <f t="shared" si="169"/>
        <v>BRO</v>
      </c>
      <c r="K1526" s="7" t="str">
        <f t="shared" si="170"/>
        <v>CAN</v>
      </c>
      <c r="L1526" s="7">
        <v>0</v>
      </c>
      <c r="M1526" s="7" t="s">
        <v>2609</v>
      </c>
      <c r="N1526" s="7">
        <f>_xlfn.XLOOKUP(A1526,[1]SKU!$A:$A,[1]SKU!$Z:$Z)</f>
        <v>250000</v>
      </c>
    </row>
    <row r="1527" spans="1:14">
      <c r="A1527" s="1" t="s">
        <v>6398</v>
      </c>
      <c r="B1527" s="2" t="s">
        <v>4481</v>
      </c>
      <c r="C1527" s="2" t="s">
        <v>1838</v>
      </c>
      <c r="D1527" s="2" t="s">
        <v>6399</v>
      </c>
      <c r="E1527" s="7" t="str">
        <f t="shared" si="164"/>
        <v>PAS</v>
      </c>
      <c r="F1527" s="7" t="str">
        <f t="shared" si="165"/>
        <v>UNI</v>
      </c>
      <c r="G1527" s="7" t="str">
        <f t="shared" si="166"/>
        <v>ART</v>
      </c>
      <c r="H1527" s="7" t="str">
        <f t="shared" si="167"/>
        <v>ART</v>
      </c>
      <c r="I1527" s="7" t="str">
        <f t="shared" si="168"/>
        <v>CP2</v>
      </c>
      <c r="J1527" s="7" t="str">
        <f t="shared" si="169"/>
        <v>MIX</v>
      </c>
      <c r="K1527" s="7" t="str">
        <f t="shared" si="170"/>
        <v>A3</v>
      </c>
      <c r="L1527" s="7">
        <v>0</v>
      </c>
      <c r="M1527" s="7" t="s">
        <v>2609</v>
      </c>
      <c r="N1527" s="7">
        <f>_xlfn.XLOOKUP(A1527,[1]SKU!$A:$A,[1]SKU!$Z:$Z)</f>
        <v>5000000</v>
      </c>
    </row>
    <row r="1528" spans="1:14">
      <c r="A1528" s="1" t="s">
        <v>6400</v>
      </c>
      <c r="B1528" s="2" t="s">
        <v>4472</v>
      </c>
      <c r="C1528" s="2" t="s">
        <v>40</v>
      </c>
      <c r="D1528" s="2" t="s">
        <v>6401</v>
      </c>
      <c r="E1528" s="7" t="str">
        <f t="shared" si="164"/>
        <v>DSP</v>
      </c>
      <c r="F1528" s="7" t="str">
        <f t="shared" si="165"/>
        <v>UNI</v>
      </c>
      <c r="G1528" s="7" t="str">
        <f t="shared" si="166"/>
        <v>FWR</v>
      </c>
      <c r="H1528" s="7" t="str">
        <f t="shared" si="167"/>
        <v>FLA</v>
      </c>
      <c r="I1528" s="7" t="str">
        <f t="shared" si="168"/>
        <v>CO1</v>
      </c>
      <c r="J1528" s="7" t="str">
        <f t="shared" si="169"/>
        <v>RED</v>
      </c>
      <c r="K1528" s="7" t="str">
        <f t="shared" si="170"/>
        <v>38</v>
      </c>
      <c r="L1528" s="7">
        <v>0</v>
      </c>
      <c r="M1528" s="7" t="s">
        <v>2609</v>
      </c>
      <c r="N1528" s="7">
        <f>_xlfn.XLOOKUP(A1528,[1]SKU!$A:$A,[1]SKU!$Z:$Z)</f>
        <v>5950000</v>
      </c>
    </row>
    <row r="1529" spans="1:14">
      <c r="A1529" s="1" t="s">
        <v>6402</v>
      </c>
      <c r="B1529" s="2" t="s">
        <v>4472</v>
      </c>
      <c r="C1529" s="2" t="s">
        <v>1840</v>
      </c>
      <c r="D1529" s="2" t="s">
        <v>6403</v>
      </c>
      <c r="E1529" s="7" t="str">
        <f t="shared" si="164"/>
        <v>SHI</v>
      </c>
      <c r="F1529" s="7" t="str">
        <f t="shared" si="165"/>
        <v>UNI</v>
      </c>
      <c r="G1529" s="7" t="str">
        <f t="shared" si="166"/>
        <v>FNB</v>
      </c>
      <c r="H1529" s="7" t="str">
        <f t="shared" si="167"/>
        <v>CFP</v>
      </c>
      <c r="I1529" s="7" t="str">
        <f t="shared" si="168"/>
        <v>VNC</v>
      </c>
      <c r="J1529" s="7" t="str">
        <f t="shared" si="169"/>
        <v>WHI</v>
      </c>
      <c r="K1529" s="7" t="str">
        <f t="shared" si="170"/>
        <v>BOX</v>
      </c>
      <c r="L1529" s="7">
        <v>0</v>
      </c>
      <c r="M1529" s="7" t="s">
        <v>2609</v>
      </c>
      <c r="N1529" s="7">
        <f>_xlfn.XLOOKUP(A1529,[1]SKU!$A:$A,[1]SKU!$Z:$Z)</f>
        <v>230000</v>
      </c>
    </row>
    <row r="1530" spans="1:14">
      <c r="A1530" s="1" t="s">
        <v>1841</v>
      </c>
      <c r="B1530" s="2" t="s">
        <v>3</v>
      </c>
      <c r="C1530" s="2" t="s">
        <v>78</v>
      </c>
      <c r="D1530" s="2" t="s">
        <v>1842</v>
      </c>
      <c r="E1530" s="7" t="str">
        <f t="shared" si="164"/>
        <v>GBA</v>
      </c>
      <c r="F1530" s="7" t="str">
        <f t="shared" si="165"/>
        <v>MEN</v>
      </c>
      <c r="G1530" s="7" t="str">
        <f t="shared" si="166"/>
        <v>TSS</v>
      </c>
      <c r="H1530" s="7" t="str">
        <f t="shared" si="167"/>
        <v>ONE</v>
      </c>
      <c r="I1530" s="7" t="str">
        <f t="shared" si="168"/>
        <v>STE</v>
      </c>
      <c r="J1530" s="7" t="str">
        <f t="shared" si="169"/>
        <v>WHI</v>
      </c>
      <c r="K1530" s="7" t="str">
        <f t="shared" si="170"/>
        <v>XXL</v>
      </c>
      <c r="L1530" s="7" t="s">
        <v>2018</v>
      </c>
      <c r="M1530" s="7" t="s">
        <v>4462</v>
      </c>
      <c r="N1530" s="7">
        <f>_xlfn.XLOOKUP(A1530,[1]SKU!$A:$A,[1]SKU!$Z:$Z)</f>
        <v>710000</v>
      </c>
    </row>
    <row r="1531" spans="1:14">
      <c r="A1531" s="1" t="s">
        <v>6404</v>
      </c>
      <c r="B1531" s="2" t="s">
        <v>4472</v>
      </c>
      <c r="C1531" s="2" t="s">
        <v>51</v>
      </c>
      <c r="D1531" s="2" t="s">
        <v>6405</v>
      </c>
      <c r="E1531" s="7" t="str">
        <f t="shared" si="164"/>
        <v>DSP</v>
      </c>
      <c r="F1531" s="7" t="str">
        <f t="shared" si="165"/>
        <v>UNI</v>
      </c>
      <c r="G1531" s="7" t="str">
        <f t="shared" si="166"/>
        <v>BAG</v>
      </c>
      <c r="H1531" s="7" t="str">
        <f t="shared" si="167"/>
        <v>CHR</v>
      </c>
      <c r="I1531" s="7" t="str">
        <f t="shared" si="168"/>
        <v>SCH</v>
      </c>
      <c r="J1531" s="7" t="str">
        <f t="shared" si="169"/>
        <v>RED</v>
      </c>
      <c r="K1531" s="7" t="str">
        <f t="shared" si="170"/>
        <v>0</v>
      </c>
      <c r="L1531" s="7">
        <v>0</v>
      </c>
      <c r="M1531" s="7" t="s">
        <v>2609</v>
      </c>
      <c r="N1531" s="7">
        <f>_xlfn.XLOOKUP(A1531,[1]SKU!$A:$A,[1]SKU!$Z:$Z)</f>
        <v>1150000</v>
      </c>
    </row>
    <row r="1532" spans="1:14">
      <c r="A1532" s="1" t="s">
        <v>1843</v>
      </c>
      <c r="B1532" s="2" t="s">
        <v>19</v>
      </c>
      <c r="C1532" s="2" t="s">
        <v>306</v>
      </c>
      <c r="D1532" s="2" t="s">
        <v>1844</v>
      </c>
      <c r="E1532" s="7" t="str">
        <f t="shared" si="164"/>
        <v>OTH</v>
      </c>
      <c r="F1532" s="7" t="str">
        <f t="shared" si="165"/>
        <v>UNI</v>
      </c>
      <c r="G1532" s="7" t="str">
        <f t="shared" si="166"/>
        <v>BAG</v>
      </c>
      <c r="H1532" s="7" t="str">
        <f t="shared" si="167"/>
        <v>PCE</v>
      </c>
      <c r="I1532" s="7" t="str">
        <f t="shared" si="168"/>
        <v>PCE</v>
      </c>
      <c r="J1532" s="7" t="str">
        <f t="shared" si="169"/>
        <v>GPE</v>
      </c>
      <c r="K1532" s="7" t="str">
        <f t="shared" si="170"/>
        <v>0</v>
      </c>
      <c r="L1532" s="7">
        <v>0</v>
      </c>
      <c r="M1532" s="7" t="s">
        <v>2609</v>
      </c>
      <c r="N1532" s="7">
        <f>_xlfn.XLOOKUP(A1532,[1]SKU!$A:$A,[1]SKU!$Z:$Z)</f>
        <v>395000</v>
      </c>
    </row>
    <row r="1533" spans="1:14">
      <c r="A1533" s="1" t="s">
        <v>1845</v>
      </c>
      <c r="B1533" s="2" t="s">
        <v>19</v>
      </c>
      <c r="C1533" s="2" t="s">
        <v>383</v>
      </c>
      <c r="D1533" s="2" t="s">
        <v>1846</v>
      </c>
      <c r="E1533" s="7" t="str">
        <f t="shared" si="164"/>
        <v>OTH</v>
      </c>
      <c r="F1533" s="7" t="str">
        <f t="shared" si="165"/>
        <v>UNI</v>
      </c>
      <c r="G1533" s="7" t="str">
        <f t="shared" si="166"/>
        <v>SOU</v>
      </c>
      <c r="H1533" s="7" t="str">
        <f t="shared" si="167"/>
        <v>HFS</v>
      </c>
      <c r="I1533" s="7" t="str">
        <f t="shared" si="168"/>
        <v>HCT</v>
      </c>
      <c r="J1533" s="7" t="str">
        <f t="shared" si="169"/>
        <v>BLU</v>
      </c>
      <c r="K1533" s="7" t="str">
        <f t="shared" si="170"/>
        <v>0</v>
      </c>
      <c r="L1533" s="7">
        <v>0</v>
      </c>
      <c r="M1533" s="7" t="s">
        <v>2609</v>
      </c>
      <c r="N1533" s="7">
        <f>_xlfn.XLOOKUP(A1533,[1]SKU!$A:$A,[1]SKU!$Z:$Z)</f>
        <v>355000</v>
      </c>
    </row>
    <row r="1534" spans="1:14">
      <c r="A1534" s="1" t="s">
        <v>6406</v>
      </c>
      <c r="B1534" s="2" t="s">
        <v>69</v>
      </c>
      <c r="C1534" s="2" t="s">
        <v>1847</v>
      </c>
      <c r="D1534" s="2" t="s">
        <v>6407</v>
      </c>
      <c r="E1534" s="7" t="str">
        <f t="shared" si="164"/>
        <v>GCF</v>
      </c>
      <c r="F1534" s="7" t="str">
        <f t="shared" si="165"/>
        <v>UNI</v>
      </c>
      <c r="G1534" s="7" t="str">
        <f t="shared" si="166"/>
        <v>FNB</v>
      </c>
      <c r="H1534" s="7" t="str">
        <f t="shared" si="167"/>
        <v>CFO</v>
      </c>
      <c r="I1534" s="7" t="str">
        <f t="shared" si="168"/>
        <v>RPK</v>
      </c>
      <c r="J1534" s="7" t="str">
        <f t="shared" si="169"/>
        <v>MIX</v>
      </c>
      <c r="K1534" s="7" t="str">
        <f t="shared" si="170"/>
        <v>0</v>
      </c>
      <c r="L1534" s="7">
        <v>0</v>
      </c>
      <c r="M1534" s="7" t="s">
        <v>2609</v>
      </c>
      <c r="N1534" s="7">
        <f>_xlfn.XLOOKUP(A1534,[1]SKU!$A:$A,[1]SKU!$Z:$Z)</f>
        <v>89000</v>
      </c>
    </row>
    <row r="1535" spans="1:14">
      <c r="A1535" s="1" t="s">
        <v>6408</v>
      </c>
      <c r="B1535" s="2" t="s">
        <v>4472</v>
      </c>
      <c r="C1535" s="2" t="s">
        <v>6409</v>
      </c>
      <c r="D1535" s="2" t="s">
        <v>6410</v>
      </c>
      <c r="E1535" s="7" t="str">
        <f t="shared" si="164"/>
        <v>LAN</v>
      </c>
      <c r="F1535" s="7" t="str">
        <f t="shared" si="165"/>
        <v>UNI</v>
      </c>
      <c r="G1535" s="7" t="str">
        <f t="shared" si="166"/>
        <v>HWR</v>
      </c>
      <c r="H1535" s="7" t="str">
        <f t="shared" si="167"/>
        <v>SC2</v>
      </c>
      <c r="I1535" s="7" t="str">
        <f t="shared" si="168"/>
        <v>HNI</v>
      </c>
      <c r="J1535" s="7" t="str">
        <f t="shared" si="169"/>
        <v>GRN</v>
      </c>
      <c r="K1535" s="7" t="str">
        <f t="shared" si="170"/>
        <v>90x90</v>
      </c>
      <c r="L1535" s="7">
        <v>0</v>
      </c>
      <c r="M1535" s="7" t="s">
        <v>2609</v>
      </c>
      <c r="N1535" s="7">
        <f>_xlfn.XLOOKUP(A1535,[1]SKU!$A:$A,[1]SKU!$Z:$Z)</f>
        <v>989000</v>
      </c>
    </row>
    <row r="1536" spans="1:14">
      <c r="A1536" s="1" t="s">
        <v>6411</v>
      </c>
      <c r="B1536" s="2" t="s">
        <v>4472</v>
      </c>
      <c r="C1536" s="2" t="s">
        <v>819</v>
      </c>
      <c r="D1536" s="2" t="s">
        <v>6412</v>
      </c>
      <c r="E1536" s="7" t="str">
        <f t="shared" si="164"/>
        <v>DSP</v>
      </c>
      <c r="F1536" s="7" t="str">
        <f t="shared" si="165"/>
        <v>UNI</v>
      </c>
      <c r="G1536" s="7" t="str">
        <f t="shared" si="166"/>
        <v>BAG</v>
      </c>
      <c r="H1536" s="7" t="str">
        <f t="shared" si="167"/>
        <v>CLU</v>
      </c>
      <c r="I1536" s="7" t="str">
        <f t="shared" si="168"/>
        <v>BAZ</v>
      </c>
      <c r="J1536" s="7" t="str">
        <f t="shared" si="169"/>
        <v>SLR</v>
      </c>
      <c r="K1536" s="7" t="str">
        <f t="shared" si="170"/>
        <v>0</v>
      </c>
      <c r="L1536" s="7">
        <v>0</v>
      </c>
      <c r="M1536" s="7" t="s">
        <v>2609</v>
      </c>
      <c r="N1536" s="7">
        <f>_xlfn.XLOOKUP(A1536,[1]SKU!$A:$A,[1]SKU!$Z:$Z)</f>
        <v>1150000</v>
      </c>
    </row>
    <row r="1537" spans="1:14">
      <c r="A1537" s="1" t="s">
        <v>6413</v>
      </c>
      <c r="B1537" s="2" t="s">
        <v>4472</v>
      </c>
      <c r="C1537" s="2" t="s">
        <v>100</v>
      </c>
      <c r="D1537" s="2" t="s">
        <v>6414</v>
      </c>
      <c r="E1537" s="7" t="str">
        <f t="shared" si="164"/>
        <v>PSD</v>
      </c>
      <c r="F1537" s="7" t="str">
        <f t="shared" si="165"/>
        <v>UNI</v>
      </c>
      <c r="G1537" s="7" t="str">
        <f t="shared" si="166"/>
        <v>SOU</v>
      </c>
      <c r="H1537" s="7" t="str">
        <f t="shared" si="167"/>
        <v>DEC</v>
      </c>
      <c r="I1537" s="7" t="str">
        <f t="shared" si="168"/>
        <v>LBA</v>
      </c>
      <c r="J1537" s="7" t="str">
        <f t="shared" si="169"/>
        <v>CRE</v>
      </c>
      <c r="K1537" s="7" t="str">
        <f t="shared" si="170"/>
        <v>55</v>
      </c>
      <c r="L1537" s="7">
        <v>0</v>
      </c>
      <c r="M1537" s="7" t="s">
        <v>2609</v>
      </c>
      <c r="N1537" s="7">
        <f>_xlfn.XLOOKUP(A1537,[1]SKU!$A:$A,[1]SKU!$Z:$Z)</f>
        <v>3650000</v>
      </c>
    </row>
    <row r="1538" spans="1:14">
      <c r="A1538" s="1" t="s">
        <v>6415</v>
      </c>
      <c r="B1538" s="2" t="s">
        <v>4472</v>
      </c>
      <c r="C1538" s="2" t="s">
        <v>513</v>
      </c>
      <c r="D1538" s="2" t="s">
        <v>6416</v>
      </c>
      <c r="E1538" s="7" t="str">
        <f t="shared" ref="E1538:E1601" si="171">_xlfn.TEXTBEFORE(_xlfn.TEXTAFTER(D1538,"-"),"-")</f>
        <v>DSP</v>
      </c>
      <c r="F1538" s="7" t="str">
        <f t="shared" si="165"/>
        <v>UNI</v>
      </c>
      <c r="G1538" s="7" t="str">
        <f t="shared" si="166"/>
        <v>HDR</v>
      </c>
      <c r="H1538" s="7" t="str">
        <f t="shared" si="167"/>
        <v>SAS</v>
      </c>
      <c r="I1538" s="7" t="str">
        <f t="shared" si="168"/>
        <v>DEL</v>
      </c>
      <c r="J1538" s="7" t="str">
        <f t="shared" si="169"/>
        <v>BLK</v>
      </c>
      <c r="K1538" s="7" t="str">
        <f t="shared" si="170"/>
        <v>0</v>
      </c>
      <c r="L1538" s="7">
        <v>0</v>
      </c>
      <c r="M1538" s="7" t="s">
        <v>2609</v>
      </c>
      <c r="N1538" s="7">
        <f>_xlfn.XLOOKUP(A1538,[1]SKU!$A:$A,[1]SKU!$Z:$Z)</f>
        <v>1400000</v>
      </c>
    </row>
    <row r="1539" spans="1:14">
      <c r="A1539" s="1" t="s">
        <v>6417</v>
      </c>
      <c r="B1539" s="2" t="s">
        <v>4472</v>
      </c>
      <c r="C1539" s="2" t="s">
        <v>1063</v>
      </c>
      <c r="D1539" s="2" t="s">
        <v>6418</v>
      </c>
      <c r="E1539" s="7" t="str">
        <f t="shared" si="171"/>
        <v>DSP</v>
      </c>
      <c r="F1539" s="7" t="str">
        <f t="shared" si="165"/>
        <v>UNI</v>
      </c>
      <c r="G1539" s="7" t="str">
        <f t="shared" si="166"/>
        <v>HDR</v>
      </c>
      <c r="H1539" s="7" t="str">
        <f t="shared" si="167"/>
        <v>TRA</v>
      </c>
      <c r="I1539" s="7" t="str">
        <f t="shared" si="168"/>
        <v>ST1</v>
      </c>
      <c r="J1539" s="7" t="str">
        <f t="shared" si="169"/>
        <v>MBE</v>
      </c>
      <c r="K1539" s="7" t="str">
        <f t="shared" si="170"/>
        <v>0</v>
      </c>
      <c r="L1539" s="7">
        <v>0</v>
      </c>
      <c r="M1539" s="7" t="s">
        <v>2609</v>
      </c>
      <c r="N1539" s="7">
        <f>_xlfn.XLOOKUP(A1539,[1]SKU!$A:$A,[1]SKU!$Z:$Z)</f>
        <v>2350000</v>
      </c>
    </row>
    <row r="1540" spans="1:14">
      <c r="A1540" s="1" t="s">
        <v>1848</v>
      </c>
      <c r="B1540" s="2" t="s">
        <v>3</v>
      </c>
      <c r="C1540" s="2" t="s">
        <v>509</v>
      </c>
      <c r="D1540" s="2" t="s">
        <v>1849</v>
      </c>
      <c r="E1540" s="7" t="str">
        <f t="shared" si="171"/>
        <v>GOR</v>
      </c>
      <c r="F1540" s="7" t="str">
        <f t="shared" si="165"/>
        <v>MEN</v>
      </c>
      <c r="G1540" s="7" t="str">
        <f t="shared" si="166"/>
        <v>TSS</v>
      </c>
      <c r="H1540" s="7" t="str">
        <f t="shared" si="167"/>
        <v>HNE</v>
      </c>
      <c r="I1540" s="7" t="str">
        <f t="shared" si="168"/>
        <v>FPC</v>
      </c>
      <c r="J1540" s="7" t="str">
        <f t="shared" si="169"/>
        <v>BDE</v>
      </c>
      <c r="K1540" s="7" t="str">
        <f t="shared" si="170"/>
        <v>XXL</v>
      </c>
      <c r="L1540" s="7" t="s">
        <v>2018</v>
      </c>
      <c r="M1540" s="7" t="s">
        <v>4462</v>
      </c>
      <c r="N1540" s="7">
        <f>_xlfn.XLOOKUP(A1540,[1]SKU!$A:$A,[1]SKU!$Z:$Z)</f>
        <v>1190000</v>
      </c>
    </row>
    <row r="1541" spans="1:14">
      <c r="A1541" s="1" t="s">
        <v>1850</v>
      </c>
      <c r="B1541" s="2" t="s">
        <v>3</v>
      </c>
      <c r="C1541" s="2" t="s">
        <v>303</v>
      </c>
      <c r="D1541" s="2" t="s">
        <v>1851</v>
      </c>
      <c r="E1541" s="7" t="str">
        <f t="shared" si="171"/>
        <v>GOR</v>
      </c>
      <c r="F1541" s="7" t="str">
        <f t="shared" si="165"/>
        <v>MEN</v>
      </c>
      <c r="G1541" s="7" t="str">
        <f t="shared" si="166"/>
        <v>TSS</v>
      </c>
      <c r="H1541" s="7" t="str">
        <f t="shared" si="167"/>
        <v>ONE</v>
      </c>
      <c r="I1541" s="7" t="str">
        <f t="shared" si="168"/>
        <v>STE</v>
      </c>
      <c r="J1541" s="7" t="str">
        <f t="shared" si="169"/>
        <v>WHI</v>
      </c>
      <c r="K1541" s="7" t="str">
        <f t="shared" si="170"/>
        <v>M</v>
      </c>
      <c r="L1541" s="7" t="s">
        <v>2018</v>
      </c>
      <c r="M1541" s="7" t="s">
        <v>4462</v>
      </c>
      <c r="N1541" s="7">
        <f>_xlfn.XLOOKUP(A1541,[1]SKU!$A:$A,[1]SKU!$Z:$Z)</f>
        <v>790000</v>
      </c>
    </row>
    <row r="1542" spans="1:14">
      <c r="A1542" s="1" t="s">
        <v>6419</v>
      </c>
      <c r="B1542" s="2" t="s">
        <v>4472</v>
      </c>
      <c r="C1542" s="2" t="s">
        <v>208</v>
      </c>
      <c r="D1542" s="2" t="s">
        <v>6420</v>
      </c>
      <c r="E1542" s="7" t="str">
        <f t="shared" si="171"/>
        <v>DSP</v>
      </c>
      <c r="F1542" s="7" t="str">
        <f t="shared" si="165"/>
        <v>UNI</v>
      </c>
      <c r="G1542" s="7" t="str">
        <f t="shared" si="166"/>
        <v>FWR</v>
      </c>
      <c r="H1542" s="7" t="str">
        <f t="shared" si="167"/>
        <v>HDB</v>
      </c>
      <c r="I1542" s="7" t="str">
        <f t="shared" si="168"/>
        <v>STL</v>
      </c>
      <c r="J1542" s="7" t="str">
        <f t="shared" si="169"/>
        <v>HBN</v>
      </c>
      <c r="K1542" s="7" t="str">
        <f t="shared" si="170"/>
        <v>48</v>
      </c>
      <c r="L1542" s="7">
        <v>0</v>
      </c>
      <c r="M1542" s="7" t="s">
        <v>2609</v>
      </c>
      <c r="N1542" s="7">
        <f>_xlfn.XLOOKUP(A1542,[1]SKU!$A:$A,[1]SKU!$Z:$Z)</f>
        <v>7800000</v>
      </c>
    </row>
    <row r="1543" spans="1:14">
      <c r="A1543" s="1" t="s">
        <v>1852</v>
      </c>
      <c r="B1543" s="2" t="s">
        <v>3</v>
      </c>
      <c r="C1543" s="2" t="s">
        <v>23</v>
      </c>
      <c r="D1543" s="2" t="s">
        <v>1853</v>
      </c>
      <c r="E1543" s="7" t="str">
        <f t="shared" si="171"/>
        <v>GOR</v>
      </c>
      <c r="F1543" s="7" t="str">
        <f t="shared" si="165"/>
        <v>MEN</v>
      </c>
      <c r="G1543" s="7" t="str">
        <f t="shared" si="166"/>
        <v>TSS</v>
      </c>
      <c r="H1543" s="7" t="str">
        <f t="shared" si="167"/>
        <v>ONE</v>
      </c>
      <c r="I1543" s="7" t="str">
        <f t="shared" si="168"/>
        <v>URB</v>
      </c>
      <c r="J1543" s="7" t="str">
        <f t="shared" si="169"/>
        <v>JBG</v>
      </c>
      <c r="K1543" s="7" t="str">
        <f t="shared" si="170"/>
        <v>S</v>
      </c>
      <c r="L1543" s="7" t="s">
        <v>2018</v>
      </c>
      <c r="M1543" s="7" t="s">
        <v>4462</v>
      </c>
      <c r="N1543" s="7">
        <f>_xlfn.XLOOKUP(A1543,[1]SKU!$A:$A,[1]SKU!$Z:$Z)</f>
        <v>790000</v>
      </c>
    </row>
    <row r="1544" spans="1:14">
      <c r="A1544" s="1" t="s">
        <v>1854</v>
      </c>
      <c r="B1544" s="2" t="s">
        <v>3</v>
      </c>
      <c r="C1544" s="2" t="s">
        <v>38</v>
      </c>
      <c r="D1544" s="2" t="s">
        <v>1855</v>
      </c>
      <c r="E1544" s="7" t="str">
        <f t="shared" si="171"/>
        <v>GSP</v>
      </c>
      <c r="F1544" s="7" t="str">
        <f t="shared" si="165"/>
        <v>MEN</v>
      </c>
      <c r="G1544" s="7" t="str">
        <f t="shared" si="166"/>
        <v>POL</v>
      </c>
      <c r="H1544" s="7" t="str">
        <f t="shared" si="167"/>
        <v>MAN</v>
      </c>
      <c r="I1544" s="7" t="str">
        <f t="shared" si="168"/>
        <v>LOG</v>
      </c>
      <c r="J1544" s="7" t="str">
        <f t="shared" si="169"/>
        <v>BLK</v>
      </c>
      <c r="K1544" s="7" t="str">
        <f t="shared" si="170"/>
        <v>XL</v>
      </c>
      <c r="L1544" s="7" t="s">
        <v>1995</v>
      </c>
      <c r="M1544" s="7" t="s">
        <v>4468</v>
      </c>
      <c r="N1544" s="7">
        <f>_xlfn.XLOOKUP(A1544,[1]SKU!$A:$A,[1]SKU!$Z:$Z)</f>
        <v>1090000</v>
      </c>
    </row>
    <row r="1545" spans="1:14">
      <c r="A1545" s="1" t="s">
        <v>6421</v>
      </c>
      <c r="B1545" s="2" t="s">
        <v>4472</v>
      </c>
      <c r="C1545" s="2" t="s">
        <v>6422</v>
      </c>
      <c r="D1545" s="2" t="s">
        <v>6423</v>
      </c>
      <c r="E1545" s="7" t="str">
        <f t="shared" si="171"/>
        <v>LAN</v>
      </c>
      <c r="F1545" s="7" t="str">
        <f t="shared" si="165"/>
        <v>UNI</v>
      </c>
      <c r="G1545" s="7" t="str">
        <f t="shared" si="166"/>
        <v>HWR</v>
      </c>
      <c r="H1545" s="7" t="str">
        <f t="shared" si="167"/>
        <v>SC2</v>
      </c>
      <c r="I1545" s="7" t="str">
        <f t="shared" si="168"/>
        <v>SDT</v>
      </c>
      <c r="J1545" s="7" t="str">
        <f t="shared" si="169"/>
        <v>PIN</v>
      </c>
      <c r="K1545" s="7" t="str">
        <f t="shared" si="170"/>
        <v>70x70</v>
      </c>
      <c r="L1545" s="7">
        <v>0</v>
      </c>
      <c r="M1545" s="7" t="s">
        <v>2609</v>
      </c>
      <c r="N1545" s="7">
        <f>_xlfn.XLOOKUP(A1545,[1]SKU!$A:$A,[1]SKU!$Z:$Z)</f>
        <v>749000</v>
      </c>
    </row>
    <row r="1546" spans="1:14">
      <c r="A1546" s="1" t="s">
        <v>6424</v>
      </c>
      <c r="B1546" s="2" t="s">
        <v>4472</v>
      </c>
      <c r="C1546" s="2" t="s">
        <v>6425</v>
      </c>
      <c r="D1546" s="2" t="s">
        <v>6426</v>
      </c>
      <c r="E1546" s="7" t="str">
        <f t="shared" si="171"/>
        <v>LAN</v>
      </c>
      <c r="F1546" s="7" t="str">
        <f t="shared" si="165"/>
        <v>UNI</v>
      </c>
      <c r="G1546" s="7" t="str">
        <f t="shared" si="166"/>
        <v>HWR</v>
      </c>
      <c r="H1546" s="7" t="str">
        <f t="shared" si="167"/>
        <v>SC2</v>
      </c>
      <c r="I1546" s="7" t="str">
        <f t="shared" si="168"/>
        <v>DBN</v>
      </c>
      <c r="J1546" s="7" t="str">
        <f t="shared" si="169"/>
        <v>BLU</v>
      </c>
      <c r="K1546" s="7" t="str">
        <f t="shared" si="170"/>
        <v>70x70</v>
      </c>
      <c r="L1546" s="7">
        <v>0</v>
      </c>
      <c r="M1546" s="7" t="s">
        <v>2609</v>
      </c>
      <c r="N1546" s="7">
        <f>_xlfn.XLOOKUP(A1546,[1]SKU!$A:$A,[1]SKU!$Z:$Z)</f>
        <v>749000</v>
      </c>
    </row>
    <row r="1547" spans="1:14">
      <c r="A1547" s="1" t="s">
        <v>6427</v>
      </c>
      <c r="B1547" s="2" t="s">
        <v>4472</v>
      </c>
      <c r="C1547" s="2" t="s">
        <v>71</v>
      </c>
      <c r="D1547" s="2" t="s">
        <v>6428</v>
      </c>
      <c r="E1547" s="7" t="str">
        <f t="shared" si="171"/>
        <v>DSP</v>
      </c>
      <c r="F1547" s="7" t="str">
        <f t="shared" si="165"/>
        <v>UNI</v>
      </c>
      <c r="G1547" s="7" t="str">
        <f t="shared" si="166"/>
        <v>BAG</v>
      </c>
      <c r="H1547" s="7" t="str">
        <f t="shared" si="167"/>
        <v>CCR</v>
      </c>
      <c r="I1547" s="7" t="str">
        <f t="shared" si="168"/>
        <v>AZ1</v>
      </c>
      <c r="J1547" s="7" t="str">
        <f t="shared" si="169"/>
        <v>CHE</v>
      </c>
      <c r="K1547" s="7" t="str">
        <f t="shared" si="170"/>
        <v>0</v>
      </c>
      <c r="L1547" s="7">
        <v>0</v>
      </c>
      <c r="M1547" s="7" t="s">
        <v>2609</v>
      </c>
      <c r="N1547" s="7">
        <f>_xlfn.XLOOKUP(A1547,[1]SKU!$A:$A,[1]SKU!$Z:$Z)</f>
        <v>2100000</v>
      </c>
    </row>
    <row r="1548" spans="1:14">
      <c r="A1548" s="1" t="s">
        <v>1856</v>
      </c>
      <c r="B1548" s="2" t="s">
        <v>3</v>
      </c>
      <c r="C1548" s="2" t="s">
        <v>563</v>
      </c>
      <c r="D1548" s="2" t="s">
        <v>1857</v>
      </c>
      <c r="E1548" s="7" t="str">
        <f t="shared" si="171"/>
        <v>GLI</v>
      </c>
      <c r="F1548" s="7" t="str">
        <f t="shared" si="165"/>
        <v>MEN</v>
      </c>
      <c r="G1548" s="7" t="str">
        <f t="shared" si="166"/>
        <v>SHS</v>
      </c>
      <c r="H1548" s="7" t="str">
        <f t="shared" si="167"/>
        <v>BBT</v>
      </c>
      <c r="I1548" s="7" t="str">
        <f t="shared" si="168"/>
        <v>LIN</v>
      </c>
      <c r="J1548" s="7" t="str">
        <f t="shared" si="169"/>
        <v>WHI</v>
      </c>
      <c r="K1548" s="7" t="str">
        <f t="shared" si="170"/>
        <v>S</v>
      </c>
      <c r="L1548" s="7" t="s">
        <v>2752</v>
      </c>
      <c r="M1548" s="7" t="s">
        <v>4463</v>
      </c>
      <c r="N1548" s="7">
        <f>_xlfn.XLOOKUP(A1548,[1]SKU!$A:$A,[1]SKU!$Z:$Z)</f>
        <v>2290000</v>
      </c>
    </row>
    <row r="1549" spans="1:14">
      <c r="A1549" s="1" t="s">
        <v>6429</v>
      </c>
      <c r="B1549" s="2" t="s">
        <v>4481</v>
      </c>
      <c r="C1549" s="2" t="s">
        <v>1858</v>
      </c>
      <c r="D1549" s="2" t="s">
        <v>6430</v>
      </c>
      <c r="E1549" s="7" t="str">
        <f t="shared" si="171"/>
        <v>PAS</v>
      </c>
      <c r="F1549" s="7" t="str">
        <f t="shared" si="165"/>
        <v>UNI</v>
      </c>
      <c r="G1549" s="7" t="str">
        <f t="shared" si="166"/>
        <v>ART</v>
      </c>
      <c r="H1549" s="7" t="str">
        <f t="shared" si="167"/>
        <v>ART</v>
      </c>
      <c r="I1549" s="7" t="str">
        <f t="shared" si="168"/>
        <v>SIA</v>
      </c>
      <c r="J1549" s="7" t="str">
        <f t="shared" si="169"/>
        <v>MIX</v>
      </c>
      <c r="K1549" s="7" t="str">
        <f t="shared" si="170"/>
        <v>A1</v>
      </c>
      <c r="L1549" s="7">
        <v>0</v>
      </c>
      <c r="M1549" s="7" t="s">
        <v>2609</v>
      </c>
      <c r="N1549" s="7">
        <f>_xlfn.XLOOKUP(A1549,[1]SKU!$A:$A,[1]SKU!$Z:$Z)</f>
        <v>7500000</v>
      </c>
    </row>
    <row r="1550" spans="1:14">
      <c r="A1550" s="1" t="s">
        <v>6431</v>
      </c>
      <c r="B1550" s="2" t="s">
        <v>4472</v>
      </c>
      <c r="C1550" s="2" t="s">
        <v>1859</v>
      </c>
      <c r="D1550" s="2" t="s">
        <v>6432</v>
      </c>
      <c r="E1550" s="7" t="str">
        <f t="shared" si="171"/>
        <v>LTN</v>
      </c>
      <c r="F1550" s="7" t="str">
        <f t="shared" si="165"/>
        <v>UNI</v>
      </c>
      <c r="G1550" s="7" t="str">
        <f t="shared" si="166"/>
        <v>FNB</v>
      </c>
      <c r="H1550" s="7" t="str">
        <f t="shared" si="167"/>
        <v>GIN</v>
      </c>
      <c r="I1550" s="7" t="str">
        <f t="shared" si="168"/>
        <v>COG</v>
      </c>
      <c r="J1550" s="7" t="str">
        <f t="shared" si="169"/>
        <v>MIX</v>
      </c>
      <c r="K1550" s="7" t="str">
        <f t="shared" si="170"/>
        <v>0</v>
      </c>
      <c r="L1550" s="7">
        <v>0</v>
      </c>
      <c r="M1550" s="7" t="s">
        <v>2609</v>
      </c>
      <c r="N1550" s="7">
        <f>_xlfn.XLOOKUP(A1550,[1]SKU!$A:$A,[1]SKU!$Z:$Z)</f>
        <v>459000</v>
      </c>
    </row>
    <row r="1551" spans="1:14">
      <c r="A1551" s="1" t="s">
        <v>1860</v>
      </c>
      <c r="B1551" s="2" t="s">
        <v>3</v>
      </c>
      <c r="C1551" s="2" t="s">
        <v>12</v>
      </c>
      <c r="D1551" s="2" t="s">
        <v>1861</v>
      </c>
      <c r="E1551" s="7" t="str">
        <f t="shared" si="171"/>
        <v>GOR</v>
      </c>
      <c r="F1551" s="7" t="str">
        <f t="shared" si="165"/>
        <v>MEN</v>
      </c>
      <c r="G1551" s="7" t="str">
        <f t="shared" si="166"/>
        <v>TSS</v>
      </c>
      <c r="H1551" s="7" t="str">
        <f t="shared" si="167"/>
        <v>ONE</v>
      </c>
      <c r="I1551" s="7" t="str">
        <f t="shared" si="168"/>
        <v>STC</v>
      </c>
      <c r="J1551" s="7" t="str">
        <f t="shared" si="169"/>
        <v>WHI</v>
      </c>
      <c r="K1551" s="7" t="str">
        <f t="shared" si="170"/>
        <v>XL</v>
      </c>
      <c r="L1551" s="7" t="s">
        <v>2018</v>
      </c>
      <c r="M1551" s="7" t="s">
        <v>4462</v>
      </c>
      <c r="N1551" s="7">
        <f>_xlfn.XLOOKUP(A1551,[1]SKU!$A:$A,[1]SKU!$Z:$Z)</f>
        <v>790000</v>
      </c>
    </row>
    <row r="1552" spans="1:14">
      <c r="A1552" s="1" t="s">
        <v>1862</v>
      </c>
      <c r="B1552" s="2" t="s">
        <v>3</v>
      </c>
      <c r="C1552" s="2" t="s">
        <v>26</v>
      </c>
      <c r="D1552" s="2" t="s">
        <v>1863</v>
      </c>
      <c r="E1552" s="7" t="str">
        <f t="shared" si="171"/>
        <v>GSL</v>
      </c>
      <c r="F1552" s="7" t="str">
        <f t="shared" si="165"/>
        <v>KID</v>
      </c>
      <c r="G1552" s="7" t="str">
        <f t="shared" si="166"/>
        <v>TSS</v>
      </c>
      <c r="H1552" s="7" t="str">
        <f t="shared" si="167"/>
        <v>ONE</v>
      </c>
      <c r="I1552" s="7" t="str">
        <f t="shared" si="168"/>
        <v>AUL</v>
      </c>
      <c r="J1552" s="7" t="str">
        <f t="shared" si="169"/>
        <v>WHI</v>
      </c>
      <c r="K1552" s="7" t="str">
        <f t="shared" si="170"/>
        <v>8</v>
      </c>
      <c r="L1552" s="7" t="s">
        <v>2018</v>
      </c>
      <c r="M1552" s="7" t="s">
        <v>4462</v>
      </c>
      <c r="N1552" s="7">
        <f>_xlfn.XLOOKUP(A1552,[1]SKU!$A:$A,[1]SKU!$Z:$Z)</f>
        <v>650000</v>
      </c>
    </row>
    <row r="1553" spans="1:14">
      <c r="A1553" s="1" t="s">
        <v>1864</v>
      </c>
      <c r="B1553" s="2" t="s">
        <v>19</v>
      </c>
      <c r="C1553" s="2" t="s">
        <v>1865</v>
      </c>
      <c r="D1553" s="2" t="s">
        <v>1866</v>
      </c>
      <c r="E1553" s="7" t="str">
        <f t="shared" si="171"/>
        <v>OTH</v>
      </c>
      <c r="F1553" s="7" t="str">
        <f t="shared" si="165"/>
        <v>UNI</v>
      </c>
      <c r="G1553" s="7" t="str">
        <f t="shared" si="166"/>
        <v>SOU</v>
      </c>
      <c r="H1553" s="7" t="str">
        <f t="shared" si="167"/>
        <v>NBS</v>
      </c>
      <c r="I1553" s="7" t="str">
        <f t="shared" si="168"/>
        <v>GLV</v>
      </c>
      <c r="J1553" s="7" t="str">
        <f t="shared" si="169"/>
        <v>GRN</v>
      </c>
      <c r="K1553" s="7" t="str">
        <f t="shared" si="170"/>
        <v>A6</v>
      </c>
      <c r="L1553" s="7">
        <v>0</v>
      </c>
      <c r="M1553" s="7" t="s">
        <v>2609</v>
      </c>
      <c r="N1553" s="7">
        <f>_xlfn.XLOOKUP(A1553,[1]SKU!$A:$A,[1]SKU!$Z:$Z)</f>
        <v>65000</v>
      </c>
    </row>
    <row r="1554" spans="1:14">
      <c r="A1554" s="1" t="s">
        <v>6433</v>
      </c>
      <c r="B1554" s="2" t="s">
        <v>4472</v>
      </c>
      <c r="C1554" s="2" t="s">
        <v>1867</v>
      </c>
      <c r="D1554" s="2" t="s">
        <v>6434</v>
      </c>
      <c r="E1554" s="7" t="str">
        <f t="shared" si="171"/>
        <v>MSA</v>
      </c>
      <c r="F1554" s="7" t="str">
        <f t="shared" si="165"/>
        <v>UNI</v>
      </c>
      <c r="G1554" s="7" t="str">
        <f t="shared" si="166"/>
        <v>FNB</v>
      </c>
      <c r="H1554" s="7" t="str">
        <f t="shared" si="167"/>
        <v>SAK</v>
      </c>
      <c r="I1554" s="7" t="str">
        <f t="shared" si="168"/>
        <v>SCL</v>
      </c>
      <c r="J1554" s="7" t="str">
        <f t="shared" si="169"/>
        <v>MIX</v>
      </c>
      <c r="K1554" s="7" t="str">
        <f t="shared" si="170"/>
        <v>300</v>
      </c>
      <c r="L1554" s="7">
        <v>0</v>
      </c>
      <c r="M1554" s="7" t="s">
        <v>2609</v>
      </c>
      <c r="N1554" s="7">
        <f>_xlfn.XLOOKUP(A1554,[1]SKU!$A:$A,[1]SKU!$Z:$Z)</f>
        <v>215000</v>
      </c>
    </row>
    <row r="1555" spans="1:14">
      <c r="A1555" s="1" t="s">
        <v>1868</v>
      </c>
      <c r="B1555" s="2" t="s">
        <v>19</v>
      </c>
      <c r="C1555" s="2" t="s">
        <v>744</v>
      </c>
      <c r="D1555" s="2" t="s">
        <v>1869</v>
      </c>
      <c r="E1555" s="7" t="str">
        <f t="shared" si="171"/>
        <v>OTH</v>
      </c>
      <c r="F1555" s="7" t="str">
        <f t="shared" si="165"/>
        <v>UNI</v>
      </c>
      <c r="G1555" s="7" t="str">
        <f t="shared" si="166"/>
        <v>HWR</v>
      </c>
      <c r="H1555" s="7" t="str">
        <f t="shared" si="167"/>
        <v>NLH</v>
      </c>
      <c r="I1555" s="7" t="str">
        <f t="shared" si="168"/>
        <v>FSK</v>
      </c>
      <c r="J1555" s="7" t="str">
        <f t="shared" si="169"/>
        <v>WHI</v>
      </c>
      <c r="K1555" s="7" t="str">
        <f t="shared" si="170"/>
        <v>L</v>
      </c>
      <c r="L1555" s="7">
        <v>0</v>
      </c>
      <c r="M1555" s="7" t="s">
        <v>2609</v>
      </c>
      <c r="N1555" s="7">
        <f>_xlfn.XLOOKUP(A1555,[1]SKU!$A:$A,[1]SKU!$Z:$Z)</f>
        <v>690000</v>
      </c>
    </row>
    <row r="1556" spans="1:14">
      <c r="A1556" s="1" t="s">
        <v>1870</v>
      </c>
      <c r="B1556" s="2" t="s">
        <v>3</v>
      </c>
      <c r="C1556" s="2" t="s">
        <v>81</v>
      </c>
      <c r="D1556" s="2" t="s">
        <v>1871</v>
      </c>
      <c r="E1556" s="7" t="str">
        <f t="shared" si="171"/>
        <v>GBA</v>
      </c>
      <c r="F1556" s="7" t="str">
        <f t="shared" si="165"/>
        <v>MEN</v>
      </c>
      <c r="G1556" s="7" t="str">
        <f t="shared" si="166"/>
        <v>TSP</v>
      </c>
      <c r="H1556" s="7" t="str">
        <f t="shared" si="167"/>
        <v>ONE</v>
      </c>
      <c r="I1556" s="7" t="str">
        <f t="shared" si="168"/>
        <v>JUN</v>
      </c>
      <c r="J1556" s="7" t="str">
        <f t="shared" si="169"/>
        <v>JBG</v>
      </c>
      <c r="K1556" s="7" t="str">
        <f t="shared" si="170"/>
        <v>M</v>
      </c>
      <c r="L1556" s="7" t="s">
        <v>2085</v>
      </c>
      <c r="M1556" s="7" t="s">
        <v>4462</v>
      </c>
      <c r="N1556" s="7">
        <f>_xlfn.XLOOKUP(A1556,[1]SKU!$A:$A,[1]SKU!$Z:$Z)</f>
        <v>890000</v>
      </c>
    </row>
    <row r="1557" spans="1:14">
      <c r="A1557" s="1" t="s">
        <v>6435</v>
      </c>
      <c r="B1557" s="2" t="s">
        <v>4481</v>
      </c>
      <c r="C1557" s="2" t="s">
        <v>1872</v>
      </c>
      <c r="D1557" s="2" t="s">
        <v>6436</v>
      </c>
      <c r="E1557" s="7" t="str">
        <f t="shared" si="171"/>
        <v>PAS</v>
      </c>
      <c r="F1557" s="7" t="str">
        <f t="shared" si="165"/>
        <v>UNI</v>
      </c>
      <c r="G1557" s="7" t="str">
        <f t="shared" si="166"/>
        <v>ART</v>
      </c>
      <c r="H1557" s="7" t="str">
        <f t="shared" si="167"/>
        <v>ART</v>
      </c>
      <c r="I1557" s="7" t="str">
        <f t="shared" si="168"/>
        <v>487</v>
      </c>
      <c r="J1557" s="7" t="str">
        <f t="shared" si="169"/>
        <v>MIX</v>
      </c>
      <c r="K1557" s="7" t="str">
        <f t="shared" si="170"/>
        <v>A3</v>
      </c>
      <c r="L1557" s="7">
        <v>0</v>
      </c>
      <c r="M1557" s="7" t="s">
        <v>2609</v>
      </c>
      <c r="N1557" s="7">
        <f>_xlfn.XLOOKUP(A1557,[1]SKU!$A:$A,[1]SKU!$Z:$Z)</f>
        <v>5000000</v>
      </c>
    </row>
    <row r="1558" spans="1:14">
      <c r="A1558" s="1" t="s">
        <v>6437</v>
      </c>
      <c r="B1558" s="2" t="s">
        <v>4472</v>
      </c>
      <c r="C1558" s="2" t="s">
        <v>115</v>
      </c>
      <c r="D1558" s="2" t="s">
        <v>6438</v>
      </c>
      <c r="E1558" s="7" t="str">
        <f t="shared" si="171"/>
        <v>DSP</v>
      </c>
      <c r="F1558" s="7" t="str">
        <f t="shared" si="165"/>
        <v>UNI</v>
      </c>
      <c r="G1558" s="7" t="str">
        <f t="shared" si="166"/>
        <v>BAG</v>
      </c>
      <c r="H1558" s="7" t="str">
        <f t="shared" si="167"/>
        <v>HDB</v>
      </c>
      <c r="I1558" s="7" t="str">
        <f t="shared" si="168"/>
        <v>GA1</v>
      </c>
      <c r="J1558" s="7" t="str">
        <f t="shared" si="169"/>
        <v>BOR</v>
      </c>
      <c r="K1558" s="7" t="str">
        <f t="shared" si="170"/>
        <v>0</v>
      </c>
      <c r="L1558" s="7">
        <v>0</v>
      </c>
      <c r="M1558" s="7" t="s">
        <v>2609</v>
      </c>
      <c r="N1558" s="7">
        <f>_xlfn.XLOOKUP(A1558,[1]SKU!$A:$A,[1]SKU!$Z:$Z)</f>
        <v>8690000</v>
      </c>
    </row>
    <row r="1559" spans="1:14">
      <c r="A1559" s="1" t="s">
        <v>6439</v>
      </c>
      <c r="B1559" s="2" t="s">
        <v>4472</v>
      </c>
      <c r="C1559" s="2" t="s">
        <v>819</v>
      </c>
      <c r="D1559" s="2" t="s">
        <v>6440</v>
      </c>
      <c r="E1559" s="7" t="str">
        <f t="shared" si="171"/>
        <v>DSP</v>
      </c>
      <c r="F1559" s="7" t="str">
        <f t="shared" si="165"/>
        <v>UNI</v>
      </c>
      <c r="G1559" s="7" t="str">
        <f t="shared" si="166"/>
        <v>BAG</v>
      </c>
      <c r="H1559" s="7" t="str">
        <f t="shared" si="167"/>
        <v>CLU</v>
      </c>
      <c r="I1559" s="7" t="str">
        <f t="shared" si="168"/>
        <v>BAZ</v>
      </c>
      <c r="J1559" s="7" t="str">
        <f t="shared" si="169"/>
        <v>BUR</v>
      </c>
      <c r="K1559" s="7" t="str">
        <f t="shared" si="170"/>
        <v>0</v>
      </c>
      <c r="L1559" s="7">
        <v>0</v>
      </c>
      <c r="M1559" s="7" t="s">
        <v>2609</v>
      </c>
      <c r="N1559" s="7">
        <f>_xlfn.XLOOKUP(A1559,[1]SKU!$A:$A,[1]SKU!$Z:$Z)</f>
        <v>1150000</v>
      </c>
    </row>
    <row r="1560" spans="1:14">
      <c r="A1560" s="1" t="s">
        <v>1873</v>
      </c>
      <c r="B1560" s="2" t="s">
        <v>3</v>
      </c>
      <c r="C1560" s="2" t="s">
        <v>192</v>
      </c>
      <c r="D1560" s="2" t="s">
        <v>1874</v>
      </c>
      <c r="E1560" s="7" t="str">
        <f t="shared" si="171"/>
        <v>GOR</v>
      </c>
      <c r="F1560" s="7" t="str">
        <f t="shared" si="165"/>
        <v>KID</v>
      </c>
      <c r="G1560" s="7" t="str">
        <f t="shared" si="166"/>
        <v>TSS</v>
      </c>
      <c r="H1560" s="7" t="str">
        <f t="shared" si="167"/>
        <v>ONE</v>
      </c>
      <c r="I1560" s="7" t="str">
        <f t="shared" si="168"/>
        <v>VNM</v>
      </c>
      <c r="J1560" s="7" t="str">
        <f t="shared" si="169"/>
        <v>GRN</v>
      </c>
      <c r="K1560" s="7" t="str">
        <f t="shared" si="170"/>
        <v>8</v>
      </c>
      <c r="L1560" s="7" t="s">
        <v>2018</v>
      </c>
      <c r="M1560" s="7" t="s">
        <v>4462</v>
      </c>
      <c r="N1560" s="7">
        <f>_xlfn.XLOOKUP(A1560,[1]SKU!$A:$A,[1]SKU!$Z:$Z)</f>
        <v>590000</v>
      </c>
    </row>
    <row r="1561" spans="1:14">
      <c r="A1561" s="1" t="s">
        <v>6441</v>
      </c>
      <c r="B1561" s="2" t="s">
        <v>4472</v>
      </c>
      <c r="C1561" s="2" t="s">
        <v>855</v>
      </c>
      <c r="D1561" s="2" t="s">
        <v>6442</v>
      </c>
      <c r="E1561" s="7" t="str">
        <f t="shared" si="171"/>
        <v>DSP</v>
      </c>
      <c r="F1561" s="7" t="str">
        <f t="shared" si="165"/>
        <v>UNI</v>
      </c>
      <c r="G1561" s="7" t="str">
        <f t="shared" si="166"/>
        <v>BAG</v>
      </c>
      <c r="H1561" s="7" t="str">
        <f t="shared" si="167"/>
        <v>CLU</v>
      </c>
      <c r="I1561" s="7" t="str">
        <f t="shared" si="168"/>
        <v>FOU</v>
      </c>
      <c r="J1561" s="7" t="str">
        <f t="shared" si="169"/>
        <v>CHE</v>
      </c>
      <c r="K1561" s="7" t="str">
        <f t="shared" si="170"/>
        <v>0</v>
      </c>
      <c r="L1561" s="7">
        <v>0</v>
      </c>
      <c r="M1561" s="7" t="s">
        <v>2609</v>
      </c>
      <c r="N1561" s="7">
        <f>_xlfn.XLOOKUP(A1561,[1]SKU!$A:$A,[1]SKU!$Z:$Z)</f>
        <v>1500000</v>
      </c>
    </row>
    <row r="1562" spans="1:14">
      <c r="A1562" s="1" t="s">
        <v>6443</v>
      </c>
      <c r="B1562" s="2" t="s">
        <v>4472</v>
      </c>
      <c r="C1562" s="2" t="s">
        <v>855</v>
      </c>
      <c r="D1562" s="2" t="s">
        <v>6442</v>
      </c>
      <c r="E1562" s="7" t="str">
        <f t="shared" si="171"/>
        <v>DSP</v>
      </c>
      <c r="F1562" s="7" t="str">
        <f t="shared" si="165"/>
        <v>UNI</v>
      </c>
      <c r="G1562" s="7" t="str">
        <f t="shared" si="166"/>
        <v>BAG</v>
      </c>
      <c r="H1562" s="7" t="str">
        <f t="shared" si="167"/>
        <v>CLU</v>
      </c>
      <c r="I1562" s="7" t="str">
        <f t="shared" si="168"/>
        <v>FOU</v>
      </c>
      <c r="J1562" s="7" t="str">
        <f t="shared" si="169"/>
        <v>CHE</v>
      </c>
      <c r="K1562" s="7" t="str">
        <f t="shared" si="170"/>
        <v>0</v>
      </c>
      <c r="L1562" s="7">
        <v>0</v>
      </c>
      <c r="M1562" s="7" t="s">
        <v>2609</v>
      </c>
      <c r="N1562" s="7">
        <f>_xlfn.XLOOKUP(A1562,[1]SKU!$A:$A,[1]SKU!$Z:$Z)</f>
        <v>1500000</v>
      </c>
    </row>
    <row r="1563" spans="1:14">
      <c r="A1563" s="1" t="s">
        <v>6444</v>
      </c>
      <c r="B1563" s="2" t="s">
        <v>4472</v>
      </c>
      <c r="C1563" s="2" t="s">
        <v>1084</v>
      </c>
      <c r="D1563" s="2" t="s">
        <v>6445</v>
      </c>
      <c r="E1563" s="7" t="str">
        <f t="shared" si="171"/>
        <v>DSP</v>
      </c>
      <c r="F1563" s="7" t="str">
        <f t="shared" si="165"/>
        <v>UNI</v>
      </c>
      <c r="G1563" s="7" t="str">
        <f t="shared" si="166"/>
        <v>SOU</v>
      </c>
      <c r="H1563" s="7" t="str">
        <f t="shared" si="167"/>
        <v>SAS</v>
      </c>
      <c r="I1563" s="7" t="str">
        <f t="shared" si="168"/>
        <v>WRB</v>
      </c>
      <c r="J1563" s="7" t="str">
        <f t="shared" si="169"/>
        <v>HOE</v>
      </c>
      <c r="K1563" s="7" t="str">
        <f t="shared" si="170"/>
        <v>0</v>
      </c>
      <c r="L1563" s="7">
        <v>0</v>
      </c>
      <c r="M1563" s="7" t="s">
        <v>2609</v>
      </c>
      <c r="N1563" s="7">
        <f>_xlfn.XLOOKUP(A1563,[1]SKU!$A:$A,[1]SKU!$Z:$Z)</f>
        <v>5500000</v>
      </c>
    </row>
    <row r="1564" spans="1:14">
      <c r="A1564" s="1" t="s">
        <v>6446</v>
      </c>
      <c r="B1564" s="2" t="s">
        <v>4472</v>
      </c>
      <c r="C1564" s="2" t="s">
        <v>6447</v>
      </c>
      <c r="D1564" s="2" t="s">
        <v>6448</v>
      </c>
      <c r="E1564" s="7" t="str">
        <f t="shared" si="171"/>
        <v>LAN</v>
      </c>
      <c r="F1564" s="7" t="str">
        <f t="shared" ref="F1564:F1610" si="172">_xlfn.TEXTBEFORE(_xlfn.TEXTAFTER(D1564,"-",2),"-")</f>
        <v>UNI</v>
      </c>
      <c r="G1564" s="7" t="str">
        <f t="shared" ref="G1564:G1610" si="173">_xlfn.TEXTBEFORE(_xlfn.TEXTAFTER(D1564,"-",3),"-")</f>
        <v>HWR</v>
      </c>
      <c r="H1564" s="7" t="str">
        <f t="shared" ref="H1564:H1610" si="174">_xlfn.TEXTBEFORE(_xlfn.TEXTAFTER(D1564,"-",4),"-")</f>
        <v>SC2</v>
      </c>
      <c r="I1564" s="7" t="str">
        <f t="shared" ref="I1564:I1610" si="175">_xlfn.TEXTBEFORE(_xlfn.TEXTAFTER(D1564,"-",5),"-")</f>
        <v>DDL</v>
      </c>
      <c r="J1564" s="7" t="str">
        <f t="shared" ref="J1564:J1610" si="176">_xlfn.TEXTBEFORE(_xlfn.TEXTAFTER(D1564,"-",6),"-")</f>
        <v>BLU</v>
      </c>
      <c r="K1564" s="7" t="str">
        <f t="shared" ref="K1564:K1610" si="177">_xlfn.TEXTAFTER(D1564,"-",7)</f>
        <v>90x90</v>
      </c>
      <c r="L1564" s="7">
        <v>0</v>
      </c>
      <c r="M1564" s="7" t="s">
        <v>2609</v>
      </c>
      <c r="N1564" s="7">
        <f>_xlfn.XLOOKUP(A1564,[1]SKU!$A:$A,[1]SKU!$Z:$Z)</f>
        <v>989000</v>
      </c>
    </row>
    <row r="1565" spans="1:14">
      <c r="A1565" s="1" t="s">
        <v>6449</v>
      </c>
      <c r="B1565" s="2" t="s">
        <v>4472</v>
      </c>
      <c r="C1565" s="2" t="s">
        <v>1677</v>
      </c>
      <c r="D1565" s="2" t="s">
        <v>6450</v>
      </c>
      <c r="E1565" s="7" t="str">
        <f t="shared" si="171"/>
        <v>MAZ</v>
      </c>
      <c r="F1565" s="7" t="str">
        <f t="shared" si="172"/>
        <v>UNI</v>
      </c>
      <c r="G1565" s="7" t="str">
        <f t="shared" si="173"/>
        <v>SOU</v>
      </c>
      <c r="H1565" s="7" t="str">
        <f t="shared" si="174"/>
        <v>GAM</v>
      </c>
      <c r="I1565" s="7" t="str">
        <f t="shared" si="175"/>
        <v>DSR</v>
      </c>
      <c r="J1565" s="7" t="str">
        <f t="shared" si="176"/>
        <v>GRN</v>
      </c>
      <c r="K1565" s="7" t="str">
        <f t="shared" si="177"/>
        <v>0</v>
      </c>
      <c r="L1565" s="7">
        <v>0</v>
      </c>
      <c r="M1565" s="7" t="s">
        <v>2609</v>
      </c>
      <c r="N1565" s="7">
        <f>_xlfn.XLOOKUP(A1565,[1]SKU!$A:$A,[1]SKU!$Z:$Z)</f>
        <v>735000</v>
      </c>
    </row>
    <row r="1566" spans="1:14">
      <c r="A1566" s="1" t="s">
        <v>1875</v>
      </c>
      <c r="B1566" s="2" t="s">
        <v>3</v>
      </c>
      <c r="C1566" s="2" t="s">
        <v>113</v>
      </c>
      <c r="D1566" s="2" t="s">
        <v>1876</v>
      </c>
      <c r="E1566" s="7" t="str">
        <f t="shared" si="171"/>
        <v>GFI</v>
      </c>
      <c r="F1566" s="7" t="str">
        <f t="shared" si="172"/>
        <v>KID</v>
      </c>
      <c r="G1566" s="7" t="str">
        <f t="shared" si="173"/>
        <v>SWL</v>
      </c>
      <c r="H1566" s="7" t="str">
        <f t="shared" si="174"/>
        <v>ONE</v>
      </c>
      <c r="I1566" s="7" t="str">
        <f t="shared" si="175"/>
        <v>TCS</v>
      </c>
      <c r="J1566" s="7" t="str">
        <f t="shared" si="176"/>
        <v>CRE</v>
      </c>
      <c r="K1566" s="7" t="str">
        <f t="shared" si="177"/>
        <v>2</v>
      </c>
      <c r="L1566" s="7" t="s">
        <v>2581</v>
      </c>
      <c r="M1566" s="7" t="s">
        <v>4464</v>
      </c>
      <c r="N1566" s="7">
        <f>_xlfn.XLOOKUP(A1566,[1]SKU!$A:$A,[1]SKU!$Z:$Z)</f>
        <v>990000</v>
      </c>
    </row>
    <row r="1567" spans="1:14">
      <c r="A1567" s="1" t="s">
        <v>1877</v>
      </c>
      <c r="B1567" s="2" t="s">
        <v>3</v>
      </c>
      <c r="C1567" s="2" t="s">
        <v>137</v>
      </c>
      <c r="D1567" s="2" t="s">
        <v>1878</v>
      </c>
      <c r="E1567" s="7" t="str">
        <f t="shared" si="171"/>
        <v>GOR</v>
      </c>
      <c r="F1567" s="7" t="str">
        <f t="shared" si="172"/>
        <v>WOM</v>
      </c>
      <c r="G1567" s="7" t="str">
        <f t="shared" si="173"/>
        <v>PZE</v>
      </c>
      <c r="H1567" s="7" t="str">
        <f t="shared" si="174"/>
        <v>ONE</v>
      </c>
      <c r="I1567" s="7" t="str">
        <f t="shared" si="175"/>
        <v>HHA</v>
      </c>
      <c r="J1567" s="7" t="str">
        <f t="shared" si="176"/>
        <v>WHI</v>
      </c>
      <c r="K1567" s="7" t="str">
        <f t="shared" si="177"/>
        <v>L</v>
      </c>
      <c r="L1567" s="7" t="s">
        <v>2167</v>
      </c>
      <c r="M1567" s="7" t="s">
        <v>2167</v>
      </c>
      <c r="N1567" s="7">
        <f>_xlfn.XLOOKUP(A1567,[1]SKU!$A:$A,[1]SKU!$Z:$Z)</f>
        <v>910000</v>
      </c>
    </row>
    <row r="1568" spans="1:14">
      <c r="A1568" s="1" t="s">
        <v>1879</v>
      </c>
      <c r="B1568" s="2" t="s">
        <v>3</v>
      </c>
      <c r="C1568" s="2" t="s">
        <v>137</v>
      </c>
      <c r="D1568" s="2" t="s">
        <v>1880</v>
      </c>
      <c r="E1568" s="7" t="str">
        <f t="shared" si="171"/>
        <v>GOR</v>
      </c>
      <c r="F1568" s="7" t="str">
        <f t="shared" si="172"/>
        <v>WOM</v>
      </c>
      <c r="G1568" s="7" t="str">
        <f t="shared" si="173"/>
        <v>PZE</v>
      </c>
      <c r="H1568" s="7" t="str">
        <f t="shared" si="174"/>
        <v>ONE</v>
      </c>
      <c r="I1568" s="7" t="str">
        <f t="shared" si="175"/>
        <v>HHA</v>
      </c>
      <c r="J1568" s="7" t="str">
        <f t="shared" si="176"/>
        <v>WHI</v>
      </c>
      <c r="K1568" s="7" t="str">
        <f t="shared" si="177"/>
        <v>M</v>
      </c>
      <c r="L1568" s="7" t="s">
        <v>2167</v>
      </c>
      <c r="M1568" s="7" t="s">
        <v>2167</v>
      </c>
      <c r="N1568" s="7">
        <f>_xlfn.XLOOKUP(A1568,[1]SKU!$A:$A,[1]SKU!$Z:$Z)</f>
        <v>910000</v>
      </c>
    </row>
    <row r="1569" spans="1:14">
      <c r="A1569" s="1" t="s">
        <v>1881</v>
      </c>
      <c r="B1569" s="2" t="s">
        <v>3</v>
      </c>
      <c r="C1569" s="2" t="s">
        <v>137</v>
      </c>
      <c r="D1569" s="2" t="s">
        <v>1882</v>
      </c>
      <c r="E1569" s="7" t="str">
        <f t="shared" si="171"/>
        <v>GOR</v>
      </c>
      <c r="F1569" s="7" t="str">
        <f t="shared" si="172"/>
        <v>WOM</v>
      </c>
      <c r="G1569" s="7" t="str">
        <f t="shared" si="173"/>
        <v>PZE</v>
      </c>
      <c r="H1569" s="7" t="str">
        <f t="shared" si="174"/>
        <v>ONE</v>
      </c>
      <c r="I1569" s="7" t="str">
        <f t="shared" si="175"/>
        <v>HHA</v>
      </c>
      <c r="J1569" s="7" t="str">
        <f t="shared" si="176"/>
        <v>WHI</v>
      </c>
      <c r="K1569" s="7" t="str">
        <f t="shared" si="177"/>
        <v>S</v>
      </c>
      <c r="L1569" s="7" t="s">
        <v>2167</v>
      </c>
      <c r="M1569" s="7" t="s">
        <v>2167</v>
      </c>
      <c r="N1569" s="7">
        <f>_xlfn.XLOOKUP(A1569,[1]SKU!$A:$A,[1]SKU!$Z:$Z)</f>
        <v>910000</v>
      </c>
    </row>
    <row r="1570" spans="1:14">
      <c r="A1570" s="1" t="s">
        <v>1883</v>
      </c>
      <c r="B1570" s="2" t="s">
        <v>3</v>
      </c>
      <c r="C1570" s="2" t="s">
        <v>137</v>
      </c>
      <c r="D1570" s="2" t="s">
        <v>1884</v>
      </c>
      <c r="E1570" s="7" t="str">
        <f t="shared" si="171"/>
        <v>GOR</v>
      </c>
      <c r="F1570" s="7" t="str">
        <f t="shared" si="172"/>
        <v>WOM</v>
      </c>
      <c r="G1570" s="7" t="str">
        <f t="shared" si="173"/>
        <v>PZE</v>
      </c>
      <c r="H1570" s="7" t="str">
        <f t="shared" si="174"/>
        <v>ONE</v>
      </c>
      <c r="I1570" s="7" t="str">
        <f t="shared" si="175"/>
        <v>HHA</v>
      </c>
      <c r="J1570" s="7" t="str">
        <f t="shared" si="176"/>
        <v>WHI</v>
      </c>
      <c r="K1570" s="7" t="str">
        <f t="shared" si="177"/>
        <v>XL</v>
      </c>
      <c r="L1570" s="7" t="s">
        <v>2167</v>
      </c>
      <c r="M1570" s="7" t="s">
        <v>2167</v>
      </c>
      <c r="N1570" s="7">
        <f>_xlfn.XLOOKUP(A1570,[1]SKU!$A:$A,[1]SKU!$Z:$Z)</f>
        <v>910000</v>
      </c>
    </row>
    <row r="1571" spans="1:14">
      <c r="A1571" s="1" t="s">
        <v>6451</v>
      </c>
      <c r="B1571" s="2" t="s">
        <v>4472</v>
      </c>
      <c r="C1571" s="2" t="s">
        <v>6452</v>
      </c>
      <c r="D1571" s="2" t="s">
        <v>6453</v>
      </c>
      <c r="E1571" s="7" t="str">
        <f t="shared" si="171"/>
        <v>TOH</v>
      </c>
      <c r="F1571" s="7" t="str">
        <f t="shared" si="172"/>
        <v>UNI</v>
      </c>
      <c r="G1571" s="7" t="str">
        <f t="shared" si="173"/>
        <v>BAG</v>
      </c>
      <c r="H1571" s="7" t="str">
        <f t="shared" si="174"/>
        <v>CBB</v>
      </c>
      <c r="I1571" s="7" t="str">
        <f t="shared" si="175"/>
        <v>ABM</v>
      </c>
      <c r="J1571" s="7" t="str">
        <f t="shared" si="176"/>
        <v>MIX</v>
      </c>
      <c r="K1571" s="7" t="str">
        <f t="shared" si="177"/>
        <v>0</v>
      </c>
      <c r="L1571" s="7">
        <v>0</v>
      </c>
      <c r="M1571" s="7" t="s">
        <v>2609</v>
      </c>
      <c r="N1571" s="7">
        <f>_xlfn.XLOOKUP(A1571,[1]SKU!$A:$A,[1]SKU!$Z:$Z)</f>
        <v>0</v>
      </c>
    </row>
    <row r="1572" spans="1:14">
      <c r="A1572" s="1" t="s">
        <v>1885</v>
      </c>
      <c r="B1572" s="2" t="s">
        <v>3</v>
      </c>
      <c r="C1572" s="2" t="s">
        <v>67</v>
      </c>
      <c r="D1572" s="2" t="s">
        <v>1640</v>
      </c>
      <c r="E1572" s="7" t="str">
        <f t="shared" si="171"/>
        <v>GCV</v>
      </c>
      <c r="F1572" s="7" t="str">
        <f t="shared" si="172"/>
        <v>WOM</v>
      </c>
      <c r="G1572" s="7" t="str">
        <f t="shared" si="173"/>
        <v>BLA</v>
      </c>
      <c r="H1572" s="7" t="str">
        <f t="shared" si="174"/>
        <v>BNE</v>
      </c>
      <c r="I1572" s="7" t="str">
        <f t="shared" si="175"/>
        <v>WOL</v>
      </c>
      <c r="J1572" s="7" t="str">
        <f t="shared" si="176"/>
        <v>WHI</v>
      </c>
      <c r="K1572" s="7" t="str">
        <f t="shared" si="177"/>
        <v>L</v>
      </c>
      <c r="L1572" s="7" t="s">
        <v>2270</v>
      </c>
      <c r="M1572" s="7" t="s">
        <v>4465</v>
      </c>
      <c r="N1572" s="7">
        <v>1690000</v>
      </c>
    </row>
    <row r="1573" spans="1:14">
      <c r="A1573" s="1" t="s">
        <v>1886</v>
      </c>
      <c r="B1573" s="2" t="s">
        <v>3</v>
      </c>
      <c r="C1573" s="2" t="s">
        <v>67</v>
      </c>
      <c r="D1573" s="2" t="s">
        <v>1404</v>
      </c>
      <c r="E1573" s="7" t="str">
        <f t="shared" si="171"/>
        <v>GCV</v>
      </c>
      <c r="F1573" s="7" t="str">
        <f t="shared" si="172"/>
        <v>WOM</v>
      </c>
      <c r="G1573" s="7" t="str">
        <f t="shared" si="173"/>
        <v>BLA</v>
      </c>
      <c r="H1573" s="7" t="str">
        <f t="shared" si="174"/>
        <v>BNE</v>
      </c>
      <c r="I1573" s="7" t="str">
        <f t="shared" si="175"/>
        <v>WOL</v>
      </c>
      <c r="J1573" s="7" t="str">
        <f t="shared" si="176"/>
        <v>WHI</v>
      </c>
      <c r="K1573" s="7" t="str">
        <f t="shared" si="177"/>
        <v>M</v>
      </c>
      <c r="L1573" s="7" t="s">
        <v>2270</v>
      </c>
      <c r="M1573" s="7" t="s">
        <v>4465</v>
      </c>
      <c r="N1573" s="7">
        <v>1690000</v>
      </c>
    </row>
    <row r="1574" spans="1:14">
      <c r="A1574" s="1" t="s">
        <v>1887</v>
      </c>
      <c r="B1574" s="2" t="s">
        <v>3</v>
      </c>
      <c r="C1574" s="2" t="s">
        <v>67</v>
      </c>
      <c r="D1574" s="2" t="s">
        <v>227</v>
      </c>
      <c r="E1574" s="7" t="str">
        <f t="shared" si="171"/>
        <v>GCV</v>
      </c>
      <c r="F1574" s="7" t="str">
        <f t="shared" si="172"/>
        <v>WOM</v>
      </c>
      <c r="G1574" s="7" t="str">
        <f t="shared" si="173"/>
        <v>BLA</v>
      </c>
      <c r="H1574" s="7" t="str">
        <f t="shared" si="174"/>
        <v>BNE</v>
      </c>
      <c r="I1574" s="7" t="str">
        <f t="shared" si="175"/>
        <v>WOL</v>
      </c>
      <c r="J1574" s="7" t="str">
        <f t="shared" si="176"/>
        <v>WHI</v>
      </c>
      <c r="K1574" s="7" t="str">
        <f t="shared" si="177"/>
        <v>S</v>
      </c>
      <c r="L1574" s="7" t="s">
        <v>2270</v>
      </c>
      <c r="M1574" s="7" t="s">
        <v>4465</v>
      </c>
      <c r="N1574" s="7">
        <v>1690000</v>
      </c>
    </row>
    <row r="1575" spans="1:14">
      <c r="A1575" s="1" t="s">
        <v>1888</v>
      </c>
      <c r="B1575" s="2" t="s">
        <v>3</v>
      </c>
      <c r="C1575" s="2" t="s">
        <v>67</v>
      </c>
      <c r="D1575" s="2" t="s">
        <v>1889</v>
      </c>
      <c r="E1575" s="7" t="str">
        <f t="shared" si="171"/>
        <v>GCV</v>
      </c>
      <c r="F1575" s="7" t="str">
        <f t="shared" si="172"/>
        <v>WOM</v>
      </c>
      <c r="G1575" s="7" t="str">
        <f t="shared" si="173"/>
        <v>BLA</v>
      </c>
      <c r="H1575" s="7" t="str">
        <f t="shared" si="174"/>
        <v>BNE</v>
      </c>
      <c r="I1575" s="7" t="str">
        <f t="shared" si="175"/>
        <v>WOL</v>
      </c>
      <c r="J1575" s="7" t="str">
        <f t="shared" si="176"/>
        <v>WHI</v>
      </c>
      <c r="K1575" s="7" t="str">
        <f t="shared" si="177"/>
        <v>XL</v>
      </c>
      <c r="L1575" s="7" t="s">
        <v>2270</v>
      </c>
      <c r="M1575" s="7" t="s">
        <v>4465</v>
      </c>
      <c r="N1575" s="7">
        <v>1690000</v>
      </c>
    </row>
    <row r="1576" spans="1:14">
      <c r="A1576" s="1" t="s">
        <v>1890</v>
      </c>
      <c r="B1576" s="2" t="s">
        <v>3</v>
      </c>
      <c r="C1576" s="2" t="s">
        <v>96</v>
      </c>
      <c r="D1576" s="2" t="s">
        <v>1891</v>
      </c>
      <c r="E1576" s="7" t="str">
        <f t="shared" si="171"/>
        <v>GOR</v>
      </c>
      <c r="F1576" s="7" t="str">
        <f t="shared" si="172"/>
        <v>MEN</v>
      </c>
      <c r="G1576" s="7" t="str">
        <f t="shared" si="173"/>
        <v>HCN</v>
      </c>
      <c r="H1576" s="7" t="str">
        <f t="shared" si="174"/>
        <v>ONE</v>
      </c>
      <c r="I1576" s="7" t="str">
        <f t="shared" si="175"/>
        <v>HNC</v>
      </c>
      <c r="J1576" s="7" t="str">
        <f t="shared" si="176"/>
        <v>WHI</v>
      </c>
      <c r="K1576" s="7" t="str">
        <f t="shared" si="177"/>
        <v>L</v>
      </c>
      <c r="L1576" s="7" t="s">
        <v>4456</v>
      </c>
      <c r="M1576" s="7" t="s">
        <v>4462</v>
      </c>
      <c r="N1576" s="7">
        <v>1090000</v>
      </c>
    </row>
    <row r="1577" spans="1:14">
      <c r="A1577" s="1" t="s">
        <v>1892</v>
      </c>
      <c r="B1577" s="2" t="s">
        <v>3</v>
      </c>
      <c r="C1577" s="2" t="s">
        <v>96</v>
      </c>
      <c r="D1577" s="2" t="s">
        <v>1893</v>
      </c>
      <c r="E1577" s="7" t="str">
        <f t="shared" si="171"/>
        <v>GOR</v>
      </c>
      <c r="F1577" s="7" t="str">
        <f t="shared" si="172"/>
        <v>MEN</v>
      </c>
      <c r="G1577" s="7" t="str">
        <f t="shared" si="173"/>
        <v>HCN</v>
      </c>
      <c r="H1577" s="7" t="str">
        <f t="shared" si="174"/>
        <v>ONE</v>
      </c>
      <c r="I1577" s="7" t="str">
        <f t="shared" si="175"/>
        <v>HNC</v>
      </c>
      <c r="J1577" s="7" t="str">
        <f t="shared" si="176"/>
        <v>WHI</v>
      </c>
      <c r="K1577" s="7" t="str">
        <f t="shared" si="177"/>
        <v>M</v>
      </c>
      <c r="L1577" s="7" t="s">
        <v>4456</v>
      </c>
      <c r="M1577" s="7" t="s">
        <v>4462</v>
      </c>
      <c r="N1577" s="7">
        <v>1090000</v>
      </c>
    </row>
    <row r="1578" spans="1:14">
      <c r="A1578" s="1" t="s">
        <v>1894</v>
      </c>
      <c r="B1578" s="2" t="s">
        <v>3</v>
      </c>
      <c r="C1578" s="2" t="s">
        <v>96</v>
      </c>
      <c r="D1578" s="2" t="s">
        <v>1895</v>
      </c>
      <c r="E1578" s="7" t="str">
        <f t="shared" si="171"/>
        <v>GOR</v>
      </c>
      <c r="F1578" s="7" t="str">
        <f t="shared" si="172"/>
        <v>MEN</v>
      </c>
      <c r="G1578" s="7" t="str">
        <f t="shared" si="173"/>
        <v>HCN</v>
      </c>
      <c r="H1578" s="7" t="str">
        <f t="shared" si="174"/>
        <v>ONE</v>
      </c>
      <c r="I1578" s="7" t="str">
        <f t="shared" si="175"/>
        <v>HNC</v>
      </c>
      <c r="J1578" s="7" t="str">
        <f t="shared" si="176"/>
        <v>WHI</v>
      </c>
      <c r="K1578" s="7" t="str">
        <f t="shared" si="177"/>
        <v>S</v>
      </c>
      <c r="L1578" s="7" t="s">
        <v>4456</v>
      </c>
      <c r="M1578" s="7" t="s">
        <v>4462</v>
      </c>
      <c r="N1578" s="7">
        <v>1090000</v>
      </c>
    </row>
    <row r="1579" spans="1:14">
      <c r="A1579" s="1" t="s">
        <v>1896</v>
      </c>
      <c r="B1579" s="2" t="s">
        <v>3</v>
      </c>
      <c r="C1579" s="2" t="s">
        <v>96</v>
      </c>
      <c r="D1579" s="2" t="s">
        <v>1897</v>
      </c>
      <c r="E1579" s="7" t="str">
        <f t="shared" si="171"/>
        <v>GOR</v>
      </c>
      <c r="F1579" s="7" t="str">
        <f t="shared" si="172"/>
        <v>MEN</v>
      </c>
      <c r="G1579" s="7" t="str">
        <f t="shared" si="173"/>
        <v>HCN</v>
      </c>
      <c r="H1579" s="7" t="str">
        <f t="shared" si="174"/>
        <v>ONE</v>
      </c>
      <c r="I1579" s="7" t="str">
        <f t="shared" si="175"/>
        <v>HNC</v>
      </c>
      <c r="J1579" s="7" t="str">
        <f t="shared" si="176"/>
        <v>WHI</v>
      </c>
      <c r="K1579" s="7" t="str">
        <f t="shared" si="177"/>
        <v>XL</v>
      </c>
      <c r="L1579" s="7" t="s">
        <v>4456</v>
      </c>
      <c r="M1579" s="7" t="s">
        <v>4462</v>
      </c>
      <c r="N1579" s="7">
        <v>1090000</v>
      </c>
    </row>
    <row r="1580" spans="1:14">
      <c r="A1580" s="1" t="s">
        <v>6454</v>
      </c>
      <c r="B1580" s="2" t="s">
        <v>4472</v>
      </c>
      <c r="C1580" s="2" t="s">
        <v>6455</v>
      </c>
      <c r="D1580" s="2" t="s">
        <v>6456</v>
      </c>
      <c r="E1580" s="7" t="str">
        <f t="shared" si="171"/>
        <v>HAM</v>
      </c>
      <c r="F1580" s="7" t="str">
        <f t="shared" si="172"/>
        <v>UNI</v>
      </c>
      <c r="G1580" s="7" t="str">
        <f t="shared" si="173"/>
        <v>JEW</v>
      </c>
      <c r="H1580" s="7" t="str">
        <f t="shared" si="174"/>
        <v>NEC</v>
      </c>
      <c r="I1580" s="7" t="str">
        <f t="shared" si="175"/>
        <v>H80</v>
      </c>
      <c r="J1580" s="7" t="str">
        <f t="shared" si="176"/>
        <v>MIX</v>
      </c>
      <c r="K1580" s="7" t="str">
        <f t="shared" si="177"/>
        <v>0</v>
      </c>
      <c r="L1580" s="7">
        <v>0</v>
      </c>
      <c r="M1580" s="7" t="s">
        <v>2609</v>
      </c>
      <c r="N1580" s="7">
        <f>_xlfn.XLOOKUP(A1580,[1]SKU!$A:$A,[1]SKU!$Z:$Z)</f>
        <v>1800000</v>
      </c>
    </row>
    <row r="1581" spans="1:14">
      <c r="A1581" s="1" t="s">
        <v>6457</v>
      </c>
      <c r="B1581" s="2" t="s">
        <v>4472</v>
      </c>
      <c r="C1581" s="2" t="s">
        <v>6382</v>
      </c>
      <c r="D1581" s="2" t="s">
        <v>6458</v>
      </c>
      <c r="E1581" s="7" t="str">
        <f t="shared" si="171"/>
        <v>HAM</v>
      </c>
      <c r="F1581" s="7" t="str">
        <f t="shared" si="172"/>
        <v>UNI</v>
      </c>
      <c r="G1581" s="7" t="str">
        <f t="shared" si="173"/>
        <v>JEW</v>
      </c>
      <c r="H1581" s="7" t="str">
        <f t="shared" si="174"/>
        <v>NEC</v>
      </c>
      <c r="I1581" s="7" t="str">
        <f t="shared" si="175"/>
        <v>H81</v>
      </c>
      <c r="J1581" s="7" t="str">
        <f t="shared" si="176"/>
        <v>MIX</v>
      </c>
      <c r="K1581" s="7" t="str">
        <f t="shared" si="177"/>
        <v>0</v>
      </c>
      <c r="L1581" s="7">
        <v>0</v>
      </c>
      <c r="M1581" s="7" t="s">
        <v>2609</v>
      </c>
      <c r="N1581" s="7">
        <f>_xlfn.XLOOKUP(A1581,[1]SKU!$A:$A,[1]SKU!$Z:$Z)</f>
        <v>1800000</v>
      </c>
    </row>
    <row r="1582" spans="1:14">
      <c r="A1582" s="1" t="s">
        <v>6459</v>
      </c>
      <c r="B1582" s="2" t="s">
        <v>4472</v>
      </c>
      <c r="C1582" s="2" t="s">
        <v>5857</v>
      </c>
      <c r="D1582" s="2" t="s">
        <v>6460</v>
      </c>
      <c r="E1582" s="7" t="str">
        <f t="shared" si="171"/>
        <v>HAM</v>
      </c>
      <c r="F1582" s="7" t="str">
        <f t="shared" si="172"/>
        <v>UNI</v>
      </c>
      <c r="G1582" s="7" t="str">
        <f t="shared" si="173"/>
        <v>JEW</v>
      </c>
      <c r="H1582" s="7" t="str">
        <f t="shared" si="174"/>
        <v>NEC</v>
      </c>
      <c r="I1582" s="7" t="str">
        <f t="shared" si="175"/>
        <v>H82</v>
      </c>
      <c r="J1582" s="7" t="str">
        <f t="shared" si="176"/>
        <v>MIX</v>
      </c>
      <c r="K1582" s="7" t="str">
        <f t="shared" si="177"/>
        <v>0</v>
      </c>
      <c r="L1582" s="7">
        <v>0</v>
      </c>
      <c r="M1582" s="7" t="s">
        <v>2609</v>
      </c>
      <c r="N1582" s="7">
        <f>_xlfn.XLOOKUP(A1582,[1]SKU!$A:$A,[1]SKU!$Z:$Z)</f>
        <v>2000000</v>
      </c>
    </row>
    <row r="1583" spans="1:14">
      <c r="A1583" s="1" t="s">
        <v>6461</v>
      </c>
      <c r="B1583" s="2" t="s">
        <v>4472</v>
      </c>
      <c r="C1583" s="2" t="s">
        <v>4931</v>
      </c>
      <c r="D1583" s="2" t="s">
        <v>6462</v>
      </c>
      <c r="E1583" s="7" t="str">
        <f t="shared" si="171"/>
        <v>HAM</v>
      </c>
      <c r="F1583" s="7" t="str">
        <f t="shared" si="172"/>
        <v>UNI</v>
      </c>
      <c r="G1583" s="7" t="str">
        <f t="shared" si="173"/>
        <v>JEW</v>
      </c>
      <c r="H1583" s="7" t="str">
        <f t="shared" si="174"/>
        <v>NEC</v>
      </c>
      <c r="I1583" s="7" t="str">
        <f t="shared" si="175"/>
        <v>H83</v>
      </c>
      <c r="J1583" s="7" t="str">
        <f t="shared" si="176"/>
        <v>MIX</v>
      </c>
      <c r="K1583" s="7" t="str">
        <f t="shared" si="177"/>
        <v>0</v>
      </c>
      <c r="L1583" s="7">
        <v>0</v>
      </c>
      <c r="M1583" s="7" t="s">
        <v>2609</v>
      </c>
      <c r="N1583" s="7">
        <f>_xlfn.XLOOKUP(A1583,[1]SKU!$A:$A,[1]SKU!$Z:$Z)</f>
        <v>2200000</v>
      </c>
    </row>
    <row r="1584" spans="1:14">
      <c r="A1584" s="1" t="s">
        <v>6463</v>
      </c>
      <c r="B1584" s="2" t="s">
        <v>4472</v>
      </c>
      <c r="C1584" s="2" t="s">
        <v>4931</v>
      </c>
      <c r="D1584" s="2" t="s">
        <v>6464</v>
      </c>
      <c r="E1584" s="7" t="str">
        <f t="shared" si="171"/>
        <v>HAM</v>
      </c>
      <c r="F1584" s="7" t="str">
        <f t="shared" si="172"/>
        <v>UNI</v>
      </c>
      <c r="G1584" s="7" t="str">
        <f t="shared" si="173"/>
        <v>JEW</v>
      </c>
      <c r="H1584" s="7" t="str">
        <f t="shared" si="174"/>
        <v>NEC</v>
      </c>
      <c r="I1584" s="7" t="str">
        <f t="shared" si="175"/>
        <v>H84</v>
      </c>
      <c r="J1584" s="7" t="str">
        <f t="shared" si="176"/>
        <v>MIX</v>
      </c>
      <c r="K1584" s="7" t="str">
        <f t="shared" si="177"/>
        <v>0</v>
      </c>
      <c r="L1584" s="7">
        <v>0</v>
      </c>
      <c r="M1584" s="7" t="s">
        <v>2609</v>
      </c>
      <c r="N1584" s="7">
        <f>_xlfn.XLOOKUP(A1584,[1]SKU!$A:$A,[1]SKU!$Z:$Z)</f>
        <v>2200000</v>
      </c>
    </row>
    <row r="1585" spans="1:14">
      <c r="A1585" s="1" t="s">
        <v>6465</v>
      </c>
      <c r="B1585" s="2" t="s">
        <v>4472</v>
      </c>
      <c r="C1585" s="2" t="s">
        <v>6466</v>
      </c>
      <c r="D1585" s="2" t="s">
        <v>6467</v>
      </c>
      <c r="E1585" s="7" t="str">
        <f t="shared" si="171"/>
        <v>HAM</v>
      </c>
      <c r="F1585" s="7" t="str">
        <f t="shared" si="172"/>
        <v>UNI</v>
      </c>
      <c r="G1585" s="7" t="str">
        <f t="shared" si="173"/>
        <v>JEW</v>
      </c>
      <c r="H1585" s="7" t="str">
        <f t="shared" si="174"/>
        <v>NEC</v>
      </c>
      <c r="I1585" s="7" t="str">
        <f t="shared" si="175"/>
        <v>H85</v>
      </c>
      <c r="J1585" s="7" t="str">
        <f t="shared" si="176"/>
        <v>MIX</v>
      </c>
      <c r="K1585" s="7" t="str">
        <f t="shared" si="177"/>
        <v>0</v>
      </c>
      <c r="L1585" s="7">
        <v>0</v>
      </c>
      <c r="M1585" s="7" t="s">
        <v>2609</v>
      </c>
      <c r="N1585" s="7">
        <f>_xlfn.XLOOKUP(A1585,[1]SKU!$A:$A,[1]SKU!$Z:$Z)</f>
        <v>2500000</v>
      </c>
    </row>
    <row r="1586" spans="1:14">
      <c r="A1586" s="1" t="s">
        <v>6468</v>
      </c>
      <c r="B1586" s="2" t="s">
        <v>4472</v>
      </c>
      <c r="C1586" s="2" t="s">
        <v>5262</v>
      </c>
      <c r="D1586" s="2" t="s">
        <v>6469</v>
      </c>
      <c r="E1586" s="7" t="str">
        <f t="shared" si="171"/>
        <v>HAM</v>
      </c>
      <c r="F1586" s="7" t="str">
        <f t="shared" si="172"/>
        <v>UNI</v>
      </c>
      <c r="G1586" s="7" t="str">
        <f t="shared" si="173"/>
        <v>JEW</v>
      </c>
      <c r="H1586" s="7" t="str">
        <f t="shared" si="174"/>
        <v>NEC</v>
      </c>
      <c r="I1586" s="7" t="str">
        <f t="shared" si="175"/>
        <v>H86</v>
      </c>
      <c r="J1586" s="7" t="str">
        <f t="shared" si="176"/>
        <v>MIX</v>
      </c>
      <c r="K1586" s="7" t="str">
        <f t="shared" si="177"/>
        <v>0</v>
      </c>
      <c r="L1586" s="7">
        <v>0</v>
      </c>
      <c r="M1586" s="7" t="s">
        <v>2609</v>
      </c>
      <c r="N1586" s="7">
        <f>_xlfn.XLOOKUP(A1586,[1]SKU!$A:$A,[1]SKU!$Z:$Z)</f>
        <v>2200000</v>
      </c>
    </row>
    <row r="1587" spans="1:14">
      <c r="A1587" s="1" t="s">
        <v>6470</v>
      </c>
      <c r="B1587" s="2" t="s">
        <v>4472</v>
      </c>
      <c r="C1587" s="2" t="s">
        <v>6471</v>
      </c>
      <c r="D1587" s="2" t="s">
        <v>6472</v>
      </c>
      <c r="E1587" s="7" t="str">
        <f t="shared" si="171"/>
        <v>HAM</v>
      </c>
      <c r="F1587" s="7" t="str">
        <f t="shared" si="172"/>
        <v>UNI</v>
      </c>
      <c r="G1587" s="7" t="str">
        <f t="shared" si="173"/>
        <v>JEW</v>
      </c>
      <c r="H1587" s="7" t="str">
        <f t="shared" si="174"/>
        <v>NEC</v>
      </c>
      <c r="I1587" s="7" t="str">
        <f t="shared" si="175"/>
        <v>L50</v>
      </c>
      <c r="J1587" s="7" t="str">
        <f t="shared" si="176"/>
        <v>MIX</v>
      </c>
      <c r="K1587" s="7" t="str">
        <f t="shared" si="177"/>
        <v>0</v>
      </c>
      <c r="L1587" s="7">
        <v>0</v>
      </c>
      <c r="M1587" s="7" t="s">
        <v>2609</v>
      </c>
      <c r="N1587" s="7">
        <f>_xlfn.XLOOKUP(A1587,[1]SKU!$A:$A,[1]SKU!$Z:$Z)</f>
        <v>2200000</v>
      </c>
    </row>
    <row r="1588" spans="1:14">
      <c r="A1588" s="1" t="s">
        <v>6473</v>
      </c>
      <c r="B1588" s="2" t="s">
        <v>4472</v>
      </c>
      <c r="C1588" s="2" t="s">
        <v>6474</v>
      </c>
      <c r="D1588" s="2" t="s">
        <v>6475</v>
      </c>
      <c r="E1588" s="7" t="str">
        <f t="shared" si="171"/>
        <v>HAM</v>
      </c>
      <c r="F1588" s="7" t="str">
        <f t="shared" si="172"/>
        <v>UNI</v>
      </c>
      <c r="G1588" s="7" t="str">
        <f t="shared" si="173"/>
        <v>JEW</v>
      </c>
      <c r="H1588" s="7" t="str">
        <f t="shared" si="174"/>
        <v>NEC</v>
      </c>
      <c r="I1588" s="7" t="str">
        <f t="shared" si="175"/>
        <v>L51</v>
      </c>
      <c r="J1588" s="7" t="str">
        <f t="shared" si="176"/>
        <v>MIX</v>
      </c>
      <c r="K1588" s="7" t="str">
        <f t="shared" si="177"/>
        <v>0</v>
      </c>
      <c r="L1588" s="7">
        <v>0</v>
      </c>
      <c r="M1588" s="7" t="s">
        <v>2609</v>
      </c>
      <c r="N1588" s="7">
        <f>_xlfn.XLOOKUP(A1588,[1]SKU!$A:$A,[1]SKU!$Z:$Z)</f>
        <v>2200000</v>
      </c>
    </row>
    <row r="1589" spans="1:14">
      <c r="A1589" s="1" t="s">
        <v>6476</v>
      </c>
      <c r="B1589" s="2" t="s">
        <v>4472</v>
      </c>
      <c r="C1589" s="2" t="s">
        <v>4931</v>
      </c>
      <c r="D1589" s="2" t="s">
        <v>6477</v>
      </c>
      <c r="E1589" s="7" t="str">
        <f t="shared" si="171"/>
        <v>HAM</v>
      </c>
      <c r="F1589" s="7" t="str">
        <f t="shared" si="172"/>
        <v>UNI</v>
      </c>
      <c r="G1589" s="7" t="str">
        <f t="shared" si="173"/>
        <v>JEW</v>
      </c>
      <c r="H1589" s="7" t="str">
        <f t="shared" si="174"/>
        <v>NEC</v>
      </c>
      <c r="I1589" s="7" t="str">
        <f t="shared" si="175"/>
        <v>L52</v>
      </c>
      <c r="J1589" s="7" t="str">
        <f t="shared" si="176"/>
        <v>MIX</v>
      </c>
      <c r="K1589" s="7" t="str">
        <f t="shared" si="177"/>
        <v>0</v>
      </c>
      <c r="L1589" s="7">
        <v>0</v>
      </c>
      <c r="M1589" s="7" t="s">
        <v>2609</v>
      </c>
      <c r="N1589" s="7">
        <f>_xlfn.XLOOKUP(A1589,[1]SKU!$A:$A,[1]SKU!$Z:$Z)</f>
        <v>2200000</v>
      </c>
    </row>
    <row r="1590" spans="1:14">
      <c r="A1590" s="1" t="s">
        <v>6478</v>
      </c>
      <c r="B1590" s="2" t="s">
        <v>4472</v>
      </c>
      <c r="C1590" s="2" t="s">
        <v>4931</v>
      </c>
      <c r="D1590" s="2" t="s">
        <v>6479</v>
      </c>
      <c r="E1590" s="7" t="str">
        <f t="shared" si="171"/>
        <v>HAM</v>
      </c>
      <c r="F1590" s="7" t="str">
        <f t="shared" si="172"/>
        <v>UNI</v>
      </c>
      <c r="G1590" s="7" t="str">
        <f t="shared" si="173"/>
        <v>JEW</v>
      </c>
      <c r="H1590" s="7" t="str">
        <f t="shared" si="174"/>
        <v>NEC</v>
      </c>
      <c r="I1590" s="7" t="str">
        <f t="shared" si="175"/>
        <v>L53</v>
      </c>
      <c r="J1590" s="7" t="str">
        <f t="shared" si="176"/>
        <v>MIX</v>
      </c>
      <c r="K1590" s="7" t="str">
        <f t="shared" si="177"/>
        <v>0</v>
      </c>
      <c r="L1590" s="7">
        <v>0</v>
      </c>
      <c r="M1590" s="7" t="s">
        <v>2609</v>
      </c>
      <c r="N1590" s="7">
        <f>_xlfn.XLOOKUP(A1590,[1]SKU!$A:$A,[1]SKU!$Z:$Z)</f>
        <v>2200000</v>
      </c>
    </row>
    <row r="1591" spans="1:14">
      <c r="A1591" s="1" t="s">
        <v>6480</v>
      </c>
      <c r="B1591" s="2" t="s">
        <v>4472</v>
      </c>
      <c r="C1591" s="2" t="s">
        <v>6481</v>
      </c>
      <c r="D1591" s="2" t="s">
        <v>6482</v>
      </c>
      <c r="E1591" s="7" t="str">
        <f t="shared" si="171"/>
        <v>HAM</v>
      </c>
      <c r="F1591" s="7" t="str">
        <f t="shared" si="172"/>
        <v>UNI</v>
      </c>
      <c r="G1591" s="7" t="str">
        <f t="shared" si="173"/>
        <v>JEW</v>
      </c>
      <c r="H1591" s="7" t="str">
        <f t="shared" si="174"/>
        <v>NEC</v>
      </c>
      <c r="I1591" s="7" t="str">
        <f t="shared" si="175"/>
        <v>L54</v>
      </c>
      <c r="J1591" s="7" t="str">
        <f t="shared" si="176"/>
        <v>MIX</v>
      </c>
      <c r="K1591" s="7" t="str">
        <f t="shared" si="177"/>
        <v>0</v>
      </c>
      <c r="L1591" s="7">
        <v>0</v>
      </c>
      <c r="M1591" s="7" t="s">
        <v>2609</v>
      </c>
      <c r="N1591" s="7">
        <f>_xlfn.XLOOKUP(A1591,[1]SKU!$A:$A,[1]SKU!$Z:$Z)</f>
        <v>2200000</v>
      </c>
    </row>
    <row r="1592" spans="1:14">
      <c r="A1592" s="1" t="s">
        <v>6358</v>
      </c>
      <c r="B1592" s="2" t="s">
        <v>4472</v>
      </c>
      <c r="C1592" s="2" t="s">
        <v>6455</v>
      </c>
      <c r="D1592" s="2" t="s">
        <v>6359</v>
      </c>
      <c r="E1592" s="7" t="str">
        <f t="shared" si="171"/>
        <v>HAM</v>
      </c>
      <c r="F1592" s="7" t="str">
        <f t="shared" si="172"/>
        <v>UNI</v>
      </c>
      <c r="G1592" s="7" t="str">
        <f t="shared" si="173"/>
        <v>JEW</v>
      </c>
      <c r="H1592" s="7" t="str">
        <f t="shared" si="174"/>
        <v>NEC</v>
      </c>
      <c r="I1592" s="7" t="str">
        <f t="shared" si="175"/>
        <v>A32</v>
      </c>
      <c r="J1592" s="7" t="str">
        <f t="shared" si="176"/>
        <v>MIX</v>
      </c>
      <c r="K1592" s="7" t="str">
        <f t="shared" si="177"/>
        <v>0</v>
      </c>
      <c r="L1592" s="7">
        <v>0</v>
      </c>
      <c r="M1592" s="7" t="s">
        <v>2609</v>
      </c>
      <c r="N1592" s="7">
        <f>_xlfn.XLOOKUP(A1592,[1]SKU!$A:$A,[1]SKU!$Z:$Z)</f>
        <v>1800000</v>
      </c>
    </row>
    <row r="1593" spans="1:14">
      <c r="A1593" s="1" t="s">
        <v>6483</v>
      </c>
      <c r="B1593" s="2" t="s">
        <v>4472</v>
      </c>
      <c r="C1593" s="2" t="s">
        <v>6455</v>
      </c>
      <c r="D1593" s="2" t="s">
        <v>6484</v>
      </c>
      <c r="E1593" s="7" t="str">
        <f t="shared" si="171"/>
        <v>HAM</v>
      </c>
      <c r="F1593" s="7" t="str">
        <f t="shared" si="172"/>
        <v>UNI</v>
      </c>
      <c r="G1593" s="7" t="str">
        <f t="shared" si="173"/>
        <v>JEW</v>
      </c>
      <c r="H1593" s="7" t="str">
        <f t="shared" si="174"/>
        <v>NEC</v>
      </c>
      <c r="I1593" s="7" t="str">
        <f t="shared" si="175"/>
        <v>156</v>
      </c>
      <c r="J1593" s="7" t="str">
        <f t="shared" si="176"/>
        <v>MIX</v>
      </c>
      <c r="K1593" s="7" t="str">
        <f t="shared" si="177"/>
        <v>0</v>
      </c>
      <c r="L1593" s="7">
        <v>0</v>
      </c>
      <c r="M1593" s="7" t="s">
        <v>2609</v>
      </c>
      <c r="N1593" s="7">
        <f>_xlfn.XLOOKUP(A1593,[1]SKU!$A:$A,[1]SKU!$Z:$Z)</f>
        <v>1800000</v>
      </c>
    </row>
    <row r="1594" spans="1:14">
      <c r="A1594" s="1" t="s">
        <v>6485</v>
      </c>
      <c r="B1594" s="2" t="s">
        <v>4472</v>
      </c>
      <c r="C1594" s="2" t="s">
        <v>6382</v>
      </c>
      <c r="D1594" s="2" t="s">
        <v>6486</v>
      </c>
      <c r="E1594" s="7" t="str">
        <f t="shared" si="171"/>
        <v>HAM</v>
      </c>
      <c r="F1594" s="7" t="str">
        <f t="shared" si="172"/>
        <v>UNI</v>
      </c>
      <c r="G1594" s="7" t="str">
        <f t="shared" si="173"/>
        <v>JEW</v>
      </c>
      <c r="H1594" s="7" t="str">
        <f t="shared" si="174"/>
        <v>NEC</v>
      </c>
      <c r="I1594" s="7" t="str">
        <f t="shared" si="175"/>
        <v>157</v>
      </c>
      <c r="J1594" s="7" t="str">
        <f t="shared" si="176"/>
        <v>MIX</v>
      </c>
      <c r="K1594" s="7" t="str">
        <f t="shared" si="177"/>
        <v>0</v>
      </c>
      <c r="L1594" s="7">
        <v>0</v>
      </c>
      <c r="M1594" s="7" t="s">
        <v>2609</v>
      </c>
      <c r="N1594" s="7">
        <f>_xlfn.XLOOKUP(A1594,[1]SKU!$A:$A,[1]SKU!$Z:$Z)</f>
        <v>1800000</v>
      </c>
    </row>
    <row r="1595" spans="1:14">
      <c r="A1595" s="1" t="s">
        <v>6487</v>
      </c>
      <c r="B1595" s="2" t="s">
        <v>4472</v>
      </c>
      <c r="C1595" s="2" t="s">
        <v>5857</v>
      </c>
      <c r="D1595" s="2" t="s">
        <v>6488</v>
      </c>
      <c r="E1595" s="7" t="str">
        <f t="shared" si="171"/>
        <v>HAM</v>
      </c>
      <c r="F1595" s="7" t="str">
        <f t="shared" si="172"/>
        <v>UNI</v>
      </c>
      <c r="G1595" s="7" t="str">
        <f t="shared" si="173"/>
        <v>JEW</v>
      </c>
      <c r="H1595" s="7" t="str">
        <f t="shared" si="174"/>
        <v>NEC</v>
      </c>
      <c r="I1595" s="7" t="str">
        <f t="shared" si="175"/>
        <v>158</v>
      </c>
      <c r="J1595" s="7" t="str">
        <f t="shared" si="176"/>
        <v>MIX</v>
      </c>
      <c r="K1595" s="7" t="str">
        <f t="shared" si="177"/>
        <v>0</v>
      </c>
      <c r="L1595" s="7">
        <v>0</v>
      </c>
      <c r="M1595" s="7" t="s">
        <v>2609</v>
      </c>
      <c r="N1595" s="7">
        <f>_xlfn.XLOOKUP(A1595,[1]SKU!$A:$A,[1]SKU!$Z:$Z)</f>
        <v>1800000</v>
      </c>
    </row>
    <row r="1596" spans="1:14">
      <c r="A1596" s="1" t="s">
        <v>6489</v>
      </c>
      <c r="B1596" s="2" t="s">
        <v>4472</v>
      </c>
      <c r="C1596" s="2" t="s">
        <v>4547</v>
      </c>
      <c r="D1596" s="2" t="s">
        <v>6490</v>
      </c>
      <c r="E1596" s="7" t="str">
        <f t="shared" si="171"/>
        <v>HAM</v>
      </c>
      <c r="F1596" s="7" t="str">
        <f t="shared" si="172"/>
        <v>UNI</v>
      </c>
      <c r="G1596" s="7" t="str">
        <f t="shared" si="173"/>
        <v>JEW</v>
      </c>
      <c r="H1596" s="7" t="str">
        <f t="shared" si="174"/>
        <v>NEC</v>
      </c>
      <c r="I1596" s="7" t="str">
        <f t="shared" si="175"/>
        <v>A37</v>
      </c>
      <c r="J1596" s="7" t="str">
        <f t="shared" si="176"/>
        <v>MIX</v>
      </c>
      <c r="K1596" s="7" t="str">
        <f t="shared" si="177"/>
        <v>0</v>
      </c>
      <c r="L1596" s="7">
        <v>0</v>
      </c>
      <c r="M1596" s="7" t="s">
        <v>2609</v>
      </c>
      <c r="N1596" s="7">
        <f>_xlfn.XLOOKUP(A1596,[1]SKU!$A:$A,[1]SKU!$Z:$Z)</f>
        <v>2200000</v>
      </c>
    </row>
    <row r="1597" spans="1:14">
      <c r="A1597" s="1" t="s">
        <v>4933</v>
      </c>
      <c r="B1597" s="2" t="s">
        <v>4472</v>
      </c>
      <c r="C1597" s="2" t="s">
        <v>4547</v>
      </c>
      <c r="D1597" s="2" t="s">
        <v>4934</v>
      </c>
      <c r="E1597" s="7" t="str">
        <f t="shared" si="171"/>
        <v>HAM</v>
      </c>
      <c r="F1597" s="7" t="str">
        <f t="shared" si="172"/>
        <v>UNI</v>
      </c>
      <c r="G1597" s="7" t="str">
        <f t="shared" si="173"/>
        <v>JEW</v>
      </c>
      <c r="H1597" s="7" t="str">
        <f t="shared" si="174"/>
        <v>NEC</v>
      </c>
      <c r="I1597" s="7" t="str">
        <f t="shared" si="175"/>
        <v>A36</v>
      </c>
      <c r="J1597" s="7" t="str">
        <f t="shared" si="176"/>
        <v>MIX</v>
      </c>
      <c r="K1597" s="7" t="str">
        <f t="shared" si="177"/>
        <v>0</v>
      </c>
      <c r="L1597" s="7">
        <v>0</v>
      </c>
      <c r="M1597" s="7" t="s">
        <v>2609</v>
      </c>
      <c r="N1597" s="7">
        <f>_xlfn.XLOOKUP(A1597,[1]SKU!$A:$A,[1]SKU!$Z:$Z)</f>
        <v>2200000</v>
      </c>
    </row>
    <row r="1598" spans="1:14">
      <c r="A1598" s="1" t="s">
        <v>6491</v>
      </c>
      <c r="B1598" s="2" t="s">
        <v>4472</v>
      </c>
      <c r="C1598" s="2" t="s">
        <v>5423</v>
      </c>
      <c r="D1598" s="2" t="s">
        <v>6492</v>
      </c>
      <c r="E1598" s="7" t="str">
        <f t="shared" si="171"/>
        <v>HAM</v>
      </c>
      <c r="F1598" s="7" t="str">
        <f t="shared" si="172"/>
        <v>UNI</v>
      </c>
      <c r="G1598" s="7" t="str">
        <f t="shared" si="173"/>
        <v>JEW</v>
      </c>
      <c r="H1598" s="7" t="str">
        <f t="shared" si="174"/>
        <v>NEC</v>
      </c>
      <c r="I1598" s="7" t="str">
        <f t="shared" si="175"/>
        <v>003</v>
      </c>
      <c r="J1598" s="7" t="str">
        <f t="shared" si="176"/>
        <v>MIX</v>
      </c>
      <c r="K1598" s="7" t="str">
        <f t="shared" si="177"/>
        <v>0</v>
      </c>
      <c r="L1598" s="7">
        <v>0</v>
      </c>
      <c r="M1598" s="7" t="s">
        <v>2609</v>
      </c>
      <c r="N1598" s="7">
        <f>_xlfn.XLOOKUP(A1598,[1]SKU!$A:$A,[1]SKU!$Z:$Z)</f>
        <v>1100000</v>
      </c>
    </row>
    <row r="1599" spans="1:14">
      <c r="A1599" s="1" t="s">
        <v>6493</v>
      </c>
      <c r="B1599" s="2" t="s">
        <v>4472</v>
      </c>
      <c r="C1599" s="2" t="s">
        <v>4931</v>
      </c>
      <c r="D1599" s="2" t="s">
        <v>6494</v>
      </c>
      <c r="E1599" s="7" t="str">
        <f t="shared" si="171"/>
        <v>HAM</v>
      </c>
      <c r="F1599" s="7" t="str">
        <f t="shared" si="172"/>
        <v>UNI</v>
      </c>
      <c r="G1599" s="7" t="str">
        <f t="shared" si="173"/>
        <v>JEW</v>
      </c>
      <c r="H1599" s="7" t="str">
        <f t="shared" si="174"/>
        <v>NEC</v>
      </c>
      <c r="I1599" s="7" t="str">
        <f t="shared" si="175"/>
        <v>150</v>
      </c>
      <c r="J1599" s="7" t="str">
        <f t="shared" si="176"/>
        <v>MIX</v>
      </c>
      <c r="K1599" s="7" t="str">
        <f t="shared" si="177"/>
        <v>0</v>
      </c>
      <c r="L1599" s="7">
        <v>0</v>
      </c>
      <c r="M1599" s="7" t="s">
        <v>2609</v>
      </c>
      <c r="N1599" s="7">
        <f>_xlfn.XLOOKUP(A1599,[1]SKU!$A:$A,[1]SKU!$Z:$Z)</f>
        <v>2200000</v>
      </c>
    </row>
    <row r="1600" spans="1:14">
      <c r="A1600" s="1" t="s">
        <v>6495</v>
      </c>
      <c r="B1600" s="2" t="s">
        <v>4472</v>
      </c>
      <c r="C1600" s="2" t="s">
        <v>6471</v>
      </c>
      <c r="D1600" s="2" t="s">
        <v>6496</v>
      </c>
      <c r="E1600" s="7" t="str">
        <f t="shared" si="171"/>
        <v>HAM</v>
      </c>
      <c r="F1600" s="7" t="str">
        <f t="shared" si="172"/>
        <v>UNI</v>
      </c>
      <c r="G1600" s="7" t="str">
        <f t="shared" si="173"/>
        <v>JEW</v>
      </c>
      <c r="H1600" s="7" t="str">
        <f t="shared" si="174"/>
        <v>NEC</v>
      </c>
      <c r="I1600" s="7" t="str">
        <f t="shared" si="175"/>
        <v>151</v>
      </c>
      <c r="J1600" s="7" t="str">
        <f t="shared" si="176"/>
        <v>MIX</v>
      </c>
      <c r="K1600" s="7" t="str">
        <f t="shared" si="177"/>
        <v>0</v>
      </c>
      <c r="L1600" s="7">
        <v>0</v>
      </c>
      <c r="M1600" s="7" t="s">
        <v>2609</v>
      </c>
      <c r="N1600" s="7">
        <f>_xlfn.XLOOKUP(A1600,[1]SKU!$A:$A,[1]SKU!$Z:$Z)</f>
        <v>2200000</v>
      </c>
    </row>
    <row r="1601" spans="1:14">
      <c r="A1601" s="1" t="s">
        <v>6497</v>
      </c>
      <c r="B1601" s="2" t="s">
        <v>4472</v>
      </c>
      <c r="C1601" s="2" t="s">
        <v>4507</v>
      </c>
      <c r="D1601" s="2" t="s">
        <v>6498</v>
      </c>
      <c r="E1601" s="7" t="str">
        <f t="shared" si="171"/>
        <v>HAM</v>
      </c>
      <c r="F1601" s="7" t="str">
        <f t="shared" si="172"/>
        <v>UNI</v>
      </c>
      <c r="G1601" s="7" t="str">
        <f t="shared" si="173"/>
        <v>JEW</v>
      </c>
      <c r="H1601" s="7" t="str">
        <f t="shared" si="174"/>
        <v>NEC</v>
      </c>
      <c r="I1601" s="7" t="str">
        <f t="shared" si="175"/>
        <v>152</v>
      </c>
      <c r="J1601" s="7" t="str">
        <f t="shared" si="176"/>
        <v>MIX</v>
      </c>
      <c r="K1601" s="7" t="str">
        <f t="shared" si="177"/>
        <v>0</v>
      </c>
      <c r="L1601" s="7">
        <v>0</v>
      </c>
      <c r="M1601" s="7" t="s">
        <v>2609</v>
      </c>
      <c r="N1601" s="7">
        <f>_xlfn.XLOOKUP(A1601,[1]SKU!$A:$A,[1]SKU!$Z:$Z)</f>
        <v>1800000</v>
      </c>
    </row>
    <row r="1602" spans="1:14">
      <c r="A1602" s="1" t="s">
        <v>6499</v>
      </c>
      <c r="B1602" s="2" t="s">
        <v>4472</v>
      </c>
      <c r="C1602" s="2" t="s">
        <v>4507</v>
      </c>
      <c r="D1602" s="2" t="s">
        <v>6500</v>
      </c>
      <c r="E1602" s="7" t="str">
        <f t="shared" ref="E1602:E1610" si="178">_xlfn.TEXTBEFORE(_xlfn.TEXTAFTER(D1602,"-"),"-")</f>
        <v>HAM</v>
      </c>
      <c r="F1602" s="7" t="str">
        <f t="shared" si="172"/>
        <v>UNI</v>
      </c>
      <c r="G1602" s="7" t="str">
        <f t="shared" si="173"/>
        <v>JEW</v>
      </c>
      <c r="H1602" s="7" t="str">
        <f t="shared" si="174"/>
        <v>NEC</v>
      </c>
      <c r="I1602" s="7" t="str">
        <f t="shared" si="175"/>
        <v>153</v>
      </c>
      <c r="J1602" s="7" t="str">
        <f t="shared" si="176"/>
        <v>MIX</v>
      </c>
      <c r="K1602" s="7" t="str">
        <f t="shared" si="177"/>
        <v>0</v>
      </c>
      <c r="L1602" s="7">
        <v>0</v>
      </c>
      <c r="M1602" s="7" t="s">
        <v>2609</v>
      </c>
      <c r="N1602" s="7">
        <f>_xlfn.XLOOKUP(A1602,[1]SKU!$A:$A,[1]SKU!$Z:$Z)</f>
        <v>1800000</v>
      </c>
    </row>
    <row r="1603" spans="1:14">
      <c r="A1603" s="1" t="s">
        <v>6501</v>
      </c>
      <c r="B1603" s="2" t="s">
        <v>4472</v>
      </c>
      <c r="C1603" s="2" t="s">
        <v>5857</v>
      </c>
      <c r="D1603" s="2" t="s">
        <v>6502</v>
      </c>
      <c r="E1603" s="7" t="str">
        <f t="shared" si="178"/>
        <v>HAM</v>
      </c>
      <c r="F1603" s="7" t="str">
        <f t="shared" si="172"/>
        <v>UNI</v>
      </c>
      <c r="G1603" s="7" t="str">
        <f t="shared" si="173"/>
        <v>JEW</v>
      </c>
      <c r="H1603" s="7" t="str">
        <f t="shared" si="174"/>
        <v>NEC</v>
      </c>
      <c r="I1603" s="7" t="str">
        <f t="shared" si="175"/>
        <v>154</v>
      </c>
      <c r="J1603" s="7" t="str">
        <f t="shared" si="176"/>
        <v>MIX</v>
      </c>
      <c r="K1603" s="7" t="str">
        <f t="shared" si="177"/>
        <v>0</v>
      </c>
      <c r="L1603" s="7">
        <v>0</v>
      </c>
      <c r="M1603" s="7" t="s">
        <v>2609</v>
      </c>
      <c r="N1603" s="7">
        <f>_xlfn.XLOOKUP(A1603,[1]SKU!$A:$A,[1]SKU!$Z:$Z)</f>
        <v>2000000</v>
      </c>
    </row>
    <row r="1604" spans="1:14">
      <c r="A1604" s="1" t="s">
        <v>6503</v>
      </c>
      <c r="B1604" s="2" t="s">
        <v>4472</v>
      </c>
      <c r="C1604" s="2" t="s">
        <v>4547</v>
      </c>
      <c r="D1604" s="2" t="s">
        <v>6504</v>
      </c>
      <c r="E1604" s="7" t="str">
        <f t="shared" si="178"/>
        <v>HAM</v>
      </c>
      <c r="F1604" s="7" t="str">
        <f t="shared" si="172"/>
        <v>UNI</v>
      </c>
      <c r="G1604" s="7" t="str">
        <f t="shared" si="173"/>
        <v>JEW</v>
      </c>
      <c r="H1604" s="7" t="str">
        <f t="shared" si="174"/>
        <v>NEC</v>
      </c>
      <c r="I1604" s="7" t="str">
        <f t="shared" si="175"/>
        <v>A55</v>
      </c>
      <c r="J1604" s="7" t="str">
        <f t="shared" si="176"/>
        <v>MIX</v>
      </c>
      <c r="K1604" s="7" t="str">
        <f t="shared" si="177"/>
        <v>0</v>
      </c>
      <c r="L1604" s="7">
        <v>0</v>
      </c>
      <c r="M1604" s="7" t="s">
        <v>2609</v>
      </c>
      <c r="N1604" s="7">
        <f>_xlfn.XLOOKUP(A1604,[1]SKU!$A:$A,[1]SKU!$Z:$Z)</f>
        <v>2200000</v>
      </c>
    </row>
    <row r="1605" spans="1:14">
      <c r="A1605" s="1" t="s">
        <v>1899</v>
      </c>
      <c r="B1605" s="2" t="s">
        <v>3</v>
      </c>
      <c r="C1605" s="2" t="s">
        <v>572</v>
      </c>
      <c r="D1605" s="2" t="s">
        <v>1900</v>
      </c>
      <c r="E1605" s="7" t="str">
        <f t="shared" si="178"/>
        <v>GSU</v>
      </c>
      <c r="F1605" s="7" t="str">
        <f t="shared" si="172"/>
        <v>KID</v>
      </c>
      <c r="G1605" s="7" t="str">
        <f t="shared" si="173"/>
        <v>TSS</v>
      </c>
      <c r="H1605" s="7" t="str">
        <f t="shared" si="174"/>
        <v>ONE</v>
      </c>
      <c r="I1605" s="7" t="str">
        <f t="shared" si="175"/>
        <v>SDS</v>
      </c>
      <c r="J1605" s="7" t="str">
        <f t="shared" si="176"/>
        <v>YEL</v>
      </c>
      <c r="K1605" s="7" t="str">
        <f t="shared" si="177"/>
        <v>2</v>
      </c>
      <c r="L1605" s="7" t="s">
        <v>2018</v>
      </c>
      <c r="M1605" s="7" t="s">
        <v>4462</v>
      </c>
      <c r="N1605" s="7">
        <v>650000</v>
      </c>
    </row>
    <row r="1606" spans="1:14">
      <c r="A1606" s="1" t="s">
        <v>1901</v>
      </c>
      <c r="B1606" s="2" t="s">
        <v>3</v>
      </c>
      <c r="C1606" s="2" t="s">
        <v>572</v>
      </c>
      <c r="D1606" s="2" t="s">
        <v>1902</v>
      </c>
      <c r="E1606" s="7" t="str">
        <f t="shared" si="178"/>
        <v>GSU</v>
      </c>
      <c r="F1606" s="7" t="str">
        <f t="shared" si="172"/>
        <v>KID</v>
      </c>
      <c r="G1606" s="7" t="str">
        <f t="shared" si="173"/>
        <v>TSS</v>
      </c>
      <c r="H1606" s="7" t="str">
        <f t="shared" si="174"/>
        <v>ONE</v>
      </c>
      <c r="I1606" s="7" t="str">
        <f t="shared" si="175"/>
        <v>SDS</v>
      </c>
      <c r="J1606" s="7" t="str">
        <f t="shared" si="176"/>
        <v>YEL</v>
      </c>
      <c r="K1606" s="7" t="str">
        <f t="shared" si="177"/>
        <v>4</v>
      </c>
      <c r="L1606" s="7" t="s">
        <v>2018</v>
      </c>
      <c r="M1606" s="7" t="s">
        <v>4462</v>
      </c>
      <c r="N1606" s="7">
        <v>650000</v>
      </c>
    </row>
    <row r="1607" spans="1:14">
      <c r="A1607" s="1" t="s">
        <v>903</v>
      </c>
      <c r="B1607" s="2" t="s">
        <v>3</v>
      </c>
      <c r="C1607" s="2" t="s">
        <v>572</v>
      </c>
      <c r="D1607" s="2" t="s">
        <v>904</v>
      </c>
      <c r="E1607" s="7" t="str">
        <f t="shared" si="178"/>
        <v>GSU</v>
      </c>
      <c r="F1607" s="7" t="str">
        <f t="shared" si="172"/>
        <v>KID</v>
      </c>
      <c r="G1607" s="7" t="str">
        <f t="shared" si="173"/>
        <v>TSS</v>
      </c>
      <c r="H1607" s="7" t="str">
        <f t="shared" si="174"/>
        <v>ONE</v>
      </c>
      <c r="I1607" s="7" t="str">
        <f t="shared" si="175"/>
        <v>SDS</v>
      </c>
      <c r="J1607" s="7" t="str">
        <f t="shared" si="176"/>
        <v>YEL</v>
      </c>
      <c r="K1607" s="7" t="str">
        <f t="shared" si="177"/>
        <v>6</v>
      </c>
      <c r="L1607" s="7" t="s">
        <v>2018</v>
      </c>
      <c r="M1607" s="7" t="s">
        <v>4462</v>
      </c>
      <c r="N1607" s="7">
        <f>_xlfn.XLOOKUP(A1607,[1]SKU!$A:$A,[1]SKU!$Z:$Z)</f>
        <v>650000</v>
      </c>
    </row>
    <row r="1608" spans="1:14">
      <c r="A1608" s="1" t="s">
        <v>1903</v>
      </c>
      <c r="B1608" s="2" t="s">
        <v>3</v>
      </c>
      <c r="C1608" s="2" t="s">
        <v>572</v>
      </c>
      <c r="D1608" s="2" t="s">
        <v>1904</v>
      </c>
      <c r="E1608" s="7" t="str">
        <f t="shared" si="178"/>
        <v>GSU</v>
      </c>
      <c r="F1608" s="7" t="str">
        <f t="shared" si="172"/>
        <v>KID</v>
      </c>
      <c r="G1608" s="7" t="str">
        <f t="shared" si="173"/>
        <v>TSS</v>
      </c>
      <c r="H1608" s="7" t="str">
        <f t="shared" si="174"/>
        <v>ONE</v>
      </c>
      <c r="I1608" s="7" t="str">
        <f t="shared" si="175"/>
        <v>SDS</v>
      </c>
      <c r="J1608" s="7" t="str">
        <f t="shared" si="176"/>
        <v>YEL</v>
      </c>
      <c r="K1608" s="7" t="str">
        <f t="shared" si="177"/>
        <v>8</v>
      </c>
      <c r="L1608" s="7" t="s">
        <v>2018</v>
      </c>
      <c r="M1608" s="7" t="s">
        <v>4462</v>
      </c>
      <c r="N1608" s="7">
        <v>650000</v>
      </c>
    </row>
    <row r="1609" spans="1:14">
      <c r="A1609" s="1" t="s">
        <v>1905</v>
      </c>
      <c r="B1609" s="2" t="s">
        <v>3</v>
      </c>
      <c r="C1609" s="2" t="s">
        <v>572</v>
      </c>
      <c r="D1609" s="2" t="s">
        <v>1906</v>
      </c>
      <c r="E1609" s="7" t="str">
        <f t="shared" si="178"/>
        <v>GSU</v>
      </c>
      <c r="F1609" s="7" t="str">
        <f t="shared" si="172"/>
        <v>KID</v>
      </c>
      <c r="G1609" s="7" t="str">
        <f t="shared" si="173"/>
        <v>TSS</v>
      </c>
      <c r="H1609" s="7" t="str">
        <f t="shared" si="174"/>
        <v>ONE</v>
      </c>
      <c r="I1609" s="7" t="str">
        <f t="shared" si="175"/>
        <v>SDS</v>
      </c>
      <c r="J1609" s="7" t="str">
        <f t="shared" si="176"/>
        <v>YEL</v>
      </c>
      <c r="K1609" s="7" t="str">
        <f t="shared" si="177"/>
        <v>10</v>
      </c>
      <c r="L1609" s="7" t="s">
        <v>2018</v>
      </c>
      <c r="M1609" s="7" t="s">
        <v>4462</v>
      </c>
      <c r="N1609" s="7">
        <v>650000</v>
      </c>
    </row>
    <row r="1610" spans="1:14">
      <c r="A1610" s="1" t="s">
        <v>1907</v>
      </c>
      <c r="B1610" s="2" t="s">
        <v>3</v>
      </c>
      <c r="C1610" s="2" t="s">
        <v>572</v>
      </c>
      <c r="D1610" s="2" t="s">
        <v>1908</v>
      </c>
      <c r="E1610" s="7" t="str">
        <f t="shared" si="178"/>
        <v>GSU</v>
      </c>
      <c r="F1610" s="7" t="str">
        <f t="shared" si="172"/>
        <v>KID</v>
      </c>
      <c r="G1610" s="7" t="str">
        <f t="shared" si="173"/>
        <v>TSS</v>
      </c>
      <c r="H1610" s="7" t="str">
        <f t="shared" si="174"/>
        <v>ONE</v>
      </c>
      <c r="I1610" s="7" t="str">
        <f t="shared" si="175"/>
        <v>SDS</v>
      </c>
      <c r="J1610" s="7" t="str">
        <f t="shared" si="176"/>
        <v>YEL</v>
      </c>
      <c r="K1610" s="7" t="str">
        <f t="shared" si="177"/>
        <v>12</v>
      </c>
      <c r="L1610" s="7" t="s">
        <v>2018</v>
      </c>
      <c r="M1610" s="7" t="s">
        <v>4462</v>
      </c>
      <c r="N1610" s="7">
        <v>650000</v>
      </c>
    </row>
  </sheetData>
  <autoFilter ref="A1:N1610" xr:uid="{75372882-6B9C-4B6C-B366-88E5D09AEBC3}"/>
  <sortState xmlns:xlrd2="http://schemas.microsoft.com/office/spreadsheetml/2017/richdata2" ref="A2:M731">
    <sortCondition ref="C2:C731"/>
  </sortState>
  <conditionalFormatting sqref="A2:A731">
    <cfRule type="duplicateValues" dxfId="37" priority="40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71AD7-E04B-451D-9438-339C74FE1395}">
  <sheetPr codeName="Sheet2"/>
  <dimension ref="A1:B35"/>
  <sheetViews>
    <sheetView workbookViewId="0">
      <selection sqref="A1:B35"/>
    </sheetView>
  </sheetViews>
  <sheetFormatPr defaultRowHeight="14"/>
  <sheetData>
    <row r="1" spans="1:2">
      <c r="A1" t="s">
        <v>0</v>
      </c>
      <c r="B1" t="s">
        <v>6505</v>
      </c>
    </row>
    <row r="2" spans="1:2">
      <c r="A2" t="s">
        <v>2388</v>
      </c>
      <c r="B2" t="str">
        <f>_xlfn.XLOOKUP(A2,'Hướng dẫn'!$I$26:$I$67,'Hướng dẫn'!$G$26:$G$67)</f>
        <v>Eugemie Darge</v>
      </c>
    </row>
    <row r="3" spans="1:2">
      <c r="A3" t="s">
        <v>1990</v>
      </c>
      <c r="B3" t="str">
        <f>_xlfn.XLOOKUP(A3,'Hướng dẫn'!$I$26:$I$67,'Hướng dẫn'!$G$26:$G$67)</f>
        <v>Special</v>
      </c>
    </row>
    <row r="4" spans="1:2">
      <c r="A4" t="s">
        <v>2084</v>
      </c>
      <c r="B4" t="str">
        <f>_xlfn.XLOOKUP(A4,'Hướng dẫn'!$I$26:$I$67,'Hướng dẫn'!$G$26:$G$67)</f>
        <v>Cotton Veil</v>
      </c>
    </row>
    <row r="5" spans="1:2">
      <c r="A5" t="s">
        <v>1980</v>
      </c>
      <c r="B5" t="str">
        <f>_xlfn.XLOOKUP(A5,'Hướng dẫn'!$I$26:$I$67,'Hướng dẫn'!$G$26:$G$67)</f>
        <v>Dominique Saint Paul</v>
      </c>
    </row>
    <row r="6" spans="1:2">
      <c r="A6" t="s">
        <v>2055</v>
      </c>
      <c r="B6" t="str">
        <f>_xlfn.XLOOKUP(A6,'Hướng dẫn'!$I$26:$I$67,'Hướng dẫn'!$G$26:$G$67)</f>
        <v>Basic</v>
      </c>
    </row>
    <row r="7" spans="1:2">
      <c r="A7" t="s">
        <v>2568</v>
      </c>
      <c r="B7" t="str">
        <f>_xlfn.XLOOKUP(A7,'Hướng dẫn'!$I$26:$I$67,'Hướng dẫn'!$G$26:$G$67)</f>
        <v>PETTI CAFÉ</v>
      </c>
    </row>
    <row r="8" spans="1:2">
      <c r="A8" t="s">
        <v>1923</v>
      </c>
      <c r="B8" t="str">
        <f>_xlfn.XLOOKUP(A8,'Hướng dẫn'!$I$26:$I$67,'Hướng dẫn'!$G$26:$G$67)</f>
        <v>Organic</v>
      </c>
    </row>
    <row r="9" spans="1:2">
      <c r="A9" t="s">
        <v>2610</v>
      </c>
      <c r="B9" t="str">
        <f>_xlfn.XLOOKUP(A9,'Hướng dẫn'!$I$26:$I$67,'Hướng dẫn'!$G$26:$G$67)</f>
        <v>Other</v>
      </c>
    </row>
    <row r="10" spans="1:2">
      <c r="A10" t="s">
        <v>2435</v>
      </c>
      <c r="B10" t="str">
        <f>_xlfn.XLOOKUP(A10,'Hướng dẫn'!$I$26:$I$67,'Hướng dẫn'!$G$26:$G$67)</f>
        <v>La'Artisan</v>
      </c>
    </row>
    <row r="11" spans="1:2">
      <c r="A11" t="s">
        <v>2036</v>
      </c>
      <c r="B11" t="str">
        <f>_xlfn.XLOOKUP(A11,'Hướng dẫn'!$I$26:$I$67,'Hướng dẫn'!$G$26:$G$67)</f>
        <v>Spandex</v>
      </c>
    </row>
    <row r="12" spans="1:2">
      <c r="A12" t="s">
        <v>2124</v>
      </c>
      <c r="B12" t="str">
        <f>_xlfn.XLOOKUP(A12,'Hướng dẫn'!$I$26:$I$67,'Hướng dẫn'!$G$26:$G$67)</f>
        <v>Vietk nife</v>
      </c>
    </row>
    <row r="13" spans="1:2">
      <c r="A13" t="s">
        <v>2339</v>
      </c>
      <c r="B13" t="str">
        <f>_xlfn.XLOOKUP(A13,'Hướng dẫn'!$I$26:$I$67,'Hướng dẫn'!$G$26:$G$67)</f>
        <v>Product Simplizied</v>
      </c>
    </row>
    <row r="14" spans="1:2">
      <c r="A14" t="s">
        <v>2116</v>
      </c>
      <c r="B14" t="str">
        <f>_xlfn.XLOOKUP(A14,'Hướng dẫn'!$I$26:$I$67,'Hướng dẫn'!$G$26:$G$67)</f>
        <v xml:space="preserve">Pique </v>
      </c>
    </row>
    <row r="15" spans="1:2">
      <c r="A15" t="s">
        <v>2013</v>
      </c>
      <c r="B15" t="str">
        <f>_xlfn.XLOOKUP(A15,'Hướng dẫn'!$I$26:$I$67,'Hướng dẫn'!$G$26:$G$67)</f>
        <v>Supima</v>
      </c>
    </row>
    <row r="16" spans="1:2">
      <c r="A16" t="s">
        <v>1898</v>
      </c>
      <c r="B16" t="str">
        <f>_xlfn.XLOOKUP(A16,'Hướng dẫn'!$I$26:$I$67,'Hướng dẫn'!$G$26:$G$67)</f>
        <v>Hamony</v>
      </c>
    </row>
    <row r="17" spans="1:2">
      <c r="A17" t="s">
        <v>2166</v>
      </c>
      <c r="B17" t="str">
        <f>_xlfn.XLOOKUP(A17,'Hướng dẫn'!$I$26:$I$67,'Hướng dẫn'!$G$26:$G$67)</f>
        <v>Linen</v>
      </c>
    </row>
    <row r="18" spans="1:2">
      <c r="A18" t="s">
        <v>2240</v>
      </c>
      <c r="B18" t="str">
        <f>_xlfn.XLOOKUP(A18,'Hướng dẫn'!$I$26:$I$67,'Hướng dẫn'!$G$26:$G$67)</f>
        <v>Café</v>
      </c>
    </row>
    <row r="19" spans="1:2">
      <c r="A19" t="s">
        <v>2283</v>
      </c>
      <c r="B19" t="str">
        <f>_xlfn.XLOOKUP(A19,'Hướng dẫn'!$I$26:$I$67,'Hướng dẫn'!$G$26:$G$67)</f>
        <v>Lady Triệu</v>
      </c>
    </row>
    <row r="20" spans="1:2">
      <c r="A20" t="s">
        <v>2130</v>
      </c>
      <c r="B20" t="str">
        <f>_xlfn.XLOOKUP(A20,'Hướng dẫn'!$I$26:$I$67,'Hướng dẫn'!$G$26:$G$67)</f>
        <v>Fish Skin Import</v>
      </c>
    </row>
    <row r="21" spans="1:2">
      <c r="A21" t="s">
        <v>2325</v>
      </c>
      <c r="B21" t="str">
        <f>_xlfn.XLOOKUP(A21,'Hướng dẫn'!$I$26:$I$67,'Hướng dẫn'!$G$26:$G$67)</f>
        <v>N'Go</v>
      </c>
    </row>
    <row r="22" spans="1:2">
      <c r="A22" t="s">
        <v>2297</v>
      </c>
      <c r="B22" t="str">
        <f>_xlfn.XLOOKUP(A22,'Hướng dẫn'!$I$26:$I$67,'Hướng dẫn'!$G$26:$G$67)</f>
        <v>Maztermind</v>
      </c>
    </row>
    <row r="23" spans="1:2">
      <c r="A23" t="s">
        <v>2405</v>
      </c>
      <c r="B23" t="str">
        <f>_xlfn.XLOOKUP(A23,'Hướng dẫn'!$I$26:$I$67,'Hướng dẫn'!$G$26:$G$67)</f>
        <v>Gardenia</v>
      </c>
    </row>
    <row r="24" spans="1:2">
      <c r="A24" t="s">
        <v>2213</v>
      </c>
      <c r="B24" t="str">
        <f>_xlfn.XLOOKUP(A24,'Hướng dẫn'!$I$26:$I$67,'Hướng dẫn'!$G$26:$G$67)</f>
        <v>Shin Coffee</v>
      </c>
    </row>
    <row r="25" spans="1:2">
      <c r="A25" t="s">
        <v>2510</v>
      </c>
      <c r="B25" t="str">
        <f>_xlfn.XLOOKUP(A25,'Hướng dẫn'!$I$26:$I$67,'Hướng dẫn'!$G$26:$G$67)</f>
        <v>ODES</v>
      </c>
    </row>
    <row r="26" spans="1:2">
      <c r="A26" t="s">
        <v>2069</v>
      </c>
      <c r="B26" t="str">
        <f>_xlfn.XLOOKUP(A26,'Hướng dẫn'!$I$26:$I$67,'Hướng dẫn'!$G$26:$G$67)</f>
        <v>Classic</v>
      </c>
    </row>
    <row r="27" spans="1:2">
      <c r="A27" t="s">
        <v>2100</v>
      </c>
      <c r="B27" t="str">
        <f>_xlfn.XLOOKUP(A27,'Hướng dẫn'!$I$26:$I$67,'Hướng dẫn'!$G$26:$G$67)</f>
        <v>Khaki</v>
      </c>
    </row>
    <row r="28" spans="1:2">
      <c r="A28" t="s">
        <v>2552</v>
      </c>
      <c r="B28" t="str">
        <f>_xlfn.XLOOKUP(A28,'Hướng dẫn'!$I$26:$I$67,'Hướng dẫn'!$G$26:$G$67)</f>
        <v>Runam</v>
      </c>
    </row>
    <row r="29" spans="1:2">
      <c r="A29" t="s">
        <v>2242</v>
      </c>
      <c r="B29" t="str">
        <f>_xlfn.XLOOKUP(A29,'Hướng dẫn'!$I$26:$I$67,'Hướng dẫn'!$G$26:$G$67)</f>
        <v>Bạc Liêu</v>
      </c>
    </row>
    <row r="30" spans="1:2">
      <c r="A30" t="s">
        <v>2183</v>
      </c>
      <c r="B30" t="str">
        <f>_xlfn.XLOOKUP(A30,'Hướng dẫn'!$I$26:$I$67,'Hướng dẫn'!$G$26:$G$67)</f>
        <v>Canvas</v>
      </c>
    </row>
    <row r="31" spans="1:2">
      <c r="A31" t="s">
        <v>2479</v>
      </c>
      <c r="B31" t="str">
        <f>_xlfn.XLOOKUP(A31,'Hướng dẫn'!$I$26:$I$67,'Hướng dẫn'!$G$26:$G$67)</f>
        <v>Tohe</v>
      </c>
    </row>
    <row r="32" spans="1:2">
      <c r="A32" t="s">
        <v>2539</v>
      </c>
      <c r="B32" t="str">
        <f>_xlfn.XLOOKUP(A32,'Hướng dẫn'!$I$26:$I$67,'Hướng dẫn'!$G$26:$G$67)</f>
        <v>TheoragniKoffee</v>
      </c>
    </row>
    <row r="33" spans="1:2">
      <c r="A33" t="s">
        <v>2149</v>
      </c>
      <c r="B33" t="str">
        <f>_xlfn.XLOOKUP(A33,'Hướng dẫn'!$I$26:$I$67,'Hướng dẫn'!$G$26:$G$67)</f>
        <v>Fish Skin</v>
      </c>
    </row>
    <row r="34" spans="1:2">
      <c r="A34" t="s">
        <v>2309</v>
      </c>
      <c r="B34" t="str">
        <f>_xlfn.XLOOKUP(A34,'Hướng dẫn'!$I$26:$I$67,'Hướng dẫn'!$G$26:$G$67)</f>
        <v>Mùa Sake</v>
      </c>
    </row>
    <row r="35" spans="1:2">
      <c r="A35" t="s">
        <v>2595</v>
      </c>
      <c r="B35" t="str">
        <f>_xlfn.XLOOKUP(A35,'Hướng dẫn'!$I$26:$I$67,'Hướng dẫn'!$G$26:$G$67)</f>
        <v>Ngôi nhà quận 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1995B-4AE9-4E69-93D6-7D623B30044A}">
  <sheetPr codeName="Sheet3"/>
  <dimension ref="A1:B34"/>
  <sheetViews>
    <sheetView workbookViewId="0">
      <selection activeCell="H15" sqref="H15"/>
    </sheetView>
  </sheetViews>
  <sheetFormatPr defaultRowHeight="14"/>
  <sheetData>
    <row r="1" spans="1:2">
      <c r="A1" t="s">
        <v>1913</v>
      </c>
      <c r="B1" t="s">
        <v>6505</v>
      </c>
    </row>
    <row r="2" spans="1:2">
      <c r="A2" t="s">
        <v>2859</v>
      </c>
      <c r="B2" t="s">
        <v>6506</v>
      </c>
    </row>
    <row r="3" spans="1:2">
      <c r="A3" t="s">
        <v>2313</v>
      </c>
      <c r="B3" t="str">
        <f>IF(_xlfn.XLOOKUP(A3,'Hướng dẫn'!$U$27:$U$98,'Hướng dẫn'!$R$27:$R$98)=0,A3,_xlfn.XLOOKUP(A3,'Hướng dẫn'!$U$27:$U$98,'Hướng dẫn'!$R$27:$R$98))</f>
        <v>Tank Top Sleeveless</v>
      </c>
    </row>
    <row r="4" spans="1:2">
      <c r="A4" t="s">
        <v>2214</v>
      </c>
      <c r="B4" t="str">
        <f>IF(_xlfn.XLOOKUP(A4,'Hướng dẫn'!$U$27:$U$98,'Hướng dẫn'!$R$27:$R$98)=0,A4,_xlfn.XLOOKUP(A4,'Hướng dẫn'!$U$27:$U$98,'Hướng dẫn'!$R$27:$R$98))</f>
        <v xml:space="preserve">Shirt Short Sleeves </v>
      </c>
    </row>
    <row r="5" spans="1:2">
      <c r="A5" t="s">
        <v>2544</v>
      </c>
      <c r="B5" t="s">
        <v>6507</v>
      </c>
    </row>
    <row r="6" spans="1:2">
      <c r="A6" t="s">
        <v>2021</v>
      </c>
      <c r="B6" t="str">
        <f>IF(_xlfn.XLOOKUP(A6,'Hướng dẫn'!$U$27:$U$98,'Hướng dẫn'!$R$27:$R$98)=0,A6,_xlfn.XLOOKUP(A6,'Hướng dẫn'!$U$27:$U$98,'Hướng dẫn'!$R$27:$R$98))</f>
        <v>T-Shirt Short Sleeves</v>
      </c>
    </row>
    <row r="7" spans="1:2">
      <c r="A7" t="s">
        <v>2901</v>
      </c>
      <c r="B7" t="s">
        <v>4481</v>
      </c>
    </row>
    <row r="8" spans="1:2">
      <c r="A8" t="s">
        <v>2276</v>
      </c>
      <c r="B8" t="s">
        <v>6512</v>
      </c>
    </row>
    <row r="9" spans="1:2">
      <c r="A9" t="s">
        <v>1928</v>
      </c>
      <c r="B9" t="str">
        <f>IF(_xlfn.XLOOKUP(A9,'Hướng dẫn'!$U$27:$U$98,'Hướng dẫn'!$R$27:$R$98)=0,A9,_xlfn.XLOOKUP(A9,'Hướng dẫn'!$U$27:$U$98,'Hướng dẫn'!$R$27:$R$98))</f>
        <v>Polo Short sleeves</v>
      </c>
    </row>
    <row r="10" spans="1:2">
      <c r="A10" t="s">
        <v>2362</v>
      </c>
      <c r="B10" t="s">
        <v>6511</v>
      </c>
    </row>
    <row r="11" spans="1:2">
      <c r="A11" t="s">
        <v>2329</v>
      </c>
      <c r="B11" t="str">
        <f>IF(_xlfn.XLOOKUP(A11,'Hướng dẫn'!$U$27:$U$98,'Hướng dẫn'!$R$27:$R$98)=0,A11,_xlfn.XLOOKUP(A11,'Hướng dẫn'!$U$27:$U$98,'Hướng dẫn'!$R$27:$R$98))</f>
        <v>Tanktop Open Back</v>
      </c>
    </row>
    <row r="12" spans="1:2">
      <c r="A12" t="s">
        <v>2875</v>
      </c>
      <c r="B12" t="s">
        <v>6510</v>
      </c>
    </row>
    <row r="13" spans="1:2">
      <c r="A13" t="s">
        <v>2703</v>
      </c>
      <c r="B13" t="str">
        <f>IF(_xlfn.XLOOKUP(A13,'Hướng dẫn'!$U$27:$U$98,'Hướng dẫn'!$R$27:$R$98)=0,A13,_xlfn.XLOOKUP(A13,'Hướng dẫn'!$U$27:$U$98,'Hướng dẫn'!$R$27:$R$98))</f>
        <v>Pants slim fit</v>
      </c>
    </row>
    <row r="14" spans="1:2">
      <c r="A14" t="s">
        <v>2934</v>
      </c>
      <c r="B14" t="s">
        <v>2934</v>
      </c>
    </row>
    <row r="15" spans="1:2">
      <c r="A15" t="s">
        <v>2120</v>
      </c>
      <c r="B15" t="str">
        <f>IF(_xlfn.XLOOKUP(A15,'Hướng dẫn'!$U$27:$U$98,'Hướng dẫn'!$R$27:$R$98)=0,A15,_xlfn.XLOOKUP(A15,'Hướng dẫn'!$U$27:$U$98,'Hướng dẫn'!$R$27:$R$98))</f>
        <v>Apple</v>
      </c>
    </row>
    <row r="16" spans="1:2">
      <c r="A16" t="s">
        <v>2497</v>
      </c>
      <c r="B16" t="str">
        <f>IF(_xlfn.XLOOKUP(A16,'Hướng dẫn'!$U$27:$U$98,'Hướng dẫn'!$R$27:$R$98)=0,A16,_xlfn.XLOOKUP(A16,'Hướng dẫn'!$U$27:$U$98,'Hướng dẫn'!$R$27:$R$98))</f>
        <v>Hoodies long sleeves</v>
      </c>
    </row>
    <row r="17" spans="1:2">
      <c r="A17" t="s">
        <v>2088</v>
      </c>
      <c r="B17" t="str">
        <f>IF(_xlfn.XLOOKUP(A17,'Hướng dẫn'!$U$27:$U$98,'Hướng dẫn'!$R$27:$R$98)=0,A17,_xlfn.XLOOKUP(A17,'Hướng dẫn'!$U$27:$U$98,'Hướng dẫn'!$R$27:$R$98))</f>
        <v>T-shirts Pocket Short Sleeves</v>
      </c>
    </row>
    <row r="18" spans="1:2">
      <c r="A18" t="s">
        <v>2924</v>
      </c>
      <c r="B18" t="s">
        <v>3103</v>
      </c>
    </row>
    <row r="19" spans="1:2">
      <c r="A19" t="s">
        <v>2170</v>
      </c>
      <c r="B19" t="str">
        <f>IF(_xlfn.XLOOKUP(A19,'Hướng dẫn'!$U$27:$U$98,'Hướng dẫn'!$R$27:$R$98)=0,A19,_xlfn.XLOOKUP(A19,'Hướng dẫn'!$U$27:$U$98,'Hướng dẫn'!$R$27:$R$98))</f>
        <v>Plus Size</v>
      </c>
    </row>
    <row r="20" spans="1:2">
      <c r="A20" t="s">
        <v>2074</v>
      </c>
      <c r="B20" t="str">
        <f>IF(_xlfn.XLOOKUP(A20,'Hướng dẫn'!$U$27:$U$98,'Hướng dẫn'!$R$27:$R$98)=0,A20,_xlfn.XLOOKUP(A20,'Hướng dẫn'!$U$27:$U$98,'Hướng dẫn'!$R$27:$R$98))</f>
        <v>T-Shirt Oversized</v>
      </c>
    </row>
    <row r="21" spans="1:2">
      <c r="A21" t="s">
        <v>2787</v>
      </c>
      <c r="B21" t="str">
        <f>IF(_xlfn.XLOOKUP(A21,'Hướng dẫn'!$U$27:$U$98,'Hướng dẫn'!$R$27:$R$98)=0,A21,_xlfn.XLOOKUP(A21,'Hướng dẫn'!$U$27:$U$98,'Hướng dẫn'!$R$27:$R$98))</f>
        <v>High waist Short</v>
      </c>
    </row>
    <row r="22" spans="1:2">
      <c r="A22" t="s">
        <v>2891</v>
      </c>
      <c r="B22" t="s">
        <v>6513</v>
      </c>
    </row>
    <row r="23" spans="1:2">
      <c r="A23" t="s">
        <v>2104</v>
      </c>
      <c r="B23" t="str">
        <f>IF(_xlfn.XLOOKUP(A23,'Hướng dẫn'!$U$27:$U$98,'Hướng dẫn'!$R$27:$R$98)=0,A23,_xlfn.XLOOKUP(A23,'Hướng dẫn'!$U$27:$U$98,'Hướng dẫn'!$R$27:$R$98))</f>
        <v>T-Shirt Open Back</v>
      </c>
    </row>
    <row r="24" spans="1:2">
      <c r="A24" t="s">
        <v>2456</v>
      </c>
      <c r="B24" t="str">
        <f>IF(_xlfn.XLOOKUP(A24,'Hướng dẫn'!$U$27:$U$98,'Hướng dẫn'!$R$27:$R$98)=0,A24,_xlfn.XLOOKUP(A24,'Hướng dẫn'!$U$27:$U$98,'Hướng dẫn'!$R$27:$R$98))</f>
        <v>Crop Top Short Sleeves Crew Neck Oversized</v>
      </c>
    </row>
    <row r="25" spans="1:2">
      <c r="A25" t="s">
        <v>2754</v>
      </c>
      <c r="B25" t="str">
        <f>IF(_xlfn.XLOOKUP(A25,'Hướng dẫn'!$U$27:$U$98,'Hướng dẫn'!$R$27:$R$98)=0,A25,_xlfn.XLOOKUP(A25,'Hướng dẫn'!$U$27:$U$98,'Hướng dẫn'!$R$27:$R$98))</f>
        <v>Short men straight</v>
      </c>
    </row>
    <row r="26" spans="1:2">
      <c r="A26" t="s">
        <v>2273</v>
      </c>
      <c r="B26" t="str">
        <f>IF(_xlfn.XLOOKUP(A26,'Hướng dẫn'!$U$27:$U$98,'Hướng dẫn'!$R$27:$R$98)=0,A26,_xlfn.XLOOKUP(A26,'Hướng dẫn'!$U$27:$U$98,'Hướng dẫn'!$R$27:$R$98))</f>
        <v>Blouse Long Sleeves Asymmetrical</v>
      </c>
    </row>
    <row r="27" spans="1:2">
      <c r="A27" t="s">
        <v>2821</v>
      </c>
      <c r="B27" t="s">
        <v>6508</v>
      </c>
    </row>
    <row r="28" spans="1:2">
      <c r="A28" t="s">
        <v>2776</v>
      </c>
      <c r="B28" t="str">
        <f>IF(_xlfn.XLOOKUP(A28,'Hướng dẫn'!$U$27:$U$98,'Hướng dẫn'!$R$27:$R$98)=0,A28,_xlfn.XLOOKUP(A28,'Hướng dẫn'!$U$27:$U$98,'Hướng dẫn'!$R$27:$R$98))</f>
        <v>Short women curved</v>
      </c>
    </row>
    <row r="29" spans="1:2">
      <c r="A29" t="s">
        <v>2134</v>
      </c>
      <c r="B29" t="str">
        <f>IF(_xlfn.XLOOKUP(A29,'Hướng dẫn'!$U$27:$U$98,'Hướng dẫn'!$R$27:$R$98)=0,A29,_xlfn.XLOOKUP(A29,'Hướng dẫn'!$U$27:$U$98,'Hướng dẫn'!$R$27:$R$98))</f>
        <v>Freesize</v>
      </c>
    </row>
    <row r="30" spans="1:2">
      <c r="A30" t="s">
        <v>2584</v>
      </c>
      <c r="B30" t="str">
        <f>IF(_xlfn.XLOOKUP(A30,'Hướng dẫn'!$U$27:$U$98,'Hướng dẫn'!$R$27:$R$98)=0,A30,_xlfn.XLOOKUP(A30,'Hướng dẫn'!$U$27:$U$98,'Hướng dẫn'!$R$27:$R$98))</f>
        <v>Sweatshirt long sleeves</v>
      </c>
    </row>
    <row r="31" spans="1:2">
      <c r="A31" t="s">
        <v>2287</v>
      </c>
      <c r="B31" t="str">
        <f>IF(_xlfn.XLOOKUP(A31,'Hướng dẫn'!$U$27:$U$98,'Hướng dẫn'!$R$27:$R$98)=0,A31,_xlfn.XLOOKUP(A31,'Hướng dẫn'!$U$27:$U$98,'Hướng dẫn'!$R$27:$R$98))</f>
        <v>Blouse Open Back Short Sleeves</v>
      </c>
    </row>
    <row r="32" spans="1:2">
      <c r="A32" t="s">
        <v>2797</v>
      </c>
      <c r="B32" t="str">
        <f>IF(_xlfn.XLOOKUP(A32,'Hướng dẫn'!$U$27:$U$98,'Hướng dẫn'!$R$27:$R$98)=0,A32,_xlfn.XLOOKUP(A32,'Hướng dẫn'!$U$27:$U$98,'Hướng dẫn'!$R$27:$R$98))</f>
        <v>Slit Pencil Skirt</v>
      </c>
    </row>
    <row r="33" spans="1:2">
      <c r="A33" t="s">
        <v>2458</v>
      </c>
      <c r="B33" t="s">
        <v>6509</v>
      </c>
    </row>
    <row r="34" spans="1:2">
      <c r="A34" t="s">
        <v>2301</v>
      </c>
      <c r="B34" t="str">
        <f>IF(_xlfn.XLOOKUP(A34,'Hướng dẫn'!$U$27:$U$98,'Hướng dẫn'!$R$27:$R$98)=0,A34,_xlfn.XLOOKUP(A34,'Hướng dẫn'!$U$27:$U$98,'Hướng dẫn'!$R$27:$R$98))</f>
        <v>Blouse Crop Top</v>
      </c>
    </row>
  </sheetData>
  <autoFilter ref="A1:B34" xr:uid="{F9E1995B-4AE9-4E69-93D6-7D623B30044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C37D-4672-46C2-9AF9-4FFD7E892EA9}">
  <sheetPr codeName="Sheet4"/>
  <dimension ref="A1:B1610"/>
  <sheetViews>
    <sheetView workbookViewId="0">
      <selection activeCell="G17" sqref="G17"/>
    </sheetView>
  </sheetViews>
  <sheetFormatPr defaultRowHeight="14"/>
  <sheetData>
    <row r="1" spans="1:2">
      <c r="A1" t="s">
        <v>1912</v>
      </c>
      <c r="B1" t="s">
        <v>6505</v>
      </c>
    </row>
    <row r="2" spans="1:2">
      <c r="A2" t="s">
        <v>3073</v>
      </c>
      <c r="B2" t="str">
        <f>_xlfn.XLOOKUP(A2,'Hướng dẫn'!AA:AA,'Hướng dẫn'!X:X)</f>
        <v>Frame</v>
      </c>
    </row>
    <row r="3" spans="1:2">
      <c r="A3" t="s">
        <v>2078</v>
      </c>
      <c r="B3" t="str">
        <f>_xlfn.XLOOKUP(A3,'Hướng dẫn'!AA:AA,'Hướng dẫn'!X:X)</f>
        <v>Crew neck classic</v>
      </c>
    </row>
    <row r="4" spans="1:2">
      <c r="A4" t="s">
        <v>2048</v>
      </c>
      <c r="B4" t="str">
        <f>_xlfn.XLOOKUP(A4,'Hướng dẫn'!AA:AA,'Hướng dẫn'!X:X)</f>
        <v>Button-down Collar</v>
      </c>
    </row>
    <row r="5" spans="1:2">
      <c r="A5" t="s">
        <v>2601</v>
      </c>
      <c r="B5" t="str">
        <f>_xlfn.XLOOKUP(A5,'Hướng dẫn'!AA:AA,'Hướng dẫn'!X:X)</f>
        <v>Handbag</v>
      </c>
    </row>
    <row r="6" spans="1:2">
      <c r="A6" t="s">
        <v>2694</v>
      </c>
      <c r="B6" t="str">
        <f>_xlfn.XLOOKUP(A6,'Hướng dẫn'!AA:AA,'Hướng dẫn'!X:X)</f>
        <v>Clutch</v>
      </c>
    </row>
    <row r="7" spans="1:2">
      <c r="A7" t="s">
        <v>2694</v>
      </c>
      <c r="B7" t="str">
        <f>_xlfn.XLOOKUP(A7,'Hướng dẫn'!AA:AA,'Hướng dẫn'!X:X)</f>
        <v>Clutch</v>
      </c>
    </row>
    <row r="8" spans="1:2">
      <c r="A8" t="s">
        <v>2078</v>
      </c>
      <c r="B8" t="str">
        <f>_xlfn.XLOOKUP(A8,'Hướng dẫn'!AA:AA,'Hướng dẫn'!X:X)</f>
        <v>Crew neck classic</v>
      </c>
    </row>
    <row r="9" spans="1:2">
      <c r="A9" t="s">
        <v>2901</v>
      </c>
      <c r="B9" t="str">
        <f>_xlfn.XLOOKUP(A9,'Hướng dẫn'!AA:AA,'Hướng dẫn'!X:X)</f>
        <v>ART</v>
      </c>
    </row>
    <row r="10" spans="1:2">
      <c r="A10" t="s">
        <v>2078</v>
      </c>
      <c r="B10" t="str">
        <f>_xlfn.XLOOKUP(A10,'Hướng dẫn'!AA:AA,'Hướng dẫn'!X:X)</f>
        <v>Crew neck classic</v>
      </c>
    </row>
    <row r="11" spans="1:2">
      <c r="A11" t="s">
        <v>2316</v>
      </c>
      <c r="B11" t="str">
        <f>_xlfn.XLOOKUP(A11,'Hướng dẫn'!AA:AA,'Hướng dẫn'!X:X)</f>
        <v>Headband</v>
      </c>
    </row>
    <row r="12" spans="1:2">
      <c r="A12" t="s">
        <v>2078</v>
      </c>
      <c r="B12" t="str">
        <f>_xlfn.XLOOKUP(A12,'Hướng dẫn'!AA:AA,'Hướng dẫn'!X:X)</f>
        <v>Crew neck classic</v>
      </c>
    </row>
    <row r="13" spans="1:2">
      <c r="A13" t="s">
        <v>2516</v>
      </c>
      <c r="B13" t="str">
        <f>_xlfn.XLOOKUP(A13,'Hướng dẫn'!AA:AA,'Hướng dẫn'!X:X)</f>
        <v>Scarf Satin Double Side Print</v>
      </c>
    </row>
    <row r="14" spans="1:2">
      <c r="A14" t="s">
        <v>2078</v>
      </c>
      <c r="B14" t="str">
        <f>_xlfn.XLOOKUP(A14,'Hướng dẫn'!AA:AA,'Hướng dẫn'!X:X)</f>
        <v>Crew neck classic</v>
      </c>
    </row>
    <row r="15" spans="1:2">
      <c r="A15" t="s">
        <v>2001</v>
      </c>
      <c r="B15" t="str">
        <f>_xlfn.XLOOKUP(A15,'Hướng dẫn'!AA:AA,'Hướng dẫn'!X:X)</f>
        <v>Mandarin Collar</v>
      </c>
    </row>
    <row r="16" spans="1:2">
      <c r="A16" t="s">
        <v>3025</v>
      </c>
      <c r="B16" t="str">
        <f>_xlfn.XLOOKUP(A16,'Hướng dẫn'!AA:AA,'Hướng dẫn'!X:X)</f>
        <v>Damascus Steel</v>
      </c>
    </row>
    <row r="17" spans="1:2">
      <c r="A17" t="s">
        <v>2078</v>
      </c>
      <c r="B17" t="str">
        <f>_xlfn.XLOOKUP(A17,'Hướng dẫn'!AA:AA,'Hướng dẫn'!X:X)</f>
        <v>Crew neck classic</v>
      </c>
    </row>
    <row r="18" spans="1:2">
      <c r="A18" t="s">
        <v>2901</v>
      </c>
      <c r="B18" t="str">
        <f>_xlfn.XLOOKUP(A18,'Hướng dẫn'!AA:AA,'Hướng dẫn'!X:X)</f>
        <v>ART</v>
      </c>
    </row>
    <row r="19" spans="1:2">
      <c r="A19" t="s">
        <v>2977</v>
      </c>
      <c r="B19" t="str">
        <f>_xlfn.XLOOKUP(A19,'Hướng dẫn'!AA:AA,'Hướng dẫn'!X:X)</f>
        <v>Decorative Items</v>
      </c>
    </row>
    <row r="20" spans="1:2">
      <c r="A20" t="s">
        <v>2001</v>
      </c>
      <c r="B20" t="str">
        <f>_xlfn.XLOOKUP(A20,'Hướng dẫn'!AA:AA,'Hướng dẫn'!X:X)</f>
        <v>Mandarin Collar</v>
      </c>
    </row>
    <row r="21" spans="1:2">
      <c r="A21" t="s">
        <v>2425</v>
      </c>
      <c r="B21" t="str">
        <f>_xlfn.XLOOKUP(A21,'Hướng dẫn'!AA:AA,'Hướng dẫn'!X:X)</f>
        <v>Flats</v>
      </c>
    </row>
    <row r="22" spans="1:2">
      <c r="A22" t="s">
        <v>2138</v>
      </c>
      <c r="B22" t="str">
        <f>_xlfn.XLOOKUP(A22,'Hướng dẫn'!AA:AA,'Hướng dẫn'!X:X)</f>
        <v>Boat Neck</v>
      </c>
    </row>
    <row r="23" spans="1:2">
      <c r="A23" t="s">
        <v>2078</v>
      </c>
      <c r="B23" t="str">
        <f>_xlfn.XLOOKUP(A23,'Hướng dẫn'!AA:AA,'Hướng dẫn'!X:X)</f>
        <v>Crew neck classic</v>
      </c>
    </row>
    <row r="24" spans="1:2">
      <c r="A24" t="s">
        <v>2516</v>
      </c>
      <c r="B24" t="str">
        <f>_xlfn.XLOOKUP(A24,'Hướng dẫn'!AA:AA,'Hướng dẫn'!X:X)</f>
        <v>Scarf Satin Double Side Print</v>
      </c>
    </row>
    <row r="25" spans="1:2">
      <c r="A25" t="s">
        <v>2779</v>
      </c>
      <c r="B25" t="str">
        <f>_xlfn.XLOOKUP(A25,'Hướng dẫn'!AA:AA,'Hướng dẫn'!X:X)</f>
        <v>Necklace</v>
      </c>
    </row>
    <row r="26" spans="1:2">
      <c r="A26" t="s">
        <v>2092</v>
      </c>
      <c r="B26" t="str">
        <f>_xlfn.XLOOKUP(A26,'Hướng dẫn'!AA:AA,'Hướng dẫn'!X:X)</f>
        <v>High crew neck classic</v>
      </c>
    </row>
    <row r="27" spans="1:2">
      <c r="A27" t="s">
        <v>2901</v>
      </c>
      <c r="B27" t="str">
        <f>_xlfn.XLOOKUP(A27,'Hướng dẫn'!AA:AA,'Hướng dẫn'!X:X)</f>
        <v>ART</v>
      </c>
    </row>
    <row r="28" spans="1:2">
      <c r="A28" t="s">
        <v>2901</v>
      </c>
      <c r="B28" t="str">
        <f>_xlfn.XLOOKUP(A28,'Hướng dẫn'!AA:AA,'Hướng dẫn'!X:X)</f>
        <v>ART</v>
      </c>
    </row>
    <row r="29" spans="1:2">
      <c r="A29" t="s">
        <v>2684</v>
      </c>
      <c r="B29" t="str">
        <f>_xlfn.XLOOKUP(A29,'Hướng dẫn'!AA:AA,'Hướng dẫn'!X:X)</f>
        <v>Card Holder</v>
      </c>
    </row>
    <row r="30" spans="1:2">
      <c r="A30" t="s">
        <v>2779</v>
      </c>
      <c r="B30" t="str">
        <f>_xlfn.XLOOKUP(A30,'Hướng dẫn'!AA:AA,'Hướng dẫn'!X:X)</f>
        <v>Necklace</v>
      </c>
    </row>
    <row r="31" spans="1:2">
      <c r="A31" t="s">
        <v>2779</v>
      </c>
      <c r="B31" t="str">
        <f>_xlfn.XLOOKUP(A31,'Hướng dẫn'!AA:AA,'Hướng dẫn'!X:X)</f>
        <v>Necklace</v>
      </c>
    </row>
    <row r="32" spans="1:2">
      <c r="A32" t="s">
        <v>2290</v>
      </c>
      <c r="B32" t="str">
        <f>_xlfn.XLOOKUP(A32,'Hướng dẫn'!AA:AA,'Hướng dẫn'!X:X)</f>
        <v>Caps</v>
      </c>
    </row>
    <row r="33" spans="1:2">
      <c r="A33" t="s">
        <v>2263</v>
      </c>
      <c r="B33" t="str">
        <f>_xlfn.XLOOKUP(A33,'Hướng dẫn'!AA:AA,'Hướng dẫn'!X:X)</f>
        <v>Button Waist</v>
      </c>
    </row>
    <row r="34" spans="1:2">
      <c r="A34" t="s">
        <v>2001</v>
      </c>
      <c r="B34" t="str">
        <f>_xlfn.XLOOKUP(A34,'Hướng dẫn'!AA:AA,'Hướng dẫn'!X:X)</f>
        <v>Mandarin Collar</v>
      </c>
    </row>
    <row r="35" spans="1:2">
      <c r="A35" t="s">
        <v>2950</v>
      </c>
      <c r="B35" t="str">
        <f>_xlfn.XLOOKUP(A35,'Hướng dẫn'!AA:AA,'Hướng dẫn'!X:X)</f>
        <v>Notebook Perfect Bound</v>
      </c>
    </row>
    <row r="36" spans="1:2">
      <c r="A36" t="s">
        <v>2779</v>
      </c>
      <c r="B36" t="str">
        <f>_xlfn.XLOOKUP(A36,'Hướng dẫn'!AA:AA,'Hướng dẫn'!X:X)</f>
        <v>Necklace</v>
      </c>
    </row>
    <row r="37" spans="1:2">
      <c r="A37" t="s">
        <v>2138</v>
      </c>
      <c r="B37" t="str">
        <f>_xlfn.XLOOKUP(A37,'Hướng dẫn'!AA:AA,'Hướng dẫn'!X:X)</f>
        <v>Boat Neck</v>
      </c>
    </row>
    <row r="38" spans="1:2">
      <c r="A38" t="s">
        <v>3186</v>
      </c>
      <c r="B38" t="str">
        <f>_xlfn.XLOOKUP(A38,'Hướng dẫn'!AA:AA,'Hướng dẫn'!X:X)</f>
        <v>Coffee order</v>
      </c>
    </row>
    <row r="39" spans="1:2">
      <c r="A39" t="s">
        <v>2601</v>
      </c>
      <c r="B39" t="str">
        <f>_xlfn.XLOOKUP(A39,'Hướng dẫn'!AA:AA,'Hướng dẫn'!X:X)</f>
        <v>Handbag</v>
      </c>
    </row>
    <row r="40" spans="1:2">
      <c r="A40" t="s">
        <v>2663</v>
      </c>
      <c r="B40" t="str">
        <f>_xlfn.XLOOKUP(A40,'Hướng dẫn'!AA:AA,'Hướng dẫn'!X:X)</f>
        <v>Cigar cover</v>
      </c>
    </row>
    <row r="41" spans="1:2">
      <c r="A41" t="s">
        <v>2442</v>
      </c>
      <c r="B41" t="str">
        <f>_xlfn.XLOOKUP(A41,'Hướng dẫn'!AA:AA,'Hướng dẫn'!X:X)</f>
        <v>Leather Shoes</v>
      </c>
    </row>
    <row r="42" spans="1:2">
      <c r="A42" t="s">
        <v>2705</v>
      </c>
      <c r="B42" t="str">
        <f>_xlfn.XLOOKUP(A42,'Hướng dẫn'!AA:AA,'Hướng dẫn'!X:X)</f>
        <v>Wallet</v>
      </c>
    </row>
    <row r="43" spans="1:2">
      <c r="A43" t="s">
        <v>2138</v>
      </c>
      <c r="B43" t="str">
        <f>_xlfn.XLOOKUP(A43,'Hướng dẫn'!AA:AA,'Hướng dẫn'!X:X)</f>
        <v>Boat Neck</v>
      </c>
    </row>
    <row r="44" spans="1:2">
      <c r="A44" t="s">
        <v>2078</v>
      </c>
      <c r="B44" t="str">
        <f>_xlfn.XLOOKUP(A44,'Hướng dẫn'!AA:AA,'Hướng dẫn'!X:X)</f>
        <v>Crew neck classic</v>
      </c>
    </row>
    <row r="45" spans="1:2">
      <c r="A45" t="s">
        <v>2001</v>
      </c>
      <c r="B45" t="str">
        <f>_xlfn.XLOOKUP(A45,'Hướng dẫn'!AA:AA,'Hướng dẫn'!X:X)</f>
        <v>Mandarin Collar</v>
      </c>
    </row>
    <row r="46" spans="1:2">
      <c r="A46" t="s">
        <v>2078</v>
      </c>
      <c r="B46" t="str">
        <f>_xlfn.XLOOKUP(A46,'Hướng dẫn'!AA:AA,'Hướng dẫn'!X:X)</f>
        <v>Crew neck classic</v>
      </c>
    </row>
    <row r="47" spans="1:2">
      <c r="A47" t="s">
        <v>2078</v>
      </c>
      <c r="B47" t="str">
        <f>_xlfn.XLOOKUP(A47,'Hướng dẫn'!AA:AA,'Hướng dẫn'!X:X)</f>
        <v>Crew neck classic</v>
      </c>
    </row>
    <row r="48" spans="1:2">
      <c r="A48" t="s">
        <v>2078</v>
      </c>
      <c r="B48" t="str">
        <f>_xlfn.XLOOKUP(A48,'Hướng dẫn'!AA:AA,'Hướng dẫn'!X:X)</f>
        <v>Crew neck classic</v>
      </c>
    </row>
    <row r="49" spans="1:2">
      <c r="A49" t="s">
        <v>2282</v>
      </c>
      <c r="B49" t="str">
        <f>_xlfn.XLOOKUP(A49,'Hướng dẫn'!AA:AA,'Hướng dẫn'!X:X)</f>
        <v>Gin</v>
      </c>
    </row>
    <row r="50" spans="1:2">
      <c r="A50" t="s">
        <v>2078</v>
      </c>
      <c r="B50" t="str">
        <f>_xlfn.XLOOKUP(A50,'Hướng dẫn'!AA:AA,'Hướng dẫn'!X:X)</f>
        <v>Crew neck classic</v>
      </c>
    </row>
    <row r="51" spans="1:2">
      <c r="A51" t="s">
        <v>2394</v>
      </c>
      <c r="B51" t="str">
        <f>_xlfn.XLOOKUP(A51,'Hướng dẫn'!AA:AA,'Hướng dẫn'!X:X)</f>
        <v>Sneaker</v>
      </c>
    </row>
    <row r="52" spans="1:2">
      <c r="A52" t="s">
        <v>2943</v>
      </c>
      <c r="B52" t="str">
        <f>_xlfn.XLOOKUP(A52,'Hướng dẫn'!AA:AA,'Hướng dẫn'!X:X)</f>
        <v>Notebook Saddle Stitched</v>
      </c>
    </row>
    <row r="53" spans="1:2">
      <c r="A53" t="s">
        <v>2516</v>
      </c>
      <c r="B53" t="str">
        <f>_xlfn.XLOOKUP(A53,'Hướng dẫn'!AA:AA,'Hướng dẫn'!X:X)</f>
        <v>Scarf Satin Double Side Print</v>
      </c>
    </row>
    <row r="54" spans="1:2">
      <c r="A54" t="s">
        <v>2970</v>
      </c>
      <c r="B54" t="str">
        <f>_xlfn.XLOOKUP(A54,'Hướng dẫn'!AA:AA,'Hướng dẫn'!X:X)</f>
        <v>Games</v>
      </c>
    </row>
    <row r="55" spans="1:2">
      <c r="A55" t="s">
        <v>2442</v>
      </c>
      <c r="B55" t="str">
        <f>_xlfn.XLOOKUP(A55,'Hướng dẫn'!AA:AA,'Hướng dẫn'!X:X)</f>
        <v>Leather Shoes</v>
      </c>
    </row>
    <row r="56" spans="1:2">
      <c r="A56" t="s">
        <v>2329</v>
      </c>
      <c r="B56" t="str">
        <f>_xlfn.XLOOKUP(A56,'Hướng dẫn'!AA:AA,'Hướng dẫn'!X:X)</f>
        <v>Tote bag</v>
      </c>
    </row>
    <row r="57" spans="1:2">
      <c r="A57" t="s">
        <v>2977</v>
      </c>
      <c r="B57" t="str">
        <f>_xlfn.XLOOKUP(A57,'Hướng dẫn'!AA:AA,'Hướng dẫn'!X:X)</f>
        <v>Decorative Items</v>
      </c>
    </row>
    <row r="58" spans="1:2">
      <c r="A58" t="s">
        <v>3038</v>
      </c>
      <c r="B58" t="str">
        <f>_xlfn.XLOOKUP(A58,'Hướng dẫn'!AA:AA,'Hướng dẫn'!X:X)</f>
        <v>Loofah back scrubbing belt</v>
      </c>
    </row>
    <row r="59" spans="1:2">
      <c r="A59" t="s">
        <v>2001</v>
      </c>
      <c r="B59" t="str">
        <f>_xlfn.XLOOKUP(A59,'Hướng dẫn'!AA:AA,'Hướng dẫn'!X:X)</f>
        <v>Mandarin Collar</v>
      </c>
    </row>
    <row r="60" spans="1:2">
      <c r="A60" t="s">
        <v>2977</v>
      </c>
      <c r="B60" t="str">
        <f>_xlfn.XLOOKUP(A60,'Hướng dẫn'!AA:AA,'Hướng dẫn'!X:X)</f>
        <v>Decorative Items</v>
      </c>
    </row>
    <row r="61" spans="1:2">
      <c r="A61" t="s">
        <v>2617</v>
      </c>
      <c r="B61" t="str">
        <f>_xlfn.XLOOKUP(A61,'Hướng dẫn'!AA:AA,'Hướng dẫn'!X:X)</f>
        <v>Crossbody bag</v>
      </c>
    </row>
    <row r="62" spans="1:2">
      <c r="A62" t="s">
        <v>2078</v>
      </c>
      <c r="B62" t="str">
        <f>_xlfn.XLOOKUP(A62,'Hướng dẫn'!AA:AA,'Hướng dẫn'!X:X)</f>
        <v>Crew neck classic</v>
      </c>
    </row>
    <row r="63" spans="1:2">
      <c r="A63" t="s">
        <v>2092</v>
      </c>
      <c r="B63" t="str">
        <f>_xlfn.XLOOKUP(A63,'Hướng dẫn'!AA:AA,'Hướng dẫn'!X:X)</f>
        <v>High crew neck classic</v>
      </c>
    </row>
    <row r="64" spans="1:2">
      <c r="A64" t="s">
        <v>2601</v>
      </c>
      <c r="B64" t="str">
        <f>_xlfn.XLOOKUP(A64,'Hướng dẫn'!AA:AA,'Hướng dẫn'!X:X)</f>
        <v>Handbag</v>
      </c>
    </row>
    <row r="65" spans="1:2">
      <c r="A65" t="s">
        <v>2078</v>
      </c>
      <c r="B65" t="str">
        <f>_xlfn.XLOOKUP(A65,'Hướng dẫn'!AA:AA,'Hướng dẫn'!X:X)</f>
        <v>Crew neck classic</v>
      </c>
    </row>
    <row r="66" spans="1:2">
      <c r="A66" t="s">
        <v>2078</v>
      </c>
      <c r="B66" t="str">
        <f>_xlfn.XLOOKUP(A66,'Hướng dẫn'!AA:AA,'Hướng dẫn'!X:X)</f>
        <v>Crew neck classic</v>
      </c>
    </row>
    <row r="67" spans="1:2">
      <c r="A67" t="s">
        <v>2263</v>
      </c>
      <c r="B67" t="str">
        <f>_xlfn.XLOOKUP(A67,'Hướng dẫn'!AA:AA,'Hướng dẫn'!X:X)</f>
        <v>Button Waist</v>
      </c>
    </row>
    <row r="68" spans="1:2">
      <c r="A68" t="s">
        <v>2800</v>
      </c>
      <c r="B68" t="str">
        <f>_xlfn.XLOOKUP(A68,'Hướng dẫn'!AA:AA,'Hướng dẫn'!X:X)</f>
        <v>Earrings</v>
      </c>
    </row>
    <row r="69" spans="1:2">
      <c r="A69" t="s">
        <v>2800</v>
      </c>
      <c r="B69" t="str">
        <f>_xlfn.XLOOKUP(A69,'Hướng dẫn'!AA:AA,'Hướng dẫn'!X:X)</f>
        <v>Earrings</v>
      </c>
    </row>
    <row r="70" spans="1:2">
      <c r="A70" t="s">
        <v>2379</v>
      </c>
      <c r="B70" t="str">
        <f>_xlfn.XLOOKUP(A70,'Hướng dẫn'!AA:AA,'Hướng dẫn'!X:X)</f>
        <v>Slippers</v>
      </c>
    </row>
    <row r="71" spans="1:2">
      <c r="A71" t="s">
        <v>2379</v>
      </c>
      <c r="B71" t="str">
        <f>_xlfn.XLOOKUP(A71,'Hướng dẫn'!AA:AA,'Hướng dẫn'!X:X)</f>
        <v>Slippers</v>
      </c>
    </row>
    <row r="72" spans="1:2">
      <c r="A72" t="s">
        <v>2684</v>
      </c>
      <c r="B72" t="str">
        <f>_xlfn.XLOOKUP(A72,'Hướng dẫn'!AA:AA,'Hướng dẫn'!X:X)</f>
        <v>Card Holder</v>
      </c>
    </row>
    <row r="73" spans="1:2">
      <c r="A73" t="s">
        <v>2684</v>
      </c>
      <c r="B73" t="str">
        <f>_xlfn.XLOOKUP(A73,'Hướng dẫn'!AA:AA,'Hướng dẫn'!X:X)</f>
        <v>Card Holder</v>
      </c>
    </row>
    <row r="74" spans="1:2">
      <c r="A74" t="s">
        <v>2601</v>
      </c>
      <c r="B74" t="str">
        <f>_xlfn.XLOOKUP(A74,'Hướng dẫn'!AA:AA,'Hướng dẫn'!X:X)</f>
        <v>Handbag</v>
      </c>
    </row>
    <row r="75" spans="1:2">
      <c r="A75" t="s">
        <v>2078</v>
      </c>
      <c r="B75" t="str">
        <f>_xlfn.XLOOKUP(A75,'Hướng dẫn'!AA:AA,'Hướng dẫn'!X:X)</f>
        <v>Crew neck classic</v>
      </c>
    </row>
    <row r="76" spans="1:2">
      <c r="A76" t="s">
        <v>2790</v>
      </c>
      <c r="B76" t="str">
        <f>_xlfn.XLOOKUP(A76,'Hướng dẫn'!AA:AA,'Hướng dẫn'!X:X)</f>
        <v>Bracelet</v>
      </c>
    </row>
    <row r="77" spans="1:2">
      <c r="A77" t="s">
        <v>2500</v>
      </c>
      <c r="B77" t="str">
        <f>_xlfn.XLOOKUP(A77,'Hướng dẫn'!AA:AA,'Hướng dẫn'!X:X)</f>
        <v>Scarf Satin Single-Sided</v>
      </c>
    </row>
    <row r="78" spans="1:2">
      <c r="A78" t="s">
        <v>2329</v>
      </c>
      <c r="B78" t="str">
        <f>_xlfn.XLOOKUP(A78,'Hướng dẫn'!AA:AA,'Hướng dẫn'!X:X)</f>
        <v>Tote bag</v>
      </c>
    </row>
    <row r="79" spans="1:2">
      <c r="A79" t="s">
        <v>2779</v>
      </c>
      <c r="B79" t="str">
        <f>_xlfn.XLOOKUP(A79,'Hướng dẫn'!AA:AA,'Hướng dẫn'!X:X)</f>
        <v>Necklace</v>
      </c>
    </row>
    <row r="80" spans="1:2">
      <c r="A80" t="s">
        <v>3168</v>
      </c>
      <c r="B80" t="str">
        <f>_xlfn.XLOOKUP(A80,'Hướng dẫn'!AA:AA,'Hướng dẫn'!X:X)</f>
        <v>Coffee Bean</v>
      </c>
    </row>
    <row r="81" spans="1:2">
      <c r="A81" t="s">
        <v>2977</v>
      </c>
      <c r="B81" t="str">
        <f>_xlfn.XLOOKUP(A81,'Hướng dẫn'!AA:AA,'Hướng dẫn'!X:X)</f>
        <v>Decorative Items</v>
      </c>
    </row>
    <row r="82" spans="1:2">
      <c r="A82" t="s">
        <v>2779</v>
      </c>
      <c r="B82" t="str">
        <f>_xlfn.XLOOKUP(A82,'Hướng dẫn'!AA:AA,'Hướng dẫn'!X:X)</f>
        <v>Necklace</v>
      </c>
    </row>
    <row r="83" spans="1:2">
      <c r="A83" t="s">
        <v>3123</v>
      </c>
      <c r="B83" t="str">
        <f>_xlfn.XLOOKUP(A83,'Hướng dẫn'!AA:AA,'Hướng dẫn'!X:X)</f>
        <v>Body care</v>
      </c>
    </row>
    <row r="84" spans="1:2">
      <c r="A84" t="s">
        <v>2078</v>
      </c>
      <c r="B84" t="str">
        <f>_xlfn.XLOOKUP(A84,'Hướng dẫn'!AA:AA,'Hướng dẫn'!X:X)</f>
        <v>Crew neck classic</v>
      </c>
    </row>
    <row r="85" spans="1:2">
      <c r="A85" t="s">
        <v>2078</v>
      </c>
      <c r="B85" t="str">
        <f>_xlfn.XLOOKUP(A85,'Hướng dẫn'!AA:AA,'Hướng dẫn'!X:X)</f>
        <v>Crew neck classic</v>
      </c>
    </row>
    <row r="86" spans="1:2">
      <c r="A86" t="s">
        <v>2694</v>
      </c>
      <c r="B86" t="str">
        <f>_xlfn.XLOOKUP(A86,'Hướng dẫn'!AA:AA,'Hướng dẫn'!X:X)</f>
        <v>Clutch</v>
      </c>
    </row>
    <row r="87" spans="1:2">
      <c r="A87" t="s">
        <v>2078</v>
      </c>
      <c r="B87" t="str">
        <f>_xlfn.XLOOKUP(A87,'Hướng dẫn'!AA:AA,'Hướng dẫn'!X:X)</f>
        <v>Crew neck classic</v>
      </c>
    </row>
    <row r="88" spans="1:2">
      <c r="A88" t="s">
        <v>2078</v>
      </c>
      <c r="B88" t="str">
        <f>_xlfn.XLOOKUP(A88,'Hướng dẫn'!AA:AA,'Hướng dẫn'!X:X)</f>
        <v>Crew neck classic</v>
      </c>
    </row>
    <row r="89" spans="1:2">
      <c r="A89" t="s">
        <v>2078</v>
      </c>
      <c r="B89" t="str">
        <f>_xlfn.XLOOKUP(A89,'Hướng dẫn'!AA:AA,'Hướng dẫn'!X:X)</f>
        <v>Crew neck classic</v>
      </c>
    </row>
    <row r="90" spans="1:2">
      <c r="A90" t="s">
        <v>2977</v>
      </c>
      <c r="B90" t="str">
        <f>_xlfn.XLOOKUP(A90,'Hướng dẫn'!AA:AA,'Hướng dẫn'!X:X)</f>
        <v>Decorative Items</v>
      </c>
    </row>
    <row r="91" spans="1:2">
      <c r="A91" t="s">
        <v>2601</v>
      </c>
      <c r="B91" t="str">
        <f>_xlfn.XLOOKUP(A91,'Hướng dẫn'!AA:AA,'Hướng dẫn'!X:X)</f>
        <v>Handbag</v>
      </c>
    </row>
    <row r="92" spans="1:2">
      <c r="A92" t="s">
        <v>2078</v>
      </c>
      <c r="B92" t="str">
        <f>_xlfn.XLOOKUP(A92,'Hướng dẫn'!AA:AA,'Hướng dẫn'!X:X)</f>
        <v>Crew neck classic</v>
      </c>
    </row>
    <row r="93" spans="1:2">
      <c r="A93" t="s">
        <v>2078</v>
      </c>
      <c r="B93" t="str">
        <f>_xlfn.XLOOKUP(A93,'Hướng dẫn'!AA:AA,'Hướng dẫn'!X:X)</f>
        <v>Crew neck classic</v>
      </c>
    </row>
    <row r="94" spans="1:2">
      <c r="A94" t="s">
        <v>2779</v>
      </c>
      <c r="B94" t="str">
        <f>_xlfn.XLOOKUP(A94,'Hướng dẫn'!AA:AA,'Hướng dẫn'!X:X)</f>
        <v>Necklace</v>
      </c>
    </row>
    <row r="95" spans="1:2">
      <c r="A95" t="s">
        <v>2779</v>
      </c>
      <c r="B95" t="str">
        <f>_xlfn.XLOOKUP(A95,'Hướng dẫn'!AA:AA,'Hướng dẫn'!X:X)</f>
        <v>Necklace</v>
      </c>
    </row>
    <row r="96" spans="1:2">
      <c r="A96" t="s">
        <v>2394</v>
      </c>
      <c r="B96" t="str">
        <f>_xlfn.XLOOKUP(A96,'Hướng dẫn'!AA:AA,'Hướng dẫn'!X:X)</f>
        <v>Sneaker</v>
      </c>
    </row>
    <row r="97" spans="1:2">
      <c r="A97" t="s">
        <v>2078</v>
      </c>
      <c r="B97" t="str">
        <f>_xlfn.XLOOKUP(A97,'Hướng dẫn'!AA:AA,'Hướng dẫn'!X:X)</f>
        <v>Crew neck classic</v>
      </c>
    </row>
    <row r="98" spans="1:2">
      <c r="A98" t="s">
        <v>2078</v>
      </c>
      <c r="B98" t="str">
        <f>_xlfn.XLOOKUP(A98,'Hướng dẫn'!AA:AA,'Hướng dẫn'!X:X)</f>
        <v>Crew neck classic</v>
      </c>
    </row>
    <row r="99" spans="1:2">
      <c r="A99" t="s">
        <v>2694</v>
      </c>
      <c r="B99" t="str">
        <f>_xlfn.XLOOKUP(A99,'Hướng dẫn'!AA:AA,'Hướng dẫn'!X:X)</f>
        <v>Clutch</v>
      </c>
    </row>
    <row r="100" spans="1:2">
      <c r="A100" t="s">
        <v>2694</v>
      </c>
      <c r="B100" t="str">
        <f>_xlfn.XLOOKUP(A100,'Hướng dẫn'!AA:AA,'Hướng dẫn'!X:X)</f>
        <v>Clutch</v>
      </c>
    </row>
    <row r="101" spans="1:2">
      <c r="A101" t="s">
        <v>2779</v>
      </c>
      <c r="B101" t="str">
        <f>_xlfn.XLOOKUP(A101,'Hướng dẫn'!AA:AA,'Hướng dẫn'!X:X)</f>
        <v>Necklace</v>
      </c>
    </row>
    <row r="102" spans="1:2">
      <c r="A102" t="s">
        <v>2694</v>
      </c>
      <c r="B102" t="str">
        <f>_xlfn.XLOOKUP(A102,'Hướng dẫn'!AA:AA,'Hướng dẫn'!X:X)</f>
        <v>Clutch</v>
      </c>
    </row>
    <row r="103" spans="1:2">
      <c r="A103" t="s">
        <v>2694</v>
      </c>
      <c r="B103" t="str">
        <f>_xlfn.XLOOKUP(A103,'Hướng dẫn'!AA:AA,'Hướng dẫn'!X:X)</f>
        <v>Clutch</v>
      </c>
    </row>
    <row r="104" spans="1:2">
      <c r="A104" t="s">
        <v>2617</v>
      </c>
      <c r="B104" t="str">
        <f>_xlfn.XLOOKUP(A104,'Hướng dẫn'!AA:AA,'Hướng dẫn'!X:X)</f>
        <v>Crossbody bag</v>
      </c>
    </row>
    <row r="105" spans="1:2">
      <c r="A105" t="s">
        <v>2233</v>
      </c>
      <c r="B105" t="str">
        <f>_xlfn.XLOOKUP(A105,'Hướng dẫn'!AA:AA,'Hướng dẫn'!X:X)</f>
        <v>Flat-Front</v>
      </c>
    </row>
    <row r="106" spans="1:2">
      <c r="A106" t="s">
        <v>2977</v>
      </c>
      <c r="B106" t="str">
        <f>_xlfn.XLOOKUP(A106,'Hướng dẫn'!AA:AA,'Hướng dẫn'!X:X)</f>
        <v>Decorative Items</v>
      </c>
    </row>
    <row r="107" spans="1:2">
      <c r="A107" t="s">
        <v>2078</v>
      </c>
      <c r="B107" t="str">
        <f>_xlfn.XLOOKUP(A107,'Hướng dẫn'!AA:AA,'Hướng dẫn'!X:X)</f>
        <v>Crew neck classic</v>
      </c>
    </row>
    <row r="108" spans="1:2">
      <c r="A108" t="s">
        <v>2379</v>
      </c>
      <c r="B108" t="str">
        <f>_xlfn.XLOOKUP(A108,'Hướng dẫn'!AA:AA,'Hướng dẫn'!X:X)</f>
        <v>Slippers</v>
      </c>
    </row>
    <row r="109" spans="1:2">
      <c r="A109" t="s">
        <v>2442</v>
      </c>
      <c r="B109" t="str">
        <f>_xlfn.XLOOKUP(A109,'Hướng dẫn'!AA:AA,'Hướng dẫn'!X:X)</f>
        <v>Leather Shoes</v>
      </c>
    </row>
    <row r="110" spans="1:2">
      <c r="A110" t="s">
        <v>2063</v>
      </c>
      <c r="B110" t="str">
        <f>_xlfn.XLOOKUP(A110,'Hướng dẫn'!AA:AA,'Hướng dẫn'!X:X)</f>
        <v>Ribban</v>
      </c>
    </row>
    <row r="111" spans="1:2">
      <c r="A111" t="s">
        <v>3016</v>
      </c>
      <c r="B111" t="str">
        <f>_xlfn.XLOOKUP(A111,'Hướng dẫn'!AA:AA,'Hướng dẫn'!X:X)</f>
        <v>Cushion Cover</v>
      </c>
    </row>
    <row r="112" spans="1:2">
      <c r="A112" t="s">
        <v>2078</v>
      </c>
      <c r="B112" t="str">
        <f>_xlfn.XLOOKUP(A112,'Hướng dẫn'!AA:AA,'Hướng dẫn'!X:X)</f>
        <v>Crew neck classic</v>
      </c>
    </row>
    <row r="113" spans="1:2">
      <c r="A113" t="s">
        <v>2078</v>
      </c>
      <c r="B113" t="str">
        <f>_xlfn.XLOOKUP(A113,'Hướng dẫn'!AA:AA,'Hướng dẫn'!X:X)</f>
        <v>Crew neck classic</v>
      </c>
    </row>
    <row r="114" spans="1:2">
      <c r="A114" t="s">
        <v>2779</v>
      </c>
      <c r="B114" t="str">
        <f>_xlfn.XLOOKUP(A114,'Hướng dẫn'!AA:AA,'Hướng dẫn'!X:X)</f>
        <v>Necklace</v>
      </c>
    </row>
    <row r="115" spans="1:2">
      <c r="A115" t="s">
        <v>2905</v>
      </c>
      <c r="B115" t="str">
        <f>_xlfn.XLOOKUP(A115,'Hướng dẫn'!AA:AA,'Hướng dẫn'!X:X)</f>
        <v>Hand Fan Satin</v>
      </c>
    </row>
    <row r="116" spans="1:2">
      <c r="A116" t="s">
        <v>2442</v>
      </c>
      <c r="B116" t="str">
        <f>_xlfn.XLOOKUP(A116,'Hướng dẫn'!AA:AA,'Hướng dẫn'!X:X)</f>
        <v>Leather Shoes</v>
      </c>
    </row>
    <row r="117" spans="1:2">
      <c r="A117" t="s">
        <v>2559</v>
      </c>
      <c r="B117" t="str">
        <f>_xlfn.XLOOKUP(A117,'Hướng dẫn'!AA:AA,'Hướng dẫn'!X:X)</f>
        <v>Ethnic Bag</v>
      </c>
    </row>
    <row r="118" spans="1:2">
      <c r="A118" t="s">
        <v>2779</v>
      </c>
      <c r="B118" t="str">
        <f>_xlfn.XLOOKUP(A118,'Hướng dẫn'!AA:AA,'Hướng dẫn'!X:X)</f>
        <v>Necklace</v>
      </c>
    </row>
    <row r="119" spans="1:2">
      <c r="A119" t="s">
        <v>2394</v>
      </c>
      <c r="B119" t="str">
        <f>_xlfn.XLOOKUP(A119,'Hướng dẫn'!AA:AA,'Hướng dẫn'!X:X)</f>
        <v>Sneaker</v>
      </c>
    </row>
    <row r="120" spans="1:2">
      <c r="A120" t="s">
        <v>3090</v>
      </c>
      <c r="B120" t="str">
        <f>_xlfn.XLOOKUP(A120,'Hướng dẫn'!AA:AA,'Hướng dẫn'!X:X)</f>
        <v>F&amp;B Accessories</v>
      </c>
    </row>
    <row r="121" spans="1:2">
      <c r="A121" t="s">
        <v>2078</v>
      </c>
      <c r="B121" t="str">
        <f>_xlfn.XLOOKUP(A121,'Hướng dẫn'!AA:AA,'Hướng dẫn'!X:X)</f>
        <v>Crew neck classic</v>
      </c>
    </row>
    <row r="122" spans="1:2">
      <c r="A122" t="s">
        <v>2078</v>
      </c>
      <c r="B122" t="str">
        <f>_xlfn.XLOOKUP(A122,'Hướng dẫn'!AA:AA,'Hướng dẫn'!X:X)</f>
        <v>Crew neck classic</v>
      </c>
    </row>
    <row r="123" spans="1:2">
      <c r="A123" t="s">
        <v>2779</v>
      </c>
      <c r="B123" t="str">
        <f>_xlfn.XLOOKUP(A123,'Hướng dẫn'!AA:AA,'Hướng dẫn'!X:X)</f>
        <v>Necklace</v>
      </c>
    </row>
    <row r="124" spans="1:2">
      <c r="A124" t="s">
        <v>3016</v>
      </c>
      <c r="B124" t="str">
        <f>_xlfn.XLOOKUP(A124,'Hướng dẫn'!AA:AA,'Hướng dẫn'!X:X)</f>
        <v>Cushion Cover</v>
      </c>
    </row>
    <row r="125" spans="1:2">
      <c r="A125" t="s">
        <v>2263</v>
      </c>
      <c r="B125" t="str">
        <f>_xlfn.XLOOKUP(A125,'Hướng dẫn'!AA:AA,'Hướng dẫn'!X:X)</f>
        <v>Button Waist</v>
      </c>
    </row>
    <row r="126" spans="1:2">
      <c r="A126" t="s">
        <v>3016</v>
      </c>
      <c r="B126" t="str">
        <f>_xlfn.XLOOKUP(A126,'Hướng dẫn'!AA:AA,'Hướng dẫn'!X:X)</f>
        <v>Cushion Cover</v>
      </c>
    </row>
    <row r="127" spans="1:2">
      <c r="A127" t="s">
        <v>2663</v>
      </c>
      <c r="B127" t="str">
        <f>_xlfn.XLOOKUP(A127,'Hướng dẫn'!AA:AA,'Hướng dẫn'!X:X)</f>
        <v>Cigar cover</v>
      </c>
    </row>
    <row r="128" spans="1:2">
      <c r="A128" t="s">
        <v>3186</v>
      </c>
      <c r="B128" t="str">
        <f>_xlfn.XLOOKUP(A128,'Hướng dẫn'!AA:AA,'Hướng dẫn'!X:X)</f>
        <v>Coffee order</v>
      </c>
    </row>
    <row r="129" spans="1:2">
      <c r="A129" t="s">
        <v>2442</v>
      </c>
      <c r="B129" t="str">
        <f>_xlfn.XLOOKUP(A129,'Hướng dẫn'!AA:AA,'Hướng dẫn'!X:X)</f>
        <v>Leather Shoes</v>
      </c>
    </row>
    <row r="130" spans="1:2">
      <c r="A130" t="s">
        <v>2078</v>
      </c>
      <c r="B130" t="str">
        <f>_xlfn.XLOOKUP(A130,'Hướng dẫn'!AA:AA,'Hướng dẫn'!X:X)</f>
        <v>Crew neck classic</v>
      </c>
    </row>
    <row r="131" spans="1:2">
      <c r="A131" t="s">
        <v>2078</v>
      </c>
      <c r="B131" t="str">
        <f>_xlfn.XLOOKUP(A131,'Hướng dẫn'!AA:AA,'Hướng dẫn'!X:X)</f>
        <v>Crew neck classic</v>
      </c>
    </row>
    <row r="132" spans="1:2">
      <c r="A132" t="s">
        <v>2977</v>
      </c>
      <c r="B132" t="str">
        <f>_xlfn.XLOOKUP(A132,'Hướng dẫn'!AA:AA,'Hướng dẫn'!X:X)</f>
        <v>Decorative Items</v>
      </c>
    </row>
    <row r="133" spans="1:2">
      <c r="A133" t="s">
        <v>3138</v>
      </c>
      <c r="B133" t="str">
        <f>_xlfn.XLOOKUP(A133,'Hướng dẫn'!AA:AA,'Hướng dẫn'!X:X)</f>
        <v>Salt</v>
      </c>
    </row>
    <row r="134" spans="1:2">
      <c r="A134" t="s">
        <v>2078</v>
      </c>
      <c r="B134" t="str">
        <f>_xlfn.XLOOKUP(A134,'Hướng dẫn'!AA:AA,'Hướng dẫn'!X:X)</f>
        <v>Crew neck classic</v>
      </c>
    </row>
    <row r="135" spans="1:2">
      <c r="A135" t="s">
        <v>2078</v>
      </c>
      <c r="B135" t="str">
        <f>_xlfn.XLOOKUP(A135,'Hướng dẫn'!AA:AA,'Hướng dẫn'!X:X)</f>
        <v>Crew neck classic</v>
      </c>
    </row>
    <row r="136" spans="1:2">
      <c r="A136" t="s">
        <v>2601</v>
      </c>
      <c r="B136" t="str">
        <f>_xlfn.XLOOKUP(A136,'Hướng dẫn'!AA:AA,'Hướng dẫn'!X:X)</f>
        <v>Handbag</v>
      </c>
    </row>
    <row r="137" spans="1:2">
      <c r="A137" t="s">
        <v>2694</v>
      </c>
      <c r="B137" t="str">
        <f>_xlfn.XLOOKUP(A137,'Hướng dẫn'!AA:AA,'Hướng dẫn'!X:X)</f>
        <v>Clutch</v>
      </c>
    </row>
    <row r="138" spans="1:2">
      <c r="A138" t="s">
        <v>2442</v>
      </c>
      <c r="B138" t="str">
        <f>_xlfn.XLOOKUP(A138,'Hướng dẫn'!AA:AA,'Hướng dẫn'!X:X)</f>
        <v>Leather Shoes</v>
      </c>
    </row>
    <row r="139" spans="1:2">
      <c r="A139" t="s">
        <v>2078</v>
      </c>
      <c r="B139" t="str">
        <f>_xlfn.XLOOKUP(A139,'Hướng dẫn'!AA:AA,'Hướng dẫn'!X:X)</f>
        <v>Crew neck classic</v>
      </c>
    </row>
    <row r="140" spans="1:2">
      <c r="A140" t="s">
        <v>2218</v>
      </c>
      <c r="B140" t="str">
        <f>_xlfn.XLOOKUP(A140,'Hướng dẫn'!AA:AA,'Hướng dẫn'!X:X)</f>
        <v>Elastic Waist</v>
      </c>
    </row>
    <row r="141" spans="1:2">
      <c r="A141" t="s">
        <v>2078</v>
      </c>
      <c r="B141" t="str">
        <f>_xlfn.XLOOKUP(A141,'Hướng dẫn'!AA:AA,'Hướng dẫn'!X:X)</f>
        <v>Crew neck classic</v>
      </c>
    </row>
    <row r="142" spans="1:2">
      <c r="A142" t="s">
        <v>2442</v>
      </c>
      <c r="B142" t="str">
        <f>_xlfn.XLOOKUP(A142,'Hướng dẫn'!AA:AA,'Hướng dẫn'!X:X)</f>
        <v>Leather Shoes</v>
      </c>
    </row>
    <row r="143" spans="1:2">
      <c r="A143" t="s">
        <v>2779</v>
      </c>
      <c r="B143" t="str">
        <f>_xlfn.XLOOKUP(A143,'Hướng dẫn'!AA:AA,'Hướng dẫn'!X:X)</f>
        <v>Necklace</v>
      </c>
    </row>
    <row r="144" spans="1:2">
      <c r="A144" t="s">
        <v>2078</v>
      </c>
      <c r="B144" t="str">
        <f>_xlfn.XLOOKUP(A144,'Hướng dẫn'!AA:AA,'Hướng dẫn'!X:X)</f>
        <v>Crew neck classic</v>
      </c>
    </row>
    <row r="145" spans="1:2">
      <c r="A145" t="s">
        <v>2643</v>
      </c>
      <c r="B145" t="str">
        <f>_xlfn.XLOOKUP(A145,'Hướng dẫn'!AA:AA,'Hướng dẫn'!X:X)</f>
        <v>Shoulder bag</v>
      </c>
    </row>
    <row r="146" spans="1:2">
      <c r="A146" t="s">
        <v>2303</v>
      </c>
      <c r="B146" t="str">
        <f>_xlfn.XLOOKUP(A146,'Hướng dẫn'!AA:AA,'Hướng dẫn'!X:X)</f>
        <v>Hat</v>
      </c>
    </row>
    <row r="147" spans="1:2">
      <c r="A147" t="s">
        <v>2601</v>
      </c>
      <c r="B147" t="str">
        <f>_xlfn.XLOOKUP(A147,'Hướng dẫn'!AA:AA,'Hướng dẫn'!X:X)</f>
        <v>Handbag</v>
      </c>
    </row>
    <row r="148" spans="1:2">
      <c r="A148" t="s">
        <v>2138</v>
      </c>
      <c r="B148" t="str">
        <f>_xlfn.XLOOKUP(A148,'Hướng dẫn'!AA:AA,'Hướng dẫn'!X:X)</f>
        <v>Boat Neck</v>
      </c>
    </row>
    <row r="149" spans="1:2">
      <c r="A149" t="s">
        <v>2705</v>
      </c>
      <c r="B149" t="str">
        <f>_xlfn.XLOOKUP(A149,'Hướng dẫn'!AA:AA,'Hướng dẫn'!X:X)</f>
        <v>Wallet</v>
      </c>
    </row>
    <row r="150" spans="1:2">
      <c r="A150" t="s">
        <v>2138</v>
      </c>
      <c r="B150" t="str">
        <f>_xlfn.XLOOKUP(A150,'Hướng dẫn'!AA:AA,'Hướng dẫn'!X:X)</f>
        <v>Boat Neck</v>
      </c>
    </row>
    <row r="151" spans="1:2">
      <c r="A151" t="s">
        <v>2048</v>
      </c>
      <c r="B151" t="str">
        <f>_xlfn.XLOOKUP(A151,'Hướng dẫn'!AA:AA,'Hướng dẫn'!X:X)</f>
        <v>Button-down Collar</v>
      </c>
    </row>
    <row r="152" spans="1:2">
      <c r="A152" t="s">
        <v>2842</v>
      </c>
      <c r="B152" t="str">
        <f>_xlfn.XLOOKUP(A152,'Hướng dẫn'!AA:AA,'Hướng dẫn'!X:X)</f>
        <v>Keychains</v>
      </c>
    </row>
    <row r="153" spans="1:2">
      <c r="A153" t="s">
        <v>2442</v>
      </c>
      <c r="B153" t="str">
        <f>_xlfn.XLOOKUP(A153,'Hướng dẫn'!AA:AA,'Hướng dẫn'!X:X)</f>
        <v>Leather Shoes</v>
      </c>
    </row>
    <row r="154" spans="1:2">
      <c r="A154" t="s">
        <v>2500</v>
      </c>
      <c r="B154" t="str">
        <f>_xlfn.XLOOKUP(A154,'Hướng dẫn'!AA:AA,'Hướng dẫn'!X:X)</f>
        <v>Scarf Satin Single-Sided</v>
      </c>
    </row>
    <row r="155" spans="1:2">
      <c r="A155" t="s">
        <v>2516</v>
      </c>
      <c r="B155" t="str">
        <f>_xlfn.XLOOKUP(A155,'Hướng dẫn'!AA:AA,'Hướng dẫn'!X:X)</f>
        <v>Scarf Satin Double Side Print</v>
      </c>
    </row>
    <row r="156" spans="1:2">
      <c r="A156" t="s">
        <v>2078</v>
      </c>
      <c r="B156" t="str">
        <f>_xlfn.XLOOKUP(A156,'Hướng dẫn'!AA:AA,'Hướng dẫn'!X:X)</f>
        <v>Crew neck classic</v>
      </c>
    </row>
    <row r="157" spans="1:2">
      <c r="A157" t="s">
        <v>2694</v>
      </c>
      <c r="B157" t="str">
        <f>_xlfn.XLOOKUP(A157,'Hướng dẫn'!AA:AA,'Hướng dẫn'!X:X)</f>
        <v>Clutch</v>
      </c>
    </row>
    <row r="158" spans="1:2">
      <c r="A158" t="s">
        <v>2078</v>
      </c>
      <c r="B158" t="str">
        <f>_xlfn.XLOOKUP(A158,'Hướng dẫn'!AA:AA,'Hướng dẫn'!X:X)</f>
        <v>Crew neck classic</v>
      </c>
    </row>
    <row r="159" spans="1:2">
      <c r="A159" t="s">
        <v>3033</v>
      </c>
      <c r="B159" t="str">
        <f>_xlfn.XLOOKUP(A159,'Hướng dẫn'!AA:AA,'Hướng dẫn'!X:X)</f>
        <v>Stainless Steel</v>
      </c>
    </row>
    <row r="160" spans="1:2">
      <c r="A160" t="s">
        <v>2694</v>
      </c>
      <c r="B160" t="str">
        <f>_xlfn.XLOOKUP(A160,'Hướng dẫn'!AA:AA,'Hướng dẫn'!X:X)</f>
        <v>Clutch</v>
      </c>
    </row>
    <row r="161" spans="1:2">
      <c r="A161" t="s">
        <v>2048</v>
      </c>
      <c r="B161" t="str">
        <f>_xlfn.XLOOKUP(A161,'Hướng dẫn'!AA:AA,'Hướng dẫn'!X:X)</f>
        <v>Button-down Collar</v>
      </c>
    </row>
    <row r="162" spans="1:2">
      <c r="A162" t="s">
        <v>2078</v>
      </c>
      <c r="B162" t="str">
        <f>_xlfn.XLOOKUP(A162,'Hướng dẫn'!AA:AA,'Hướng dẫn'!X:X)</f>
        <v>Crew neck classic</v>
      </c>
    </row>
    <row r="163" spans="1:2">
      <c r="A163" t="s">
        <v>2442</v>
      </c>
      <c r="B163" t="str">
        <f>_xlfn.XLOOKUP(A163,'Hướng dẫn'!AA:AA,'Hướng dẫn'!X:X)</f>
        <v>Leather Shoes</v>
      </c>
    </row>
    <row r="164" spans="1:2">
      <c r="A164" t="s">
        <v>2694</v>
      </c>
      <c r="B164" t="str">
        <f>_xlfn.XLOOKUP(A164,'Hướng dẫn'!AA:AA,'Hướng dẫn'!X:X)</f>
        <v>Clutch</v>
      </c>
    </row>
    <row r="165" spans="1:2">
      <c r="A165" t="s">
        <v>2092</v>
      </c>
      <c r="B165" t="str">
        <f>_xlfn.XLOOKUP(A165,'Hướng dẫn'!AA:AA,'Hướng dẫn'!X:X)</f>
        <v>High crew neck classic</v>
      </c>
    </row>
    <row r="166" spans="1:2">
      <c r="A166" t="s">
        <v>2379</v>
      </c>
      <c r="B166" t="str">
        <f>_xlfn.XLOOKUP(A166,'Hướng dẫn'!AA:AA,'Hướng dẫn'!X:X)</f>
        <v>Slippers</v>
      </c>
    </row>
    <row r="167" spans="1:2">
      <c r="A167" t="s">
        <v>2779</v>
      </c>
      <c r="B167" t="str">
        <f>_xlfn.XLOOKUP(A167,'Hướng dẫn'!AA:AA,'Hướng dẫn'!X:X)</f>
        <v>Necklace</v>
      </c>
    </row>
    <row r="168" spans="1:2">
      <c r="A168" t="s">
        <v>2905</v>
      </c>
      <c r="B168" t="str">
        <f>_xlfn.XLOOKUP(A168,'Hướng dẫn'!AA:AA,'Hướng dẫn'!X:X)</f>
        <v>Hand Fan Satin</v>
      </c>
    </row>
    <row r="169" spans="1:2">
      <c r="A169" t="s">
        <v>2001</v>
      </c>
      <c r="B169" t="str">
        <f>_xlfn.XLOOKUP(A169,'Hướng dẫn'!AA:AA,'Hướng dẫn'!X:X)</f>
        <v>Mandarin Collar</v>
      </c>
    </row>
    <row r="170" spans="1:2">
      <c r="A170" t="s">
        <v>2233</v>
      </c>
      <c r="B170" t="str">
        <f>_xlfn.XLOOKUP(A170,'Hướng dẫn'!AA:AA,'Hướng dẫn'!X:X)</f>
        <v>Flat-Front</v>
      </c>
    </row>
    <row r="171" spans="1:2">
      <c r="A171" t="s">
        <v>2078</v>
      </c>
      <c r="B171" t="str">
        <f>_xlfn.XLOOKUP(A171,'Hướng dẫn'!AA:AA,'Hướng dẫn'!X:X)</f>
        <v>Crew neck classic</v>
      </c>
    </row>
    <row r="172" spans="1:2">
      <c r="A172" t="s">
        <v>3081</v>
      </c>
      <c r="B172" t="str">
        <f>_xlfn.XLOOKUP(A172,'Hướng dẫn'!AA:AA,'Hướng dẫn'!X:X)</f>
        <v>Letter Rack</v>
      </c>
    </row>
    <row r="173" spans="1:2">
      <c r="A173" t="s">
        <v>2078</v>
      </c>
      <c r="B173" t="str">
        <f>_xlfn.XLOOKUP(A173,'Hướng dẫn'!AA:AA,'Hướng dẫn'!X:X)</f>
        <v>Crew neck classic</v>
      </c>
    </row>
    <row r="174" spans="1:2">
      <c r="A174" t="s">
        <v>2601</v>
      </c>
      <c r="B174" t="str">
        <f>_xlfn.XLOOKUP(A174,'Hướng dẫn'!AA:AA,'Hướng dẫn'!X:X)</f>
        <v>Handbag</v>
      </c>
    </row>
    <row r="175" spans="1:2">
      <c r="A175" t="s">
        <v>2078</v>
      </c>
      <c r="B175" t="str">
        <f>_xlfn.XLOOKUP(A175,'Hướng dẫn'!AA:AA,'Hướng dẫn'!X:X)</f>
        <v>Crew neck classic</v>
      </c>
    </row>
    <row r="176" spans="1:2">
      <c r="A176" t="s">
        <v>2684</v>
      </c>
      <c r="B176" t="str">
        <f>_xlfn.XLOOKUP(A176,'Hướng dẫn'!AA:AA,'Hướng dẫn'!X:X)</f>
        <v>Card Holder</v>
      </c>
    </row>
    <row r="177" spans="1:2">
      <c r="A177" t="s">
        <v>2442</v>
      </c>
      <c r="B177" t="str">
        <f>_xlfn.XLOOKUP(A177,'Hướng dẫn'!AA:AA,'Hướng dẫn'!X:X)</f>
        <v>Leather Shoes</v>
      </c>
    </row>
    <row r="178" spans="1:2">
      <c r="A178" t="s">
        <v>2078</v>
      </c>
      <c r="B178" t="str">
        <f>_xlfn.XLOOKUP(A178,'Hướng dẫn'!AA:AA,'Hướng dẫn'!X:X)</f>
        <v>Crew neck classic</v>
      </c>
    </row>
    <row r="179" spans="1:2">
      <c r="A179" t="s">
        <v>2001</v>
      </c>
      <c r="B179" t="str">
        <f>_xlfn.XLOOKUP(A179,'Hướng dẫn'!AA:AA,'Hướng dẫn'!X:X)</f>
        <v>Mandarin Collar</v>
      </c>
    </row>
    <row r="180" spans="1:2">
      <c r="A180" t="s">
        <v>2078</v>
      </c>
      <c r="B180" t="str">
        <f>_xlfn.XLOOKUP(A180,'Hướng dẫn'!AA:AA,'Hướng dẫn'!X:X)</f>
        <v>Crew neck classic</v>
      </c>
    </row>
    <row r="181" spans="1:2">
      <c r="A181" t="s">
        <v>2684</v>
      </c>
      <c r="B181" t="str">
        <f>_xlfn.XLOOKUP(A181,'Hướng dẫn'!AA:AA,'Hướng dẫn'!X:X)</f>
        <v>Card Holder</v>
      </c>
    </row>
    <row r="182" spans="1:2">
      <c r="A182" t="s">
        <v>2684</v>
      </c>
      <c r="B182" t="str">
        <f>_xlfn.XLOOKUP(A182,'Hướng dẫn'!AA:AA,'Hướng dẫn'!X:X)</f>
        <v>Card Holder</v>
      </c>
    </row>
    <row r="183" spans="1:2">
      <c r="A183" t="s">
        <v>2684</v>
      </c>
      <c r="B183" t="str">
        <f>_xlfn.XLOOKUP(A183,'Hướng dẫn'!AA:AA,'Hướng dẫn'!X:X)</f>
        <v>Card Holder</v>
      </c>
    </row>
    <row r="184" spans="1:2">
      <c r="A184" t="s">
        <v>2610</v>
      </c>
      <c r="B184" t="str">
        <f>_xlfn.XLOOKUP(A184,'Hướng dẫn'!AA:AA,'Hướng dẫn'!X:X)</f>
        <v>Other bag</v>
      </c>
    </row>
    <row r="185" spans="1:2">
      <c r="A185" t="s">
        <v>2078</v>
      </c>
      <c r="B185" t="str">
        <f>_xlfn.XLOOKUP(A185,'Hướng dẫn'!AA:AA,'Hướng dẫn'!X:X)</f>
        <v>Crew neck classic</v>
      </c>
    </row>
    <row r="186" spans="1:2">
      <c r="A186" t="s">
        <v>2694</v>
      </c>
      <c r="B186" t="str">
        <f>_xlfn.XLOOKUP(A186,'Hướng dẫn'!AA:AA,'Hướng dẫn'!X:X)</f>
        <v>Clutch</v>
      </c>
    </row>
    <row r="187" spans="1:2">
      <c r="A187" t="s">
        <v>3138</v>
      </c>
      <c r="B187" t="str">
        <f>_xlfn.XLOOKUP(A187,'Hướng dẫn'!AA:AA,'Hướng dẫn'!X:X)</f>
        <v>Salt</v>
      </c>
    </row>
    <row r="188" spans="1:2">
      <c r="A188" t="s">
        <v>2138</v>
      </c>
      <c r="B188" t="str">
        <f>_xlfn.XLOOKUP(A188,'Hướng dẫn'!AA:AA,'Hướng dẫn'!X:X)</f>
        <v>Boat Neck</v>
      </c>
    </row>
    <row r="189" spans="1:2">
      <c r="A189" t="s">
        <v>3177</v>
      </c>
      <c r="B189" t="str">
        <f>_xlfn.XLOOKUP(A189,'Hướng dẫn'!AA:AA,'Hướng dẫn'!X:X)</f>
        <v>Drip Bag Coffee</v>
      </c>
    </row>
    <row r="190" spans="1:2">
      <c r="A190" t="s">
        <v>2977</v>
      </c>
      <c r="B190" t="str">
        <f>_xlfn.XLOOKUP(A190,'Hướng dẫn'!AA:AA,'Hướng dẫn'!X:X)</f>
        <v>Decorative Items</v>
      </c>
    </row>
    <row r="191" spans="1:2">
      <c r="A191" t="s">
        <v>2977</v>
      </c>
      <c r="B191" t="str">
        <f>_xlfn.XLOOKUP(A191,'Hướng dẫn'!AA:AA,'Hướng dẫn'!X:X)</f>
        <v>Decorative Items</v>
      </c>
    </row>
    <row r="192" spans="1:2">
      <c r="A192" t="s">
        <v>2516</v>
      </c>
      <c r="B192" t="str">
        <f>_xlfn.XLOOKUP(A192,'Hướng dẫn'!AA:AA,'Hướng dẫn'!X:X)</f>
        <v>Scarf Satin Double Side Print</v>
      </c>
    </row>
    <row r="193" spans="1:2">
      <c r="A193" t="s">
        <v>2078</v>
      </c>
      <c r="B193" t="str">
        <f>_xlfn.XLOOKUP(A193,'Hướng dẫn'!AA:AA,'Hướng dẫn'!X:X)</f>
        <v>Crew neck classic</v>
      </c>
    </row>
    <row r="194" spans="1:2">
      <c r="A194" t="s">
        <v>2092</v>
      </c>
      <c r="B194" t="str">
        <f>_xlfn.XLOOKUP(A194,'Hướng dẫn'!AA:AA,'Hướng dẫn'!X:X)</f>
        <v>High crew neck classic</v>
      </c>
    </row>
    <row r="195" spans="1:2">
      <c r="A195" t="s">
        <v>3159</v>
      </c>
      <c r="B195" t="str">
        <f>_xlfn.XLOOKUP(A195,'Hướng dẫn'!AA:AA,'Hướng dẫn'!X:X)</f>
        <v>Coffee Powder</v>
      </c>
    </row>
    <row r="196" spans="1:2">
      <c r="A196" t="s">
        <v>2748</v>
      </c>
      <c r="B196" t="str">
        <f>_xlfn.XLOOKUP(A196,'Hướng dẫn'!AA:AA,'Hướng dẫn'!X:X)</f>
        <v>Cosmetic Bag</v>
      </c>
    </row>
    <row r="197" spans="1:2">
      <c r="A197" t="s">
        <v>2394</v>
      </c>
      <c r="B197" t="str">
        <f>_xlfn.XLOOKUP(A197,'Hướng dẫn'!AA:AA,'Hướng dẫn'!X:X)</f>
        <v>Sneaker</v>
      </c>
    </row>
    <row r="198" spans="1:2">
      <c r="A198" t="s">
        <v>2078</v>
      </c>
      <c r="B198" t="str">
        <f>_xlfn.XLOOKUP(A198,'Hướng dẫn'!AA:AA,'Hướng dẫn'!X:X)</f>
        <v>Crew neck classic</v>
      </c>
    </row>
    <row r="199" spans="1:2">
      <c r="A199" t="s">
        <v>2442</v>
      </c>
      <c r="B199" t="str">
        <f>_xlfn.XLOOKUP(A199,'Hướng dẫn'!AA:AA,'Hướng dẫn'!X:X)</f>
        <v>Leather Shoes</v>
      </c>
    </row>
    <row r="200" spans="1:2">
      <c r="A200" t="s">
        <v>2078</v>
      </c>
      <c r="B200" t="str">
        <f>_xlfn.XLOOKUP(A200,'Hướng dẫn'!AA:AA,'Hướng dẫn'!X:X)</f>
        <v>Crew neck classic</v>
      </c>
    </row>
    <row r="201" spans="1:2">
      <c r="A201" t="s">
        <v>2977</v>
      </c>
      <c r="B201" t="str">
        <f>_xlfn.XLOOKUP(A201,'Hướng dẫn'!AA:AA,'Hướng dẫn'!X:X)</f>
        <v>Decorative Items</v>
      </c>
    </row>
    <row r="202" spans="1:2">
      <c r="A202" t="s">
        <v>2078</v>
      </c>
      <c r="B202" t="str">
        <f>_xlfn.XLOOKUP(A202,'Hướng dẫn'!AA:AA,'Hướng dẫn'!X:X)</f>
        <v>Crew neck classic</v>
      </c>
    </row>
    <row r="203" spans="1:2">
      <c r="A203" t="s">
        <v>2977</v>
      </c>
      <c r="B203" t="str">
        <f>_xlfn.XLOOKUP(A203,'Hướng dẫn'!AA:AA,'Hướng dẫn'!X:X)</f>
        <v>Decorative Items</v>
      </c>
    </row>
    <row r="204" spans="1:2">
      <c r="A204" t="s">
        <v>2694</v>
      </c>
      <c r="B204" t="str">
        <f>_xlfn.XLOOKUP(A204,'Hướng dẫn'!AA:AA,'Hướng dẫn'!X:X)</f>
        <v>Clutch</v>
      </c>
    </row>
    <row r="205" spans="1:2">
      <c r="A205" t="s">
        <v>2078</v>
      </c>
      <c r="B205" t="str">
        <f>_xlfn.XLOOKUP(A205,'Hướng dẫn'!AA:AA,'Hướng dẫn'!X:X)</f>
        <v>Crew neck classic</v>
      </c>
    </row>
    <row r="206" spans="1:2">
      <c r="A206" t="s">
        <v>2124</v>
      </c>
      <c r="B206" t="str">
        <f>_xlfn.XLOOKUP(A206,'Hướng dẫn'!AA:AA,'Hướng dẫn'!X:X)</f>
        <v>V-neck</v>
      </c>
    </row>
    <row r="207" spans="1:2">
      <c r="A207" t="s">
        <v>2078</v>
      </c>
      <c r="B207" t="str">
        <f>_xlfn.XLOOKUP(A207,'Hướng dẫn'!AA:AA,'Hướng dẫn'!X:X)</f>
        <v>Crew neck classic</v>
      </c>
    </row>
    <row r="208" spans="1:2">
      <c r="A208" t="s">
        <v>2977</v>
      </c>
      <c r="B208" t="str">
        <f>_xlfn.XLOOKUP(A208,'Hướng dẫn'!AA:AA,'Hướng dẫn'!X:X)</f>
        <v>Decorative Items</v>
      </c>
    </row>
    <row r="209" spans="1:2">
      <c r="A209" t="s">
        <v>2717</v>
      </c>
      <c r="B209" t="str">
        <f>_xlfn.XLOOKUP(A209,'Hướng dẫn'!AA:AA,'Hướng dẫn'!X:X)</f>
        <v>Pen Case</v>
      </c>
    </row>
    <row r="210" spans="1:2">
      <c r="A210" t="s">
        <v>2394</v>
      </c>
      <c r="B210" t="str">
        <f>_xlfn.XLOOKUP(A210,'Hướng dẫn'!AA:AA,'Hướng dẫn'!X:X)</f>
        <v>Sneaker</v>
      </c>
    </row>
    <row r="211" spans="1:2">
      <c r="A211" t="s">
        <v>2048</v>
      </c>
      <c r="B211" t="str">
        <f>_xlfn.XLOOKUP(A211,'Hướng dẫn'!AA:AA,'Hướng dẫn'!X:X)</f>
        <v>Button-down Collar</v>
      </c>
    </row>
    <row r="212" spans="1:2">
      <c r="A212" t="s">
        <v>2977</v>
      </c>
      <c r="B212" t="str">
        <f>_xlfn.XLOOKUP(A212,'Hướng dẫn'!AA:AA,'Hướng dẫn'!X:X)</f>
        <v>Decorative Items</v>
      </c>
    </row>
    <row r="213" spans="1:2">
      <c r="A213" t="s">
        <v>2078</v>
      </c>
      <c r="B213" t="str">
        <f>_xlfn.XLOOKUP(A213,'Hướng dẫn'!AA:AA,'Hướng dẫn'!X:X)</f>
        <v>Crew neck classic</v>
      </c>
    </row>
    <row r="214" spans="1:2">
      <c r="A214" t="s">
        <v>2977</v>
      </c>
      <c r="B214" t="str">
        <f>_xlfn.XLOOKUP(A214,'Hướng dẫn'!AA:AA,'Hướng dẫn'!X:X)</f>
        <v>Decorative Items</v>
      </c>
    </row>
    <row r="215" spans="1:2">
      <c r="A215" t="s">
        <v>2078</v>
      </c>
      <c r="B215" t="str">
        <f>_xlfn.XLOOKUP(A215,'Hướng dẫn'!AA:AA,'Hướng dẫn'!X:X)</f>
        <v>Crew neck classic</v>
      </c>
    </row>
    <row r="216" spans="1:2">
      <c r="A216" t="s">
        <v>2977</v>
      </c>
      <c r="B216" t="str">
        <f>_xlfn.XLOOKUP(A216,'Hướng dẫn'!AA:AA,'Hướng dẫn'!X:X)</f>
        <v>Decorative Items</v>
      </c>
    </row>
    <row r="217" spans="1:2">
      <c r="A217" t="s">
        <v>2078</v>
      </c>
      <c r="B217" t="str">
        <f>_xlfn.XLOOKUP(A217,'Hướng dẫn'!AA:AA,'Hướng dẫn'!X:X)</f>
        <v>Crew neck classic</v>
      </c>
    </row>
    <row r="218" spans="1:2">
      <c r="A218" t="s">
        <v>2442</v>
      </c>
      <c r="B218" t="str">
        <f>_xlfn.XLOOKUP(A218,'Hướng dẫn'!AA:AA,'Hướng dẫn'!X:X)</f>
        <v>Leather Shoes</v>
      </c>
    </row>
    <row r="219" spans="1:2">
      <c r="A219" t="s">
        <v>2879</v>
      </c>
      <c r="B219" t="str">
        <f>_xlfn.XLOOKUP(A219,'Hướng dẫn'!AA:AA,'Hướng dẫn'!X:X)</f>
        <v>Playing card</v>
      </c>
    </row>
    <row r="220" spans="1:2">
      <c r="A220" t="s">
        <v>2779</v>
      </c>
      <c r="B220" t="str">
        <f>_xlfn.XLOOKUP(A220,'Hướng dẫn'!AA:AA,'Hướng dẫn'!X:X)</f>
        <v>Necklace</v>
      </c>
    </row>
    <row r="221" spans="1:2">
      <c r="A221" t="s">
        <v>2001</v>
      </c>
      <c r="B221" t="str">
        <f>_xlfn.XLOOKUP(A221,'Hướng dẫn'!AA:AA,'Hướng dẫn'!X:X)</f>
        <v>Mandarin Collar</v>
      </c>
    </row>
    <row r="222" spans="1:2">
      <c r="A222" t="s">
        <v>2779</v>
      </c>
      <c r="B222" t="str">
        <f>_xlfn.XLOOKUP(A222,'Hướng dẫn'!AA:AA,'Hướng dẫn'!X:X)</f>
        <v>Necklace</v>
      </c>
    </row>
    <row r="223" spans="1:2">
      <c r="A223" t="s">
        <v>2516</v>
      </c>
      <c r="B223" t="str">
        <f>_xlfn.XLOOKUP(A223,'Hướng dẫn'!AA:AA,'Hướng dẫn'!X:X)</f>
        <v>Scarf Satin Double Side Print</v>
      </c>
    </row>
    <row r="224" spans="1:2">
      <c r="A224" t="s">
        <v>2949</v>
      </c>
      <c r="B224" t="str">
        <f>_xlfn.XLOOKUP(A224,'Hướng dẫn'!AA:AA,'Hướng dẫn'!X:X)</f>
        <v>Notebook Spiral Bound</v>
      </c>
    </row>
    <row r="225" spans="1:2">
      <c r="A225" t="s">
        <v>2996</v>
      </c>
      <c r="B225" t="str">
        <f>_xlfn.XLOOKUP(A225,'Hướng dẫn'!AA:AA,'Hướng dẫn'!X:X)</f>
        <v>Small Accessories</v>
      </c>
    </row>
    <row r="226" spans="1:2">
      <c r="A226" t="s">
        <v>2218</v>
      </c>
      <c r="B226" t="str">
        <f>_xlfn.XLOOKUP(A226,'Hướng dẫn'!AA:AA,'Hướng dẫn'!X:X)</f>
        <v>Elastic Waist</v>
      </c>
    </row>
    <row r="227" spans="1:2">
      <c r="A227" t="s">
        <v>2394</v>
      </c>
      <c r="B227" t="str">
        <f>_xlfn.XLOOKUP(A227,'Hướng dẫn'!AA:AA,'Hướng dẫn'!X:X)</f>
        <v>Sneaker</v>
      </c>
    </row>
    <row r="228" spans="1:2">
      <c r="A228" t="s">
        <v>2290</v>
      </c>
      <c r="B228" t="str">
        <f>_xlfn.XLOOKUP(A228,'Hướng dẫn'!AA:AA,'Hướng dẫn'!X:X)</f>
        <v>Caps</v>
      </c>
    </row>
    <row r="229" spans="1:2">
      <c r="A229" t="s">
        <v>3168</v>
      </c>
      <c r="B229" t="str">
        <f>_xlfn.XLOOKUP(A229,'Hướng dẫn'!AA:AA,'Hướng dẫn'!X:X)</f>
        <v>Coffee Bean</v>
      </c>
    </row>
    <row r="230" spans="1:2">
      <c r="A230" t="s">
        <v>3016</v>
      </c>
      <c r="B230" t="str">
        <f>_xlfn.XLOOKUP(A230,'Hướng dẫn'!AA:AA,'Hướng dẫn'!X:X)</f>
        <v>Cushion Cover</v>
      </c>
    </row>
    <row r="231" spans="1:2">
      <c r="A231" t="s">
        <v>2078</v>
      </c>
      <c r="B231" t="str">
        <f>_xlfn.XLOOKUP(A231,'Hướng dẫn'!AA:AA,'Hướng dẫn'!X:X)</f>
        <v>Crew neck classic</v>
      </c>
    </row>
    <row r="232" spans="1:2">
      <c r="A232" t="s">
        <v>2779</v>
      </c>
      <c r="B232" t="str">
        <f>_xlfn.XLOOKUP(A232,'Hướng dẫn'!AA:AA,'Hướng dẫn'!X:X)</f>
        <v>Necklace</v>
      </c>
    </row>
    <row r="233" spans="1:2">
      <c r="A233" t="s">
        <v>3067</v>
      </c>
      <c r="B233" t="str">
        <f>_xlfn.XLOOKUP(A233,'Hướng dẫn'!AA:AA,'Hướng dẫn'!X:X)</f>
        <v>Table cloth</v>
      </c>
    </row>
    <row r="234" spans="1:2">
      <c r="A234" t="s">
        <v>2078</v>
      </c>
      <c r="B234" t="str">
        <f>_xlfn.XLOOKUP(A234,'Hướng dẫn'!AA:AA,'Hướng dẫn'!X:X)</f>
        <v>Crew neck classic</v>
      </c>
    </row>
    <row r="235" spans="1:2">
      <c r="A235" t="s">
        <v>2078</v>
      </c>
      <c r="B235" t="str">
        <f>_xlfn.XLOOKUP(A235,'Hướng dẫn'!AA:AA,'Hướng dẫn'!X:X)</f>
        <v>Crew neck classic</v>
      </c>
    </row>
    <row r="236" spans="1:2">
      <c r="A236" t="s">
        <v>2001</v>
      </c>
      <c r="B236" t="str">
        <f>_xlfn.XLOOKUP(A236,'Hướng dẫn'!AA:AA,'Hướng dẫn'!X:X)</f>
        <v>Mandarin Collar</v>
      </c>
    </row>
    <row r="237" spans="1:2">
      <c r="A237" t="s">
        <v>2078</v>
      </c>
      <c r="B237" t="str">
        <f>_xlfn.XLOOKUP(A237,'Hướng dẫn'!AA:AA,'Hướng dẫn'!X:X)</f>
        <v>Crew neck classic</v>
      </c>
    </row>
    <row r="238" spans="1:2">
      <c r="A238" t="s">
        <v>2078</v>
      </c>
      <c r="B238" t="str">
        <f>_xlfn.XLOOKUP(A238,'Hướng dẫn'!AA:AA,'Hướng dẫn'!X:X)</f>
        <v>Crew neck classic</v>
      </c>
    </row>
    <row r="239" spans="1:2">
      <c r="A239" t="s">
        <v>2063</v>
      </c>
      <c r="B239" t="str">
        <f>_xlfn.XLOOKUP(A239,'Hướng dẫn'!AA:AA,'Hướng dẫn'!X:X)</f>
        <v>Ribban</v>
      </c>
    </row>
    <row r="240" spans="1:2">
      <c r="A240" t="s">
        <v>2078</v>
      </c>
      <c r="B240" t="str">
        <f>_xlfn.XLOOKUP(A240,'Hướng dẫn'!AA:AA,'Hướng dẫn'!X:X)</f>
        <v>Crew neck classic</v>
      </c>
    </row>
    <row r="241" spans="1:2">
      <c r="A241" t="s">
        <v>2394</v>
      </c>
      <c r="B241" t="str">
        <f>_xlfn.XLOOKUP(A241,'Hướng dẫn'!AA:AA,'Hướng dẫn'!X:X)</f>
        <v>Sneaker</v>
      </c>
    </row>
    <row r="242" spans="1:2">
      <c r="A242" t="s">
        <v>2717</v>
      </c>
      <c r="B242" t="str">
        <f>_xlfn.XLOOKUP(A242,'Hướng dẫn'!AA:AA,'Hướng dẫn'!X:X)</f>
        <v>Pen Case</v>
      </c>
    </row>
    <row r="243" spans="1:2">
      <c r="A243" t="s">
        <v>2705</v>
      </c>
      <c r="B243" t="str">
        <f>_xlfn.XLOOKUP(A243,'Hướng dẫn'!AA:AA,'Hướng dẫn'!X:X)</f>
        <v>Wallet</v>
      </c>
    </row>
    <row r="244" spans="1:2">
      <c r="A244" t="s">
        <v>2977</v>
      </c>
      <c r="B244" t="str">
        <f>_xlfn.XLOOKUP(A244,'Hướng dẫn'!AA:AA,'Hướng dẫn'!X:X)</f>
        <v>Decorative Items</v>
      </c>
    </row>
    <row r="245" spans="1:2">
      <c r="A245" t="s">
        <v>2516</v>
      </c>
      <c r="B245" t="str">
        <f>_xlfn.XLOOKUP(A245,'Hướng dẫn'!AA:AA,'Hướng dẫn'!X:X)</f>
        <v>Scarf Satin Double Side Print</v>
      </c>
    </row>
    <row r="246" spans="1:2">
      <c r="A246" t="s">
        <v>2078</v>
      </c>
      <c r="B246" t="str">
        <f>_xlfn.XLOOKUP(A246,'Hướng dẫn'!AA:AA,'Hướng dẫn'!X:X)</f>
        <v>Crew neck classic</v>
      </c>
    </row>
    <row r="247" spans="1:2">
      <c r="A247" t="s">
        <v>2092</v>
      </c>
      <c r="B247" t="str">
        <f>_xlfn.XLOOKUP(A247,'Hướng dẫn'!AA:AA,'Hướng dẫn'!X:X)</f>
        <v>High crew neck classic</v>
      </c>
    </row>
    <row r="248" spans="1:2">
      <c r="A248" t="s">
        <v>2078</v>
      </c>
      <c r="B248" t="str">
        <f>_xlfn.XLOOKUP(A248,'Hướng dẫn'!AA:AA,'Hướng dẫn'!X:X)</f>
        <v>Crew neck classic</v>
      </c>
    </row>
    <row r="249" spans="1:2">
      <c r="A249" t="s">
        <v>2684</v>
      </c>
      <c r="B249" t="str">
        <f>_xlfn.XLOOKUP(A249,'Hướng dẫn'!AA:AA,'Hướng dẫn'!X:X)</f>
        <v>Card Holder</v>
      </c>
    </row>
    <row r="250" spans="1:2">
      <c r="A250" t="s">
        <v>3043</v>
      </c>
      <c r="B250" t="str">
        <f>_xlfn.XLOOKUP(A250,'Hướng dẫn'!AA:AA,'Hướng dẫn'!X:X)</f>
        <v>Tray</v>
      </c>
    </row>
    <row r="251" spans="1:2">
      <c r="A251" t="s">
        <v>2943</v>
      </c>
      <c r="B251" t="str">
        <f>_xlfn.XLOOKUP(A251,'Hướng dẫn'!AA:AA,'Hướng dẫn'!X:X)</f>
        <v>Notebook Saddle Stitched</v>
      </c>
    </row>
    <row r="252" spans="1:2">
      <c r="A252" t="s">
        <v>2025</v>
      </c>
      <c r="B252" t="str">
        <f>_xlfn.XLOOKUP(A252,'Hướng dẫn'!AA:AA,'Hướng dẫn'!X:X)</f>
        <v>Classic Collar</v>
      </c>
    </row>
    <row r="253" spans="1:2">
      <c r="A253" t="s">
        <v>2500</v>
      </c>
      <c r="B253" t="str">
        <f>_xlfn.XLOOKUP(A253,'Hướng dẫn'!AA:AA,'Hướng dẫn'!X:X)</f>
        <v>Scarf Satin Single-Sided</v>
      </c>
    </row>
    <row r="254" spans="1:2">
      <c r="A254" t="s">
        <v>2779</v>
      </c>
      <c r="B254" t="str">
        <f>_xlfn.XLOOKUP(A254,'Hướng dẫn'!AA:AA,'Hướng dẫn'!X:X)</f>
        <v>Necklace</v>
      </c>
    </row>
    <row r="255" spans="1:2">
      <c r="A255" t="s">
        <v>2800</v>
      </c>
      <c r="B255" t="str">
        <f>_xlfn.XLOOKUP(A255,'Hướng dẫn'!AA:AA,'Hướng dẫn'!X:X)</f>
        <v>Earrings</v>
      </c>
    </row>
    <row r="256" spans="1:2">
      <c r="A256" t="s">
        <v>2263</v>
      </c>
      <c r="B256" t="str">
        <f>_xlfn.XLOOKUP(A256,'Hướng dẫn'!AA:AA,'Hướng dẫn'!X:X)</f>
        <v>Button Waist</v>
      </c>
    </row>
    <row r="257" spans="1:2">
      <c r="A257" t="s">
        <v>2516</v>
      </c>
      <c r="B257" t="str">
        <f>_xlfn.XLOOKUP(A257,'Hướng dẫn'!AA:AA,'Hướng dẫn'!X:X)</f>
        <v>Scarf Satin Double Side Print</v>
      </c>
    </row>
    <row r="258" spans="1:2">
      <c r="A258" t="s">
        <v>3138</v>
      </c>
      <c r="B258" t="str">
        <f>_xlfn.XLOOKUP(A258,'Hướng dẫn'!AA:AA,'Hướng dẫn'!X:X)</f>
        <v>Salt</v>
      </c>
    </row>
    <row r="259" spans="1:2">
      <c r="A259" t="s">
        <v>3138</v>
      </c>
      <c r="B259" t="str">
        <f>_xlfn.XLOOKUP(A259,'Hướng dẫn'!AA:AA,'Hướng dẫn'!X:X)</f>
        <v>Salt</v>
      </c>
    </row>
    <row r="260" spans="1:2">
      <c r="A260" t="s">
        <v>2078</v>
      </c>
      <c r="B260" t="str">
        <f>_xlfn.XLOOKUP(A260,'Hướng dẫn'!AA:AA,'Hướng dẫn'!X:X)</f>
        <v>Crew neck classic</v>
      </c>
    </row>
    <row r="261" spans="1:2">
      <c r="A261" t="s">
        <v>3033</v>
      </c>
      <c r="B261" t="str">
        <f>_xlfn.XLOOKUP(A261,'Hướng dẫn'!AA:AA,'Hướng dẫn'!X:X)</f>
        <v>Stainless Steel</v>
      </c>
    </row>
    <row r="262" spans="1:2">
      <c r="A262" t="s">
        <v>2218</v>
      </c>
      <c r="B262" t="str">
        <f>_xlfn.XLOOKUP(A262,'Hướng dẫn'!AA:AA,'Hướng dẫn'!X:X)</f>
        <v>Elastic Waist</v>
      </c>
    </row>
    <row r="263" spans="1:2">
      <c r="A263" t="s">
        <v>2442</v>
      </c>
      <c r="B263" t="str">
        <f>_xlfn.XLOOKUP(A263,'Hướng dẫn'!AA:AA,'Hướng dẫn'!X:X)</f>
        <v>Leather Shoes</v>
      </c>
    </row>
    <row r="264" spans="1:2">
      <c r="A264" t="s">
        <v>2516</v>
      </c>
      <c r="B264" t="str">
        <f>_xlfn.XLOOKUP(A264,'Hướng dẫn'!AA:AA,'Hướng dẫn'!X:X)</f>
        <v>Scarf Satin Double Side Print</v>
      </c>
    </row>
    <row r="265" spans="1:2">
      <c r="A265" t="s">
        <v>2442</v>
      </c>
      <c r="B265" t="str">
        <f>_xlfn.XLOOKUP(A265,'Hướng dẫn'!AA:AA,'Hướng dẫn'!X:X)</f>
        <v>Leather Shoes</v>
      </c>
    </row>
    <row r="266" spans="1:2">
      <c r="A266" t="s">
        <v>2950</v>
      </c>
      <c r="B266" t="str">
        <f>_xlfn.XLOOKUP(A266,'Hướng dẫn'!AA:AA,'Hướng dẫn'!X:X)</f>
        <v>Notebook Perfect Bound</v>
      </c>
    </row>
    <row r="267" spans="1:2">
      <c r="A267" t="s">
        <v>2442</v>
      </c>
      <c r="B267" t="str">
        <f>_xlfn.XLOOKUP(A267,'Hướng dẫn'!AA:AA,'Hướng dẫn'!X:X)</f>
        <v>Leather Shoes</v>
      </c>
    </row>
    <row r="268" spans="1:2">
      <c r="A268" t="s">
        <v>2970</v>
      </c>
      <c r="B268" t="str">
        <f>_xlfn.XLOOKUP(A268,'Hướng dẫn'!AA:AA,'Hướng dẫn'!X:X)</f>
        <v>Games</v>
      </c>
    </row>
    <row r="269" spans="1:2">
      <c r="A269" t="s">
        <v>2442</v>
      </c>
      <c r="B269" t="str">
        <f>_xlfn.XLOOKUP(A269,'Hướng dẫn'!AA:AA,'Hướng dẫn'!X:X)</f>
        <v>Leather Shoes</v>
      </c>
    </row>
    <row r="270" spans="1:2">
      <c r="A270" t="s">
        <v>2516</v>
      </c>
      <c r="B270" t="str">
        <f>_xlfn.XLOOKUP(A270,'Hướng dẫn'!AA:AA,'Hướng dẫn'!X:X)</f>
        <v>Scarf Satin Double Side Print</v>
      </c>
    </row>
    <row r="271" spans="1:2">
      <c r="A271" t="s">
        <v>2442</v>
      </c>
      <c r="B271" t="str">
        <f>_xlfn.XLOOKUP(A271,'Hướng dẫn'!AA:AA,'Hướng dẫn'!X:X)</f>
        <v>Leather Shoes</v>
      </c>
    </row>
    <row r="272" spans="1:2">
      <c r="A272" t="s">
        <v>2779</v>
      </c>
      <c r="B272" t="str">
        <f>_xlfn.XLOOKUP(A272,'Hướng dẫn'!AA:AA,'Hướng dẫn'!X:X)</f>
        <v>Necklace</v>
      </c>
    </row>
    <row r="273" spans="1:2">
      <c r="A273" t="s">
        <v>2977</v>
      </c>
      <c r="B273" t="str">
        <f>_xlfn.XLOOKUP(A273,'Hướng dẫn'!AA:AA,'Hướng dẫn'!X:X)</f>
        <v>Decorative Items</v>
      </c>
    </row>
    <row r="274" spans="1:2">
      <c r="A274" t="s">
        <v>2078</v>
      </c>
      <c r="B274" t="str">
        <f>_xlfn.XLOOKUP(A274,'Hướng dẫn'!AA:AA,'Hướng dẫn'!X:X)</f>
        <v>Crew neck classic</v>
      </c>
    </row>
    <row r="275" spans="1:2">
      <c r="A275" t="s">
        <v>2901</v>
      </c>
      <c r="B275" t="str">
        <f>_xlfn.XLOOKUP(A275,'Hướng dẫn'!AA:AA,'Hướng dẫn'!X:X)</f>
        <v>ART</v>
      </c>
    </row>
    <row r="276" spans="1:2">
      <c r="A276" t="s">
        <v>2779</v>
      </c>
      <c r="B276" t="str">
        <f>_xlfn.XLOOKUP(A276,'Hướng dẫn'!AA:AA,'Hướng dẫn'!X:X)</f>
        <v>Necklace</v>
      </c>
    </row>
    <row r="277" spans="1:2">
      <c r="A277" t="s">
        <v>2779</v>
      </c>
      <c r="B277" t="str">
        <f>_xlfn.XLOOKUP(A277,'Hướng dẫn'!AA:AA,'Hướng dẫn'!X:X)</f>
        <v>Necklace</v>
      </c>
    </row>
    <row r="278" spans="1:2">
      <c r="A278" t="s">
        <v>3186</v>
      </c>
      <c r="B278" t="str">
        <f>_xlfn.XLOOKUP(A278,'Hướng dẫn'!AA:AA,'Hướng dẫn'!X:X)</f>
        <v>Coffee order</v>
      </c>
    </row>
    <row r="279" spans="1:2">
      <c r="A279" t="s">
        <v>2977</v>
      </c>
      <c r="B279" t="str">
        <f>_xlfn.XLOOKUP(A279,'Hướng dẫn'!AA:AA,'Hướng dẫn'!X:X)</f>
        <v>Decorative Items</v>
      </c>
    </row>
    <row r="280" spans="1:2">
      <c r="A280" t="s">
        <v>2442</v>
      </c>
      <c r="B280" t="str">
        <f>_xlfn.XLOOKUP(A280,'Hướng dẫn'!AA:AA,'Hướng dẫn'!X:X)</f>
        <v>Leather Shoes</v>
      </c>
    </row>
    <row r="281" spans="1:2">
      <c r="A281" t="s">
        <v>2078</v>
      </c>
      <c r="B281" t="str">
        <f>_xlfn.XLOOKUP(A281,'Hướng dẫn'!AA:AA,'Hướng dẫn'!X:X)</f>
        <v>Crew neck classic</v>
      </c>
    </row>
    <row r="282" spans="1:2">
      <c r="A282" t="s">
        <v>2078</v>
      </c>
      <c r="B282" t="str">
        <f>_xlfn.XLOOKUP(A282,'Hướng dẫn'!AA:AA,'Hướng dẫn'!X:X)</f>
        <v>Crew neck classic</v>
      </c>
    </row>
    <row r="283" spans="1:2">
      <c r="A283" t="s">
        <v>2078</v>
      </c>
      <c r="B283" t="str">
        <f>_xlfn.XLOOKUP(A283,'Hướng dẫn'!AA:AA,'Hướng dẫn'!X:X)</f>
        <v>Crew neck classic</v>
      </c>
    </row>
    <row r="284" spans="1:2">
      <c r="A284" t="s">
        <v>2078</v>
      </c>
      <c r="B284" t="str">
        <f>_xlfn.XLOOKUP(A284,'Hướng dẫn'!AA:AA,'Hướng dẫn'!X:X)</f>
        <v>Crew neck classic</v>
      </c>
    </row>
    <row r="285" spans="1:2">
      <c r="A285" t="s">
        <v>2379</v>
      </c>
      <c r="B285" t="str">
        <f>_xlfn.XLOOKUP(A285,'Hướng dẫn'!AA:AA,'Hướng dẫn'!X:X)</f>
        <v>Slippers</v>
      </c>
    </row>
    <row r="286" spans="1:2">
      <c r="A286" t="s">
        <v>3168</v>
      </c>
      <c r="B286" t="str">
        <f>_xlfn.XLOOKUP(A286,'Hướng dẫn'!AA:AA,'Hướng dẫn'!X:X)</f>
        <v>Coffee Bean</v>
      </c>
    </row>
    <row r="287" spans="1:2">
      <c r="A287" t="s">
        <v>2516</v>
      </c>
      <c r="B287" t="str">
        <f>_xlfn.XLOOKUP(A287,'Hướng dẫn'!AA:AA,'Hướng dẫn'!X:X)</f>
        <v>Scarf Satin Double Side Print</v>
      </c>
    </row>
    <row r="288" spans="1:2">
      <c r="A288" t="s">
        <v>2516</v>
      </c>
      <c r="B288" t="str">
        <f>_xlfn.XLOOKUP(A288,'Hướng dẫn'!AA:AA,'Hướng dẫn'!X:X)</f>
        <v>Scarf Satin Double Side Print</v>
      </c>
    </row>
    <row r="289" spans="1:2">
      <c r="A289" t="s">
        <v>2970</v>
      </c>
      <c r="B289" t="str">
        <f>_xlfn.XLOOKUP(A289,'Hướng dẫn'!AA:AA,'Hướng dẫn'!X:X)</f>
        <v>Games</v>
      </c>
    </row>
    <row r="290" spans="1:2">
      <c r="A290" t="s">
        <v>2078</v>
      </c>
      <c r="B290" t="str">
        <f>_xlfn.XLOOKUP(A290,'Hướng dẫn'!AA:AA,'Hướng dẫn'!X:X)</f>
        <v>Crew neck classic</v>
      </c>
    </row>
    <row r="291" spans="1:2">
      <c r="A291" t="s">
        <v>2977</v>
      </c>
      <c r="B291" t="str">
        <f>_xlfn.XLOOKUP(A291,'Hướng dẫn'!AA:AA,'Hướng dẫn'!X:X)</f>
        <v>Decorative Items</v>
      </c>
    </row>
    <row r="292" spans="1:2">
      <c r="A292" t="s">
        <v>2610</v>
      </c>
      <c r="B292" t="str">
        <f>_xlfn.XLOOKUP(A292,'Hướng dẫn'!AA:AA,'Hướng dẫn'!X:X)</f>
        <v>Other bag</v>
      </c>
    </row>
    <row r="293" spans="1:2">
      <c r="A293" t="s">
        <v>2048</v>
      </c>
      <c r="B293" t="str">
        <f>_xlfn.XLOOKUP(A293,'Hướng dẫn'!AA:AA,'Hướng dẫn'!X:X)</f>
        <v>Button-down Collar</v>
      </c>
    </row>
    <row r="294" spans="1:2">
      <c r="A294" t="s">
        <v>2779</v>
      </c>
      <c r="B294" t="str">
        <f>_xlfn.XLOOKUP(A294,'Hướng dẫn'!AA:AA,'Hướng dẫn'!X:X)</f>
        <v>Necklace</v>
      </c>
    </row>
    <row r="295" spans="1:2">
      <c r="A295" t="s">
        <v>2748</v>
      </c>
      <c r="B295" t="str">
        <f>_xlfn.XLOOKUP(A295,'Hướng dẫn'!AA:AA,'Hướng dẫn'!X:X)</f>
        <v>Cosmetic Bag</v>
      </c>
    </row>
    <row r="296" spans="1:2">
      <c r="A296" t="s">
        <v>2869</v>
      </c>
      <c r="B296" t="str">
        <f>_xlfn.XLOOKUP(A296,'Hướng dẫn'!AA:AA,'Hướng dẫn'!X:X)</f>
        <v>Poscard</v>
      </c>
    </row>
    <row r="297" spans="1:2">
      <c r="A297" t="s">
        <v>2442</v>
      </c>
      <c r="B297" t="str">
        <f>_xlfn.XLOOKUP(A297,'Hướng dẫn'!AA:AA,'Hướng dẫn'!X:X)</f>
        <v>Leather Shoes</v>
      </c>
    </row>
    <row r="298" spans="1:2">
      <c r="A298" t="s">
        <v>2901</v>
      </c>
      <c r="B298" t="str">
        <f>_xlfn.XLOOKUP(A298,'Hướng dẫn'!AA:AA,'Hướng dẫn'!X:X)</f>
        <v>ART</v>
      </c>
    </row>
    <row r="299" spans="1:2">
      <c r="A299" t="s">
        <v>2078</v>
      </c>
      <c r="B299" t="str">
        <f>_xlfn.XLOOKUP(A299,'Hướng dẫn'!AA:AA,'Hướng dẫn'!X:X)</f>
        <v>Crew neck classic</v>
      </c>
    </row>
    <row r="300" spans="1:2">
      <c r="A300" t="s">
        <v>2078</v>
      </c>
      <c r="B300" t="str">
        <f>_xlfn.XLOOKUP(A300,'Hướng dẫn'!AA:AA,'Hướng dẫn'!X:X)</f>
        <v>Crew neck classic</v>
      </c>
    </row>
    <row r="301" spans="1:2">
      <c r="A301" t="s">
        <v>3168</v>
      </c>
      <c r="B301" t="str">
        <f>_xlfn.XLOOKUP(A301,'Hướng dẫn'!AA:AA,'Hướng dẫn'!X:X)</f>
        <v>Coffee Bean</v>
      </c>
    </row>
    <row r="302" spans="1:2">
      <c r="A302" t="s">
        <v>2516</v>
      </c>
      <c r="B302" t="str">
        <f>_xlfn.XLOOKUP(A302,'Hướng dẫn'!AA:AA,'Hướng dẫn'!X:X)</f>
        <v>Scarf Satin Double Side Print</v>
      </c>
    </row>
    <row r="303" spans="1:2">
      <c r="A303" t="s">
        <v>2063</v>
      </c>
      <c r="B303" t="str">
        <f>_xlfn.XLOOKUP(A303,'Hướng dẫn'!AA:AA,'Hướng dẫn'!X:X)</f>
        <v>Ribban</v>
      </c>
    </row>
    <row r="304" spans="1:2">
      <c r="A304" t="s">
        <v>3159</v>
      </c>
      <c r="B304" t="str">
        <f>_xlfn.XLOOKUP(A304,'Hướng dẫn'!AA:AA,'Hướng dẫn'!X:X)</f>
        <v>Coffee Powder</v>
      </c>
    </row>
    <row r="305" spans="1:2">
      <c r="A305" t="s">
        <v>2779</v>
      </c>
      <c r="B305" t="str">
        <f>_xlfn.XLOOKUP(A305,'Hướng dẫn'!AA:AA,'Hướng dẫn'!X:X)</f>
        <v>Necklace</v>
      </c>
    </row>
    <row r="306" spans="1:2">
      <c r="A306" t="s">
        <v>2779</v>
      </c>
      <c r="B306" t="str">
        <f>_xlfn.XLOOKUP(A306,'Hướng dẫn'!AA:AA,'Hướng dẫn'!X:X)</f>
        <v>Necklace</v>
      </c>
    </row>
    <row r="307" spans="1:2">
      <c r="A307" t="s">
        <v>2705</v>
      </c>
      <c r="B307" t="str">
        <f>_xlfn.XLOOKUP(A307,'Hướng dẫn'!AA:AA,'Hướng dẫn'!X:X)</f>
        <v>Wallet</v>
      </c>
    </row>
    <row r="308" spans="1:2">
      <c r="A308" t="s">
        <v>3138</v>
      </c>
      <c r="B308" t="str">
        <f>_xlfn.XLOOKUP(A308,'Hướng dẫn'!AA:AA,'Hướng dẫn'!X:X)</f>
        <v>Salt</v>
      </c>
    </row>
    <row r="309" spans="1:2">
      <c r="A309" t="s">
        <v>2124</v>
      </c>
      <c r="B309" t="str">
        <f>_xlfn.XLOOKUP(A309,'Hướng dẫn'!AA:AA,'Hướng dẫn'!X:X)</f>
        <v>V-neck</v>
      </c>
    </row>
    <row r="310" spans="1:2">
      <c r="A310" t="s">
        <v>2078</v>
      </c>
      <c r="B310" t="str">
        <f>_xlfn.XLOOKUP(A310,'Hướng dẫn'!AA:AA,'Hướng dẫn'!X:X)</f>
        <v>Crew neck classic</v>
      </c>
    </row>
    <row r="311" spans="1:2">
      <c r="A311" t="s">
        <v>2078</v>
      </c>
      <c r="B311" t="str">
        <f>_xlfn.XLOOKUP(A311,'Hướng dẫn'!AA:AA,'Hướng dẫn'!X:X)</f>
        <v>Crew neck classic</v>
      </c>
    </row>
    <row r="312" spans="1:2">
      <c r="A312" t="s">
        <v>2078</v>
      </c>
      <c r="B312" t="str">
        <f>_xlfn.XLOOKUP(A312,'Hướng dẫn'!AA:AA,'Hướng dẫn'!X:X)</f>
        <v>Crew neck classic</v>
      </c>
    </row>
    <row r="313" spans="1:2">
      <c r="A313" t="s">
        <v>2078</v>
      </c>
      <c r="B313" t="str">
        <f>_xlfn.XLOOKUP(A313,'Hướng dẫn'!AA:AA,'Hướng dẫn'!X:X)</f>
        <v>Crew neck classic</v>
      </c>
    </row>
    <row r="314" spans="1:2">
      <c r="A314" t="s">
        <v>2394</v>
      </c>
      <c r="B314" t="str">
        <f>_xlfn.XLOOKUP(A314,'Hướng dẫn'!AA:AA,'Hướng dẫn'!X:X)</f>
        <v>Sneaker</v>
      </c>
    </row>
    <row r="315" spans="1:2">
      <c r="A315" t="s">
        <v>3168</v>
      </c>
      <c r="B315" t="str">
        <f>_xlfn.XLOOKUP(A315,'Hướng dẫn'!AA:AA,'Hướng dẫn'!X:X)</f>
        <v>Coffee Bean</v>
      </c>
    </row>
    <row r="316" spans="1:2">
      <c r="A316" t="s">
        <v>2124</v>
      </c>
      <c r="B316" t="str">
        <f>_xlfn.XLOOKUP(A316,'Hướng dẫn'!AA:AA,'Hướng dẫn'!X:X)</f>
        <v>V-neck</v>
      </c>
    </row>
    <row r="317" spans="1:2">
      <c r="A317" t="s">
        <v>2329</v>
      </c>
      <c r="B317" t="str">
        <f>_xlfn.XLOOKUP(A317,'Hướng dẫn'!AA:AA,'Hướng dẫn'!X:X)</f>
        <v>Tote bag</v>
      </c>
    </row>
    <row r="318" spans="1:2">
      <c r="A318" t="s">
        <v>2516</v>
      </c>
      <c r="B318" t="str">
        <f>_xlfn.XLOOKUP(A318,'Hướng dẫn'!AA:AA,'Hướng dẫn'!X:X)</f>
        <v>Scarf Satin Double Side Print</v>
      </c>
    </row>
    <row r="319" spans="1:2">
      <c r="A319" t="s">
        <v>2516</v>
      </c>
      <c r="B319" t="str">
        <f>_xlfn.XLOOKUP(A319,'Hướng dẫn'!AA:AA,'Hướng dẫn'!X:X)</f>
        <v>Scarf Satin Double Side Print</v>
      </c>
    </row>
    <row r="320" spans="1:2">
      <c r="A320" t="s">
        <v>2078</v>
      </c>
      <c r="B320" t="str">
        <f>_xlfn.XLOOKUP(A320,'Hướng dẫn'!AA:AA,'Hướng dẫn'!X:X)</f>
        <v>Crew neck classic</v>
      </c>
    </row>
    <row r="321" spans="1:2">
      <c r="A321" t="s">
        <v>2078</v>
      </c>
      <c r="B321" t="str">
        <f>_xlfn.XLOOKUP(A321,'Hướng dẫn'!AA:AA,'Hướng dẫn'!X:X)</f>
        <v>Crew neck classic</v>
      </c>
    </row>
    <row r="322" spans="1:2">
      <c r="A322" t="s">
        <v>2078</v>
      </c>
      <c r="B322" t="str">
        <f>_xlfn.XLOOKUP(A322,'Hướng dẫn'!AA:AA,'Hướng dẫn'!X:X)</f>
        <v>Crew neck classic</v>
      </c>
    </row>
    <row r="323" spans="1:2">
      <c r="A323" t="s">
        <v>2601</v>
      </c>
      <c r="B323" t="str">
        <f>_xlfn.XLOOKUP(A323,'Hướng dẫn'!AA:AA,'Hướng dẫn'!X:X)</f>
        <v>Handbag</v>
      </c>
    </row>
    <row r="324" spans="1:2">
      <c r="A324" t="s">
        <v>2779</v>
      </c>
      <c r="B324" t="str">
        <f>_xlfn.XLOOKUP(A324,'Hướng dẫn'!AA:AA,'Hướng dẫn'!X:X)</f>
        <v>Necklace</v>
      </c>
    </row>
    <row r="325" spans="1:2">
      <c r="A325" t="s">
        <v>3043</v>
      </c>
      <c r="B325" t="str">
        <f>_xlfn.XLOOKUP(A325,'Hướng dẫn'!AA:AA,'Hướng dẫn'!X:X)</f>
        <v>Tray</v>
      </c>
    </row>
    <row r="326" spans="1:2">
      <c r="A326" t="s">
        <v>3159</v>
      </c>
      <c r="B326" t="str">
        <f>_xlfn.XLOOKUP(A326,'Hướng dẫn'!AA:AA,'Hướng dẫn'!X:X)</f>
        <v>Coffee Powder</v>
      </c>
    </row>
    <row r="327" spans="1:2">
      <c r="A327" t="s">
        <v>2048</v>
      </c>
      <c r="B327" t="str">
        <f>_xlfn.XLOOKUP(A327,'Hướng dẫn'!AA:AA,'Hướng dẫn'!X:X)</f>
        <v>Button-down Collar</v>
      </c>
    </row>
    <row r="328" spans="1:2">
      <c r="A328" t="s">
        <v>2078</v>
      </c>
      <c r="B328" t="str">
        <f>_xlfn.XLOOKUP(A328,'Hướng dẫn'!AA:AA,'Hướng dẫn'!X:X)</f>
        <v>Crew neck classic</v>
      </c>
    </row>
    <row r="329" spans="1:2">
      <c r="A329" t="s">
        <v>2001</v>
      </c>
      <c r="B329" t="str">
        <f>_xlfn.XLOOKUP(A329,'Hướng dẫn'!AA:AA,'Hướng dẫn'!X:X)</f>
        <v>Mandarin Collar</v>
      </c>
    </row>
    <row r="330" spans="1:2">
      <c r="A330" t="s">
        <v>2442</v>
      </c>
      <c r="B330" t="str">
        <f>_xlfn.XLOOKUP(A330,'Hướng dẫn'!AA:AA,'Hướng dẫn'!X:X)</f>
        <v>Leather Shoes</v>
      </c>
    </row>
    <row r="331" spans="1:2">
      <c r="A331" t="s">
        <v>2705</v>
      </c>
      <c r="B331" t="str">
        <f>_xlfn.XLOOKUP(A331,'Hướng dẫn'!AA:AA,'Hướng dẫn'!X:X)</f>
        <v>Wallet</v>
      </c>
    </row>
    <row r="332" spans="1:2">
      <c r="A332" t="s">
        <v>2078</v>
      </c>
      <c r="B332" t="str">
        <f>_xlfn.XLOOKUP(A332,'Hướng dẫn'!AA:AA,'Hướng dẫn'!X:X)</f>
        <v>Crew neck classic</v>
      </c>
    </row>
    <row r="333" spans="1:2">
      <c r="A333" t="s">
        <v>2078</v>
      </c>
      <c r="B333" t="str">
        <f>_xlfn.XLOOKUP(A333,'Hướng dẫn'!AA:AA,'Hướng dẫn'!X:X)</f>
        <v>Crew neck classic</v>
      </c>
    </row>
    <row r="334" spans="1:2">
      <c r="A334" t="s">
        <v>2138</v>
      </c>
      <c r="B334" t="str">
        <f>_xlfn.XLOOKUP(A334,'Hướng dẫn'!AA:AA,'Hướng dẫn'!X:X)</f>
        <v>Boat Neck</v>
      </c>
    </row>
    <row r="335" spans="1:2">
      <c r="A335" t="s">
        <v>2078</v>
      </c>
      <c r="B335" t="str">
        <f>_xlfn.XLOOKUP(A335,'Hướng dẫn'!AA:AA,'Hướng dẫn'!X:X)</f>
        <v>Crew neck classic</v>
      </c>
    </row>
    <row r="336" spans="1:2">
      <c r="A336" t="s">
        <v>2048</v>
      </c>
      <c r="B336" t="str">
        <f>_xlfn.XLOOKUP(A336,'Hướng dẫn'!AA:AA,'Hướng dẫn'!X:X)</f>
        <v>Button-down Collar</v>
      </c>
    </row>
    <row r="337" spans="1:2">
      <c r="A337" t="s">
        <v>2394</v>
      </c>
      <c r="B337" t="str">
        <f>_xlfn.XLOOKUP(A337,'Hướng dẫn'!AA:AA,'Hướng dẫn'!X:X)</f>
        <v>Sneaker</v>
      </c>
    </row>
    <row r="338" spans="1:2">
      <c r="A338" t="s">
        <v>2329</v>
      </c>
      <c r="B338" t="str">
        <f>_xlfn.XLOOKUP(A338,'Hướng dẫn'!AA:AA,'Hướng dẫn'!X:X)</f>
        <v>Tote bag</v>
      </c>
    </row>
    <row r="339" spans="1:2">
      <c r="A339" t="s">
        <v>2694</v>
      </c>
      <c r="B339" t="str">
        <f>_xlfn.XLOOKUP(A339,'Hướng dẫn'!AA:AA,'Hướng dẫn'!X:X)</f>
        <v>Clutch</v>
      </c>
    </row>
    <row r="340" spans="1:2">
      <c r="A340" t="s">
        <v>3168</v>
      </c>
      <c r="B340" t="str">
        <f>_xlfn.XLOOKUP(A340,'Hướng dẫn'!AA:AA,'Hướng dẫn'!X:X)</f>
        <v>Coffee Bean</v>
      </c>
    </row>
    <row r="341" spans="1:2">
      <c r="A341" t="s">
        <v>2924</v>
      </c>
      <c r="B341" t="str">
        <f>_xlfn.XLOOKUP(A341,'Hướng dẫn'!AA:AA,'Hướng dẫn'!X:X)</f>
        <v>Cosmetics</v>
      </c>
    </row>
    <row r="342" spans="1:2">
      <c r="A342" t="s">
        <v>2842</v>
      </c>
      <c r="B342" t="str">
        <f>_xlfn.XLOOKUP(A342,'Hướng dẫn'!AA:AA,'Hướng dẫn'!X:X)</f>
        <v>Keychains</v>
      </c>
    </row>
    <row r="343" spans="1:2">
      <c r="A343" t="s">
        <v>2078</v>
      </c>
      <c r="B343" t="str">
        <f>_xlfn.XLOOKUP(A343,'Hướng dẫn'!AA:AA,'Hướng dẫn'!X:X)</f>
        <v>Crew neck classic</v>
      </c>
    </row>
    <row r="344" spans="1:2">
      <c r="A344" t="s">
        <v>3168</v>
      </c>
      <c r="B344" t="str">
        <f>_xlfn.XLOOKUP(A344,'Hướng dẫn'!AA:AA,'Hướng dẫn'!X:X)</f>
        <v>Coffee Bean</v>
      </c>
    </row>
    <row r="345" spans="1:2">
      <c r="A345" t="s">
        <v>2078</v>
      </c>
      <c r="B345" t="str">
        <f>_xlfn.XLOOKUP(A345,'Hướng dẫn'!AA:AA,'Hướng dẫn'!X:X)</f>
        <v>Crew neck classic</v>
      </c>
    </row>
    <row r="346" spans="1:2">
      <c r="A346" t="s">
        <v>2442</v>
      </c>
      <c r="B346" t="str">
        <f>_xlfn.XLOOKUP(A346,'Hướng dẫn'!AA:AA,'Hướng dẫn'!X:X)</f>
        <v>Leather Shoes</v>
      </c>
    </row>
    <row r="347" spans="1:2">
      <c r="A347" t="s">
        <v>2442</v>
      </c>
      <c r="B347" t="str">
        <f>_xlfn.XLOOKUP(A347,'Hướng dẫn'!AA:AA,'Hướng dẫn'!X:X)</f>
        <v>Leather Shoes</v>
      </c>
    </row>
    <row r="348" spans="1:2">
      <c r="A348" t="s">
        <v>2078</v>
      </c>
      <c r="B348" t="str">
        <f>_xlfn.XLOOKUP(A348,'Hướng dẫn'!AA:AA,'Hướng dẫn'!X:X)</f>
        <v>Crew neck classic</v>
      </c>
    </row>
    <row r="349" spans="1:2">
      <c r="A349" t="s">
        <v>2779</v>
      </c>
      <c r="B349" t="str">
        <f>_xlfn.XLOOKUP(A349,'Hướng dẫn'!AA:AA,'Hướng dẫn'!X:X)</f>
        <v>Necklace</v>
      </c>
    </row>
    <row r="350" spans="1:2">
      <c r="A350" t="s">
        <v>2779</v>
      </c>
      <c r="B350" t="str">
        <f>_xlfn.XLOOKUP(A350,'Hướng dẫn'!AA:AA,'Hướng dẫn'!X:X)</f>
        <v>Necklace</v>
      </c>
    </row>
    <row r="351" spans="1:2">
      <c r="A351" t="s">
        <v>2078</v>
      </c>
      <c r="B351" t="str">
        <f>_xlfn.XLOOKUP(A351,'Hướng dẫn'!AA:AA,'Hướng dẫn'!X:X)</f>
        <v>Crew neck classic</v>
      </c>
    </row>
    <row r="352" spans="1:2">
      <c r="A352" t="s">
        <v>2138</v>
      </c>
      <c r="B352" t="str">
        <f>_xlfn.XLOOKUP(A352,'Hướng dẫn'!AA:AA,'Hướng dẫn'!X:X)</f>
        <v>Boat Neck</v>
      </c>
    </row>
    <row r="353" spans="1:2">
      <c r="A353" t="s">
        <v>3159</v>
      </c>
      <c r="B353" t="str">
        <f>_xlfn.XLOOKUP(A353,'Hướng dẫn'!AA:AA,'Hướng dẫn'!X:X)</f>
        <v>Coffee Powder</v>
      </c>
    </row>
    <row r="354" spans="1:2">
      <c r="A354" t="s">
        <v>2442</v>
      </c>
      <c r="B354" t="str">
        <f>_xlfn.XLOOKUP(A354,'Hướng dẫn'!AA:AA,'Hướng dẫn'!X:X)</f>
        <v>Leather Shoes</v>
      </c>
    </row>
    <row r="355" spans="1:2">
      <c r="A355" t="s">
        <v>2092</v>
      </c>
      <c r="B355" t="str">
        <f>_xlfn.XLOOKUP(A355,'Hướng dẫn'!AA:AA,'Hướng dẫn'!X:X)</f>
        <v>High crew neck classic</v>
      </c>
    </row>
    <row r="356" spans="1:2">
      <c r="A356" t="s">
        <v>2977</v>
      </c>
      <c r="B356" t="str">
        <f>_xlfn.XLOOKUP(A356,'Hướng dẫn'!AA:AA,'Hướng dẫn'!X:X)</f>
        <v>Decorative Items</v>
      </c>
    </row>
    <row r="357" spans="1:2">
      <c r="A357" t="s">
        <v>2078</v>
      </c>
      <c r="B357" t="str">
        <f>_xlfn.XLOOKUP(A357,'Hướng dẫn'!AA:AA,'Hướng dẫn'!X:X)</f>
        <v>Crew neck classic</v>
      </c>
    </row>
    <row r="358" spans="1:2">
      <c r="A358" t="s">
        <v>2442</v>
      </c>
      <c r="B358" t="str">
        <f>_xlfn.XLOOKUP(A358,'Hướng dẫn'!AA:AA,'Hướng dẫn'!X:X)</f>
        <v>Leather Shoes</v>
      </c>
    </row>
    <row r="359" spans="1:2">
      <c r="A359" t="s">
        <v>3168</v>
      </c>
      <c r="B359" t="str">
        <f>_xlfn.XLOOKUP(A359,'Hướng dẫn'!AA:AA,'Hướng dẫn'!X:X)</f>
        <v>Coffee Bean</v>
      </c>
    </row>
    <row r="360" spans="1:2">
      <c r="A360" t="s">
        <v>2779</v>
      </c>
      <c r="B360" t="str">
        <f>_xlfn.XLOOKUP(A360,'Hướng dẫn'!AA:AA,'Hướng dẫn'!X:X)</f>
        <v>Necklace</v>
      </c>
    </row>
    <row r="361" spans="1:2">
      <c r="A361" t="s">
        <v>2663</v>
      </c>
      <c r="B361" t="str">
        <f>_xlfn.XLOOKUP(A361,'Hướng dẫn'!AA:AA,'Hướng dẫn'!X:X)</f>
        <v>Cigar cover</v>
      </c>
    </row>
    <row r="362" spans="1:2">
      <c r="A362" t="s">
        <v>2977</v>
      </c>
      <c r="B362" t="str">
        <f>_xlfn.XLOOKUP(A362,'Hướng dẫn'!AA:AA,'Hướng dẫn'!X:X)</f>
        <v>Decorative Items</v>
      </c>
    </row>
    <row r="363" spans="1:2">
      <c r="A363" t="s">
        <v>2092</v>
      </c>
      <c r="B363" t="str">
        <f>_xlfn.XLOOKUP(A363,'Hướng dẫn'!AA:AA,'Hướng dẫn'!X:X)</f>
        <v>High crew neck classic</v>
      </c>
    </row>
    <row r="364" spans="1:2">
      <c r="A364" t="s">
        <v>2078</v>
      </c>
      <c r="B364" t="str">
        <f>_xlfn.XLOOKUP(A364,'Hướng dẫn'!AA:AA,'Hướng dẫn'!X:X)</f>
        <v>Crew neck classic</v>
      </c>
    </row>
    <row r="365" spans="1:2">
      <c r="A365" t="s">
        <v>2078</v>
      </c>
      <c r="B365" t="str">
        <f>_xlfn.XLOOKUP(A365,'Hướng dẫn'!AA:AA,'Hướng dẫn'!X:X)</f>
        <v>Crew neck classic</v>
      </c>
    </row>
    <row r="366" spans="1:2">
      <c r="A366" t="s">
        <v>2138</v>
      </c>
      <c r="B366" t="str">
        <f>_xlfn.XLOOKUP(A366,'Hướng dẫn'!AA:AA,'Hướng dẫn'!X:X)</f>
        <v>Boat Neck</v>
      </c>
    </row>
    <row r="367" spans="1:2">
      <c r="A367" t="s">
        <v>2779</v>
      </c>
      <c r="B367" t="str">
        <f>_xlfn.XLOOKUP(A367,'Hướng dẫn'!AA:AA,'Hướng dẫn'!X:X)</f>
        <v>Necklace</v>
      </c>
    </row>
    <row r="368" spans="1:2">
      <c r="A368" t="s">
        <v>2977</v>
      </c>
      <c r="B368" t="str">
        <f>_xlfn.XLOOKUP(A368,'Hướng dẫn'!AA:AA,'Hướng dẫn'!X:X)</f>
        <v>Decorative Items</v>
      </c>
    </row>
    <row r="369" spans="1:2">
      <c r="A369" t="s">
        <v>2078</v>
      </c>
      <c r="B369" t="str">
        <f>_xlfn.XLOOKUP(A369,'Hướng dẫn'!AA:AA,'Hướng dẫn'!X:X)</f>
        <v>Crew neck classic</v>
      </c>
    </row>
    <row r="370" spans="1:2">
      <c r="A370" t="s">
        <v>2233</v>
      </c>
      <c r="B370" t="str">
        <f>_xlfn.XLOOKUP(A370,'Hướng dẫn'!AA:AA,'Hướng dẫn'!X:X)</f>
        <v>Flat-Front</v>
      </c>
    </row>
    <row r="371" spans="1:2">
      <c r="A371" t="s">
        <v>3186</v>
      </c>
      <c r="B371" t="str">
        <f>_xlfn.XLOOKUP(A371,'Hướng dẫn'!AA:AA,'Hướng dẫn'!X:X)</f>
        <v>Coffee order</v>
      </c>
    </row>
    <row r="372" spans="1:2">
      <c r="A372" t="s">
        <v>2078</v>
      </c>
      <c r="B372" t="str">
        <f>_xlfn.XLOOKUP(A372,'Hướng dẫn'!AA:AA,'Hướng dẫn'!X:X)</f>
        <v>Crew neck classic</v>
      </c>
    </row>
    <row r="373" spans="1:2">
      <c r="A373" t="s">
        <v>3033</v>
      </c>
      <c r="B373" t="str">
        <f>_xlfn.XLOOKUP(A373,'Hướng dẫn'!AA:AA,'Hướng dẫn'!X:X)</f>
        <v>Stainless Steel</v>
      </c>
    </row>
    <row r="374" spans="1:2">
      <c r="A374" t="s">
        <v>2092</v>
      </c>
      <c r="B374" t="str">
        <f>_xlfn.XLOOKUP(A374,'Hướng dẫn'!AA:AA,'Hướng dẫn'!X:X)</f>
        <v>High crew neck classic</v>
      </c>
    </row>
    <row r="375" spans="1:2">
      <c r="A375" t="s">
        <v>2694</v>
      </c>
      <c r="B375" t="str">
        <f>_xlfn.XLOOKUP(A375,'Hướng dẫn'!AA:AA,'Hướng dẫn'!X:X)</f>
        <v>Clutch</v>
      </c>
    </row>
    <row r="376" spans="1:2">
      <c r="A376" t="s">
        <v>2078</v>
      </c>
      <c r="B376" t="str">
        <f>_xlfn.XLOOKUP(A376,'Hướng dẫn'!AA:AA,'Hướng dẫn'!X:X)</f>
        <v>Crew neck classic</v>
      </c>
    </row>
    <row r="377" spans="1:2">
      <c r="A377" t="s">
        <v>2684</v>
      </c>
      <c r="B377" t="str">
        <f>_xlfn.XLOOKUP(A377,'Hướng dẫn'!AA:AA,'Hướng dẫn'!X:X)</f>
        <v>Card Holder</v>
      </c>
    </row>
    <row r="378" spans="1:2">
      <c r="A378" t="s">
        <v>2425</v>
      </c>
      <c r="B378" t="str">
        <f>_xlfn.XLOOKUP(A378,'Hướng dẫn'!AA:AA,'Hướng dẫn'!X:X)</f>
        <v>Flats</v>
      </c>
    </row>
    <row r="379" spans="1:2">
      <c r="A379" t="s">
        <v>2001</v>
      </c>
      <c r="B379" t="str">
        <f>_xlfn.XLOOKUP(A379,'Hướng dẫn'!AA:AA,'Hướng dẫn'!X:X)</f>
        <v>Mandarin Collar</v>
      </c>
    </row>
    <row r="380" spans="1:2">
      <c r="A380" t="s">
        <v>2500</v>
      </c>
      <c r="B380" t="str">
        <f>_xlfn.XLOOKUP(A380,'Hướng dẫn'!AA:AA,'Hướng dẫn'!X:X)</f>
        <v>Scarf Satin Single-Sided</v>
      </c>
    </row>
    <row r="381" spans="1:2">
      <c r="A381" t="s">
        <v>2379</v>
      </c>
      <c r="B381" t="str">
        <f>_xlfn.XLOOKUP(A381,'Hướng dẫn'!AA:AA,'Hướng dẫn'!X:X)</f>
        <v>Slippers</v>
      </c>
    </row>
    <row r="382" spans="1:2">
      <c r="A382" t="s">
        <v>2092</v>
      </c>
      <c r="B382" t="str">
        <f>_xlfn.XLOOKUP(A382,'Hướng dẫn'!AA:AA,'Hướng dẫn'!X:X)</f>
        <v>High crew neck classic</v>
      </c>
    </row>
    <row r="383" spans="1:2">
      <c r="A383" t="s">
        <v>2329</v>
      </c>
      <c r="B383" t="str">
        <f>_xlfn.XLOOKUP(A383,'Hướng dẫn'!AA:AA,'Hướng dẫn'!X:X)</f>
        <v>Tote bag</v>
      </c>
    </row>
    <row r="384" spans="1:2">
      <c r="A384" t="s">
        <v>2078</v>
      </c>
      <c r="B384" t="str">
        <f>_xlfn.XLOOKUP(A384,'Hướng dẫn'!AA:AA,'Hướng dẫn'!X:X)</f>
        <v>Crew neck classic</v>
      </c>
    </row>
    <row r="385" spans="1:2">
      <c r="A385" t="s">
        <v>2996</v>
      </c>
      <c r="B385" t="str">
        <f>_xlfn.XLOOKUP(A385,'Hướng dẫn'!AA:AA,'Hướng dẫn'!X:X)</f>
        <v>Small Accessories</v>
      </c>
    </row>
    <row r="386" spans="1:2">
      <c r="A386" t="s">
        <v>2996</v>
      </c>
      <c r="B386" t="str">
        <f>_xlfn.XLOOKUP(A386,'Hướng dẫn'!AA:AA,'Hướng dẫn'!X:X)</f>
        <v>Small Accessories</v>
      </c>
    </row>
    <row r="387" spans="1:2">
      <c r="A387" t="s">
        <v>2394</v>
      </c>
      <c r="B387" t="str">
        <f>_xlfn.XLOOKUP(A387,'Hướng dẫn'!AA:AA,'Hướng dẫn'!X:X)</f>
        <v>Sneaker</v>
      </c>
    </row>
    <row r="388" spans="1:2">
      <c r="A388" t="s">
        <v>2684</v>
      </c>
      <c r="B388" t="str">
        <f>_xlfn.XLOOKUP(A388,'Hướng dẫn'!AA:AA,'Hướng dẫn'!X:X)</f>
        <v>Card Holder</v>
      </c>
    </row>
    <row r="389" spans="1:2">
      <c r="A389" t="s">
        <v>2442</v>
      </c>
      <c r="B389" t="str">
        <f>_xlfn.XLOOKUP(A389,'Hướng dẫn'!AA:AA,'Hướng dẫn'!X:X)</f>
        <v>Leather Shoes</v>
      </c>
    </row>
    <row r="390" spans="1:2">
      <c r="A390" t="s">
        <v>2001</v>
      </c>
      <c r="B390" t="str">
        <f>_xlfn.XLOOKUP(A390,'Hướng dẫn'!AA:AA,'Hướng dẫn'!X:X)</f>
        <v>Mandarin Collar</v>
      </c>
    </row>
    <row r="391" spans="1:2">
      <c r="A391" t="s">
        <v>2078</v>
      </c>
      <c r="B391" t="str">
        <f>_xlfn.XLOOKUP(A391,'Hướng dẫn'!AA:AA,'Hướng dẫn'!X:X)</f>
        <v>Crew neck classic</v>
      </c>
    </row>
    <row r="392" spans="1:2">
      <c r="A392" t="s">
        <v>2779</v>
      </c>
      <c r="B392" t="str">
        <f>_xlfn.XLOOKUP(A392,'Hướng dẫn'!AA:AA,'Hướng dẫn'!X:X)</f>
        <v>Necklace</v>
      </c>
    </row>
    <row r="393" spans="1:2">
      <c r="A393" t="s">
        <v>2138</v>
      </c>
      <c r="B393" t="str">
        <f>_xlfn.XLOOKUP(A393,'Hướng dẫn'!AA:AA,'Hướng dẫn'!X:X)</f>
        <v>Boat Neck</v>
      </c>
    </row>
    <row r="394" spans="1:2">
      <c r="A394" t="s">
        <v>2394</v>
      </c>
      <c r="B394" t="str">
        <f>_xlfn.XLOOKUP(A394,'Hướng dẫn'!AA:AA,'Hướng dẫn'!X:X)</f>
        <v>Sneaker</v>
      </c>
    </row>
    <row r="395" spans="1:2">
      <c r="A395" t="s">
        <v>2078</v>
      </c>
      <c r="B395" t="str">
        <f>_xlfn.XLOOKUP(A395,'Hướng dẫn'!AA:AA,'Hướng dẫn'!X:X)</f>
        <v>Crew neck classic</v>
      </c>
    </row>
    <row r="396" spans="1:2">
      <c r="A396" t="s">
        <v>2516</v>
      </c>
      <c r="B396" t="str">
        <f>_xlfn.XLOOKUP(A396,'Hướng dẫn'!AA:AA,'Hướng dẫn'!X:X)</f>
        <v>Scarf Satin Double Side Print</v>
      </c>
    </row>
    <row r="397" spans="1:2">
      <c r="A397" t="s">
        <v>2078</v>
      </c>
      <c r="B397" t="str">
        <f>_xlfn.XLOOKUP(A397,'Hướng dẫn'!AA:AA,'Hướng dẫn'!X:X)</f>
        <v>Crew neck classic</v>
      </c>
    </row>
    <row r="398" spans="1:2">
      <c r="A398" t="s">
        <v>2078</v>
      </c>
      <c r="B398" t="str">
        <f>_xlfn.XLOOKUP(A398,'Hướng dẫn'!AA:AA,'Hướng dẫn'!X:X)</f>
        <v>Crew neck classic</v>
      </c>
    </row>
    <row r="399" spans="1:2">
      <c r="A399" t="s">
        <v>2516</v>
      </c>
      <c r="B399" t="str">
        <f>_xlfn.XLOOKUP(A399,'Hướng dẫn'!AA:AA,'Hướng dẫn'!X:X)</f>
        <v>Scarf Satin Double Side Print</v>
      </c>
    </row>
    <row r="400" spans="1:2">
      <c r="A400" t="s">
        <v>2901</v>
      </c>
      <c r="B400" t="str">
        <f>_xlfn.XLOOKUP(A400,'Hướng dẫn'!AA:AA,'Hướng dẫn'!X:X)</f>
        <v>ART</v>
      </c>
    </row>
    <row r="401" spans="1:2">
      <c r="A401" t="s">
        <v>2078</v>
      </c>
      <c r="B401" t="str">
        <f>_xlfn.XLOOKUP(A401,'Hướng dẫn'!AA:AA,'Hướng dẫn'!X:X)</f>
        <v>Crew neck classic</v>
      </c>
    </row>
    <row r="402" spans="1:2">
      <c r="A402" t="s">
        <v>2078</v>
      </c>
      <c r="B402" t="str">
        <f>_xlfn.XLOOKUP(A402,'Hướng dẫn'!AA:AA,'Hướng dẫn'!X:X)</f>
        <v>Crew neck classic</v>
      </c>
    </row>
    <row r="403" spans="1:2">
      <c r="A403" t="s">
        <v>2078</v>
      </c>
      <c r="B403" t="str">
        <f>_xlfn.XLOOKUP(A403,'Hướng dẫn'!AA:AA,'Hướng dẫn'!X:X)</f>
        <v>Crew neck classic</v>
      </c>
    </row>
    <row r="404" spans="1:2">
      <c r="A404" t="s">
        <v>2078</v>
      </c>
      <c r="B404" t="str">
        <f>_xlfn.XLOOKUP(A404,'Hướng dẫn'!AA:AA,'Hướng dẫn'!X:X)</f>
        <v>Crew neck classic</v>
      </c>
    </row>
    <row r="405" spans="1:2">
      <c r="A405" t="s">
        <v>2442</v>
      </c>
      <c r="B405" t="str">
        <f>_xlfn.XLOOKUP(A405,'Hướng dẫn'!AA:AA,'Hướng dẫn'!X:X)</f>
        <v>Leather Shoes</v>
      </c>
    </row>
    <row r="406" spans="1:2">
      <c r="A406" t="s">
        <v>2048</v>
      </c>
      <c r="B406" t="str">
        <f>_xlfn.XLOOKUP(A406,'Hướng dẫn'!AA:AA,'Hướng dẫn'!X:X)</f>
        <v>Button-down Collar</v>
      </c>
    </row>
    <row r="407" spans="1:2">
      <c r="A407" t="s">
        <v>2559</v>
      </c>
      <c r="B407" t="str">
        <f>_xlfn.XLOOKUP(A407,'Hướng dẫn'!AA:AA,'Hướng dẫn'!X:X)</f>
        <v>Ethnic Bag</v>
      </c>
    </row>
    <row r="408" spans="1:2">
      <c r="A408" t="s">
        <v>2779</v>
      </c>
      <c r="B408" t="str">
        <f>_xlfn.XLOOKUP(A408,'Hướng dẫn'!AA:AA,'Hướng dẫn'!X:X)</f>
        <v>Necklace</v>
      </c>
    </row>
    <row r="409" spans="1:2">
      <c r="A409" t="s">
        <v>3159</v>
      </c>
      <c r="B409" t="str">
        <f>_xlfn.XLOOKUP(A409,'Hướng dẫn'!AA:AA,'Hướng dẫn'!X:X)</f>
        <v>Coffee Powder</v>
      </c>
    </row>
    <row r="410" spans="1:2">
      <c r="A410" t="s">
        <v>2394</v>
      </c>
      <c r="B410" t="str">
        <f>_xlfn.XLOOKUP(A410,'Hướng dẫn'!AA:AA,'Hướng dẫn'!X:X)</f>
        <v>Sneaker</v>
      </c>
    </row>
    <row r="411" spans="1:2">
      <c r="A411" t="s">
        <v>2394</v>
      </c>
      <c r="B411" t="str">
        <f>_xlfn.XLOOKUP(A411,'Hướng dẫn'!AA:AA,'Hướng dẫn'!X:X)</f>
        <v>Sneaker</v>
      </c>
    </row>
    <row r="412" spans="1:2">
      <c r="A412" t="s">
        <v>2671</v>
      </c>
      <c r="B412" t="str">
        <f>_xlfn.XLOOKUP(A412,'Hướng dẫn'!AA:AA,'Hướng dẫn'!X:X)</f>
        <v>Cigar box</v>
      </c>
    </row>
    <row r="413" spans="1:2">
      <c r="A413" t="s">
        <v>2078</v>
      </c>
      <c r="B413" t="str">
        <f>_xlfn.XLOOKUP(A413,'Hướng dẫn'!AA:AA,'Hướng dẫn'!X:X)</f>
        <v>Crew neck classic</v>
      </c>
    </row>
    <row r="414" spans="1:2">
      <c r="A414" t="s">
        <v>2901</v>
      </c>
      <c r="B414" t="str">
        <f>_xlfn.XLOOKUP(A414,'Hướng dẫn'!AA:AA,'Hướng dẫn'!X:X)</f>
        <v>ART</v>
      </c>
    </row>
    <row r="415" spans="1:2">
      <c r="A415" t="s">
        <v>2001</v>
      </c>
      <c r="B415" t="str">
        <f>_xlfn.XLOOKUP(A415,'Hướng dẫn'!AA:AA,'Hướng dẫn'!X:X)</f>
        <v>Mandarin Collar</v>
      </c>
    </row>
    <row r="416" spans="1:2">
      <c r="A416" t="s">
        <v>2705</v>
      </c>
      <c r="B416" t="str">
        <f>_xlfn.XLOOKUP(A416,'Hướng dẫn'!AA:AA,'Hướng dẫn'!X:X)</f>
        <v>Wallet</v>
      </c>
    </row>
    <row r="417" spans="1:2">
      <c r="A417" t="s">
        <v>2078</v>
      </c>
      <c r="B417" t="str">
        <f>_xlfn.XLOOKUP(A417,'Hướng dẫn'!AA:AA,'Hướng dẫn'!X:X)</f>
        <v>Crew neck classic</v>
      </c>
    </row>
    <row r="418" spans="1:2">
      <c r="A418" t="s">
        <v>2379</v>
      </c>
      <c r="B418" t="str">
        <f>_xlfn.XLOOKUP(A418,'Hướng dẫn'!AA:AA,'Hướng dẫn'!X:X)</f>
        <v>Slippers</v>
      </c>
    </row>
    <row r="419" spans="1:2">
      <c r="A419" t="s">
        <v>2779</v>
      </c>
      <c r="B419" t="str">
        <f>_xlfn.XLOOKUP(A419,'Hướng dẫn'!AA:AA,'Hướng dẫn'!X:X)</f>
        <v>Necklace</v>
      </c>
    </row>
    <row r="420" spans="1:2">
      <c r="A420" t="s">
        <v>2078</v>
      </c>
      <c r="B420" t="str">
        <f>_xlfn.XLOOKUP(A420,'Hướng dẫn'!AA:AA,'Hướng dẫn'!X:X)</f>
        <v>Crew neck classic</v>
      </c>
    </row>
    <row r="421" spans="1:2">
      <c r="A421" t="s">
        <v>2943</v>
      </c>
      <c r="B421" t="str">
        <f>_xlfn.XLOOKUP(A421,'Hướng dẫn'!AA:AA,'Hướng dẫn'!X:X)</f>
        <v>Notebook Saddle Stitched</v>
      </c>
    </row>
    <row r="422" spans="1:2">
      <c r="A422" t="s">
        <v>2263</v>
      </c>
      <c r="B422" t="str">
        <f>_xlfn.XLOOKUP(A422,'Hướng dẫn'!AA:AA,'Hướng dẫn'!X:X)</f>
        <v>Button Waist</v>
      </c>
    </row>
    <row r="423" spans="1:2">
      <c r="A423" t="s">
        <v>2124</v>
      </c>
      <c r="B423" t="str">
        <f>_xlfn.XLOOKUP(A423,'Hướng dẫn'!AA:AA,'Hướng dẫn'!X:X)</f>
        <v>V-neck</v>
      </c>
    </row>
    <row r="424" spans="1:2">
      <c r="A424" t="s">
        <v>2970</v>
      </c>
      <c r="B424" t="str">
        <f>_xlfn.XLOOKUP(A424,'Hướng dẫn'!AA:AA,'Hướng dẫn'!X:X)</f>
        <v>Games</v>
      </c>
    </row>
    <row r="425" spans="1:2">
      <c r="A425" t="s">
        <v>3118</v>
      </c>
      <c r="B425" t="str">
        <f>_xlfn.XLOOKUP(A425,'Hướng dẫn'!AA:AA,'Hướng dẫn'!X:X)</f>
        <v>Face Care</v>
      </c>
    </row>
    <row r="426" spans="1:2">
      <c r="A426" t="s">
        <v>2078</v>
      </c>
      <c r="B426" t="str">
        <f>_xlfn.XLOOKUP(A426,'Hướng dẫn'!AA:AA,'Hướng dẫn'!X:X)</f>
        <v>Crew neck classic</v>
      </c>
    </row>
    <row r="427" spans="1:2">
      <c r="A427" t="s">
        <v>2078</v>
      </c>
      <c r="B427" t="str">
        <f>_xlfn.XLOOKUP(A427,'Hướng dẫn'!AA:AA,'Hướng dẫn'!X:X)</f>
        <v>Crew neck classic</v>
      </c>
    </row>
    <row r="428" spans="1:2">
      <c r="A428" t="s">
        <v>2124</v>
      </c>
      <c r="B428" t="str">
        <f>_xlfn.XLOOKUP(A428,'Hướng dẫn'!AA:AA,'Hướng dẫn'!X:X)</f>
        <v>V-neck</v>
      </c>
    </row>
    <row r="429" spans="1:2">
      <c r="A429" t="s">
        <v>2078</v>
      </c>
      <c r="B429" t="str">
        <f>_xlfn.XLOOKUP(A429,'Hướng dẫn'!AA:AA,'Hướng dẫn'!X:X)</f>
        <v>Crew neck classic</v>
      </c>
    </row>
    <row r="430" spans="1:2">
      <c r="A430" t="s">
        <v>2078</v>
      </c>
      <c r="B430" t="str">
        <f>_xlfn.XLOOKUP(A430,'Hướng dẫn'!AA:AA,'Hướng dẫn'!X:X)</f>
        <v>Crew neck classic</v>
      </c>
    </row>
    <row r="431" spans="1:2">
      <c r="A431" t="s">
        <v>2078</v>
      </c>
      <c r="B431" t="str">
        <f>_xlfn.XLOOKUP(A431,'Hướng dẫn'!AA:AA,'Hướng dẫn'!X:X)</f>
        <v>Crew neck classic</v>
      </c>
    </row>
    <row r="432" spans="1:2">
      <c r="A432" t="s">
        <v>2869</v>
      </c>
      <c r="B432" t="str">
        <f>_xlfn.XLOOKUP(A432,'Hướng dẫn'!AA:AA,'Hướng dẫn'!X:X)</f>
        <v>Poscard</v>
      </c>
    </row>
    <row r="433" spans="1:2">
      <c r="A433" t="s">
        <v>2869</v>
      </c>
      <c r="B433" t="str">
        <f>_xlfn.XLOOKUP(A433,'Hướng dẫn'!AA:AA,'Hướng dẫn'!X:X)</f>
        <v>Poscard</v>
      </c>
    </row>
    <row r="434" spans="1:2">
      <c r="A434" t="s">
        <v>2869</v>
      </c>
      <c r="B434" t="str">
        <f>_xlfn.XLOOKUP(A434,'Hướng dẫn'!AA:AA,'Hướng dẫn'!X:X)</f>
        <v>Poscard</v>
      </c>
    </row>
    <row r="435" spans="1:2">
      <c r="A435" t="s">
        <v>2869</v>
      </c>
      <c r="B435" t="str">
        <f>_xlfn.XLOOKUP(A435,'Hướng dẫn'!AA:AA,'Hướng dẫn'!X:X)</f>
        <v>Poscard</v>
      </c>
    </row>
    <row r="436" spans="1:2">
      <c r="A436" t="s">
        <v>2869</v>
      </c>
      <c r="B436" t="str">
        <f>_xlfn.XLOOKUP(A436,'Hướng dẫn'!AA:AA,'Hướng dẫn'!X:X)</f>
        <v>Poscard</v>
      </c>
    </row>
    <row r="437" spans="1:2">
      <c r="A437" t="s">
        <v>2869</v>
      </c>
      <c r="B437" t="str">
        <f>_xlfn.XLOOKUP(A437,'Hướng dẫn'!AA:AA,'Hướng dẫn'!X:X)</f>
        <v>Poscard</v>
      </c>
    </row>
    <row r="438" spans="1:2">
      <c r="A438" t="s">
        <v>2869</v>
      </c>
      <c r="B438" t="str">
        <f>_xlfn.XLOOKUP(A438,'Hướng dẫn'!AA:AA,'Hướng dẫn'!X:X)</f>
        <v>Poscard</v>
      </c>
    </row>
    <row r="439" spans="1:2">
      <c r="A439" t="s">
        <v>2869</v>
      </c>
      <c r="B439" t="str">
        <f>_xlfn.XLOOKUP(A439,'Hướng dẫn'!AA:AA,'Hướng dẫn'!X:X)</f>
        <v>Poscard</v>
      </c>
    </row>
    <row r="440" spans="1:2">
      <c r="A440" t="s">
        <v>2869</v>
      </c>
      <c r="B440" t="str">
        <f>_xlfn.XLOOKUP(A440,'Hướng dẫn'!AA:AA,'Hướng dẫn'!X:X)</f>
        <v>Poscard</v>
      </c>
    </row>
    <row r="441" spans="1:2">
      <c r="A441" t="s">
        <v>2869</v>
      </c>
      <c r="B441" t="str">
        <f>_xlfn.XLOOKUP(A441,'Hướng dẫn'!AA:AA,'Hướng dẫn'!X:X)</f>
        <v>Poscard</v>
      </c>
    </row>
    <row r="442" spans="1:2">
      <c r="A442" t="s">
        <v>2869</v>
      </c>
      <c r="B442" t="str">
        <f>_xlfn.XLOOKUP(A442,'Hướng dẫn'!AA:AA,'Hướng dẫn'!X:X)</f>
        <v>Poscard</v>
      </c>
    </row>
    <row r="443" spans="1:2">
      <c r="A443" t="s">
        <v>2329</v>
      </c>
      <c r="B443" t="str">
        <f>_xlfn.XLOOKUP(A443,'Hướng dẫn'!AA:AA,'Hướng dẫn'!X:X)</f>
        <v>Tote bag</v>
      </c>
    </row>
    <row r="444" spans="1:2">
      <c r="A444" t="s">
        <v>2694</v>
      </c>
      <c r="B444" t="str">
        <f>_xlfn.XLOOKUP(A444,'Hướng dẫn'!AA:AA,'Hướng dẫn'!X:X)</f>
        <v>Clutch</v>
      </c>
    </row>
    <row r="445" spans="1:2">
      <c r="A445" t="s">
        <v>2394</v>
      </c>
      <c r="B445" t="str">
        <f>_xlfn.XLOOKUP(A445,'Hướng dẫn'!AA:AA,'Hướng dẫn'!X:X)</f>
        <v>Sneaker</v>
      </c>
    </row>
    <row r="446" spans="1:2">
      <c r="A446" t="s">
        <v>2001</v>
      </c>
      <c r="B446" t="str">
        <f>_xlfn.XLOOKUP(A446,'Hướng dẫn'!AA:AA,'Hướng dẫn'!X:X)</f>
        <v>Mandarin Collar</v>
      </c>
    </row>
    <row r="447" spans="1:2">
      <c r="A447" t="s">
        <v>2800</v>
      </c>
      <c r="B447" t="str">
        <f>_xlfn.XLOOKUP(A447,'Hướng dẫn'!AA:AA,'Hướng dẫn'!X:X)</f>
        <v>Earrings</v>
      </c>
    </row>
    <row r="448" spans="1:2">
      <c r="A448" t="s">
        <v>2078</v>
      </c>
      <c r="B448" t="str">
        <f>_xlfn.XLOOKUP(A448,'Hướng dẫn'!AA:AA,'Hướng dẫn'!X:X)</f>
        <v>Crew neck classic</v>
      </c>
    </row>
    <row r="449" spans="1:2">
      <c r="A449" t="s">
        <v>2078</v>
      </c>
      <c r="B449" t="str">
        <f>_xlfn.XLOOKUP(A449,'Hướng dẫn'!AA:AA,'Hướng dẫn'!X:X)</f>
        <v>Crew neck classic</v>
      </c>
    </row>
    <row r="450" spans="1:2">
      <c r="A450" t="s">
        <v>2078</v>
      </c>
      <c r="B450" t="str">
        <f>_xlfn.XLOOKUP(A450,'Hướng dẫn'!AA:AA,'Hướng dẫn'!X:X)</f>
        <v>Crew neck classic</v>
      </c>
    </row>
    <row r="451" spans="1:2">
      <c r="A451" t="s">
        <v>2694</v>
      </c>
      <c r="B451" t="str">
        <f>_xlfn.XLOOKUP(A451,'Hướng dẫn'!AA:AA,'Hướng dẫn'!X:X)</f>
        <v>Clutch</v>
      </c>
    </row>
    <row r="452" spans="1:2">
      <c r="A452" t="s">
        <v>2078</v>
      </c>
      <c r="B452" t="str">
        <f>_xlfn.XLOOKUP(A452,'Hướng dẫn'!AA:AA,'Hướng dẫn'!X:X)</f>
        <v>Crew neck classic</v>
      </c>
    </row>
    <row r="453" spans="1:2">
      <c r="A453" t="s">
        <v>2694</v>
      </c>
      <c r="B453" t="str">
        <f>_xlfn.XLOOKUP(A453,'Hướng dẫn'!AA:AA,'Hướng dẫn'!X:X)</f>
        <v>Clutch</v>
      </c>
    </row>
    <row r="454" spans="1:2">
      <c r="A454" t="s">
        <v>2078</v>
      </c>
      <c r="B454" t="str">
        <f>_xlfn.XLOOKUP(A454,'Hướng dẫn'!AA:AA,'Hướng dẫn'!X:X)</f>
        <v>Crew neck classic</v>
      </c>
    </row>
    <row r="455" spans="1:2">
      <c r="A455" t="s">
        <v>2001</v>
      </c>
      <c r="B455" t="str">
        <f>_xlfn.XLOOKUP(A455,'Hướng dẫn'!AA:AA,'Hướng dẫn'!X:X)</f>
        <v>Mandarin Collar</v>
      </c>
    </row>
    <row r="456" spans="1:2">
      <c r="A456" t="s">
        <v>2779</v>
      </c>
      <c r="B456" t="str">
        <f>_xlfn.XLOOKUP(A456,'Hướng dẫn'!AA:AA,'Hướng dẫn'!X:X)</f>
        <v>Necklace</v>
      </c>
    </row>
    <row r="457" spans="1:2">
      <c r="A457" t="s">
        <v>2379</v>
      </c>
      <c r="B457" t="str">
        <f>_xlfn.XLOOKUP(A457,'Hướng dẫn'!AA:AA,'Hướng dẫn'!X:X)</f>
        <v>Slippers</v>
      </c>
    </row>
    <row r="458" spans="1:2">
      <c r="A458" t="s">
        <v>2779</v>
      </c>
      <c r="B458" t="str">
        <f>_xlfn.XLOOKUP(A458,'Hướng dẫn'!AA:AA,'Hướng dẫn'!X:X)</f>
        <v>Necklace</v>
      </c>
    </row>
    <row r="459" spans="1:2">
      <c r="A459" t="s">
        <v>2078</v>
      </c>
      <c r="B459" t="str">
        <f>_xlfn.XLOOKUP(A459,'Hướng dẫn'!AA:AA,'Hướng dẫn'!X:X)</f>
        <v>Crew neck classic</v>
      </c>
    </row>
    <row r="460" spans="1:2">
      <c r="A460" t="s">
        <v>2078</v>
      </c>
      <c r="B460" t="str">
        <f>_xlfn.XLOOKUP(A460,'Hướng dẫn'!AA:AA,'Hướng dẫn'!X:X)</f>
        <v>Crew neck classic</v>
      </c>
    </row>
    <row r="461" spans="1:2">
      <c r="A461" t="s">
        <v>2442</v>
      </c>
      <c r="B461" t="str">
        <f>_xlfn.XLOOKUP(A461,'Hướng dẫn'!AA:AA,'Hướng dẫn'!X:X)</f>
        <v>Leather Shoes</v>
      </c>
    </row>
    <row r="462" spans="1:2">
      <c r="A462" t="s">
        <v>2078</v>
      </c>
      <c r="B462" t="str">
        <f>_xlfn.XLOOKUP(A462,'Hướng dẫn'!AA:AA,'Hướng dẫn'!X:X)</f>
        <v>Crew neck classic</v>
      </c>
    </row>
    <row r="463" spans="1:2">
      <c r="A463" t="s">
        <v>2048</v>
      </c>
      <c r="B463" t="str">
        <f>_xlfn.XLOOKUP(A463,'Hướng dẫn'!AA:AA,'Hướng dẫn'!X:X)</f>
        <v>Button-down Collar</v>
      </c>
    </row>
    <row r="464" spans="1:2">
      <c r="A464" t="s">
        <v>2078</v>
      </c>
      <c r="B464" t="str">
        <f>_xlfn.XLOOKUP(A464,'Hướng dẫn'!AA:AA,'Hướng dẫn'!X:X)</f>
        <v>Crew neck classic</v>
      </c>
    </row>
    <row r="465" spans="1:2">
      <c r="A465" t="s">
        <v>2996</v>
      </c>
      <c r="B465" t="str">
        <f>_xlfn.XLOOKUP(A465,'Hướng dẫn'!AA:AA,'Hướng dẫn'!X:X)</f>
        <v>Small Accessories</v>
      </c>
    </row>
    <row r="466" spans="1:2">
      <c r="A466" t="s">
        <v>2078</v>
      </c>
      <c r="B466" t="str">
        <f>_xlfn.XLOOKUP(A466,'Hướng dẫn'!AA:AA,'Hướng dẫn'!X:X)</f>
        <v>Crew neck classic</v>
      </c>
    </row>
    <row r="467" spans="1:2">
      <c r="A467" t="s">
        <v>2705</v>
      </c>
      <c r="B467" t="str">
        <f>_xlfn.XLOOKUP(A467,'Hướng dẫn'!AA:AA,'Hướng dẫn'!X:X)</f>
        <v>Wallet</v>
      </c>
    </row>
    <row r="468" spans="1:2">
      <c r="A468" t="s">
        <v>2078</v>
      </c>
      <c r="B468" t="str">
        <f>_xlfn.XLOOKUP(A468,'Hướng dẫn'!AA:AA,'Hướng dẫn'!X:X)</f>
        <v>Crew neck classic</v>
      </c>
    </row>
    <row r="469" spans="1:2">
      <c r="A469" t="s">
        <v>2329</v>
      </c>
      <c r="B469" t="str">
        <f>_xlfn.XLOOKUP(A469,'Hướng dẫn'!AA:AA,'Hướng dẫn'!X:X)</f>
        <v>Tote bag</v>
      </c>
    </row>
    <row r="470" spans="1:2">
      <c r="A470" t="s">
        <v>2684</v>
      </c>
      <c r="B470" t="str">
        <f>_xlfn.XLOOKUP(A470,'Hướng dẫn'!AA:AA,'Hướng dẫn'!X:X)</f>
        <v>Card Holder</v>
      </c>
    </row>
    <row r="471" spans="1:2">
      <c r="A471" t="s">
        <v>2800</v>
      </c>
      <c r="B471" t="str">
        <f>_xlfn.XLOOKUP(A471,'Hướng dẫn'!AA:AA,'Hướng dẫn'!X:X)</f>
        <v>Earrings</v>
      </c>
    </row>
    <row r="472" spans="1:2">
      <c r="A472" t="s">
        <v>2800</v>
      </c>
      <c r="B472" t="str">
        <f>_xlfn.XLOOKUP(A472,'Hướng dẫn'!AA:AA,'Hướng dẫn'!X:X)</f>
        <v>Earrings</v>
      </c>
    </row>
    <row r="473" spans="1:2">
      <c r="A473" t="s">
        <v>2779</v>
      </c>
      <c r="B473" t="str">
        <f>_xlfn.XLOOKUP(A473,'Hướng dẫn'!AA:AA,'Hướng dẫn'!X:X)</f>
        <v>Necklace</v>
      </c>
    </row>
    <row r="474" spans="1:2">
      <c r="A474" t="s">
        <v>2001</v>
      </c>
      <c r="B474" t="str">
        <f>_xlfn.XLOOKUP(A474,'Hướng dẫn'!AA:AA,'Hướng dẫn'!X:X)</f>
        <v>Mandarin Collar</v>
      </c>
    </row>
    <row r="475" spans="1:2">
      <c r="A475" t="s">
        <v>2078</v>
      </c>
      <c r="B475" t="str">
        <f>_xlfn.XLOOKUP(A475,'Hướng dẫn'!AA:AA,'Hướng dẫn'!X:X)</f>
        <v>Crew neck classic</v>
      </c>
    </row>
    <row r="476" spans="1:2">
      <c r="A476" t="s">
        <v>2800</v>
      </c>
      <c r="B476" t="str">
        <f>_xlfn.XLOOKUP(A476,'Hướng dẫn'!AA:AA,'Hướng dẫn'!X:X)</f>
        <v>Earrings</v>
      </c>
    </row>
    <row r="477" spans="1:2">
      <c r="A477" t="s">
        <v>2138</v>
      </c>
      <c r="B477" t="str">
        <f>_xlfn.XLOOKUP(A477,'Hướng dẫn'!AA:AA,'Hướng dẫn'!X:X)</f>
        <v>Boat Neck</v>
      </c>
    </row>
    <row r="478" spans="1:2">
      <c r="A478" t="s">
        <v>2516</v>
      </c>
      <c r="B478" t="str">
        <f>_xlfn.XLOOKUP(A478,'Hướng dẫn'!AA:AA,'Hướng dẫn'!X:X)</f>
        <v>Scarf Satin Double Side Print</v>
      </c>
    </row>
    <row r="479" spans="1:2">
      <c r="A479" t="s">
        <v>2078</v>
      </c>
      <c r="B479" t="str">
        <f>_xlfn.XLOOKUP(A479,'Hướng dẫn'!AA:AA,'Hướng dẫn'!X:X)</f>
        <v>Crew neck classic</v>
      </c>
    </row>
    <row r="480" spans="1:2">
      <c r="A480" t="s">
        <v>2601</v>
      </c>
      <c r="B480" t="str">
        <f>_xlfn.XLOOKUP(A480,'Hướng dẫn'!AA:AA,'Hướng dẫn'!X:X)</f>
        <v>Handbag</v>
      </c>
    </row>
    <row r="481" spans="1:2">
      <c r="A481" t="s">
        <v>2078</v>
      </c>
      <c r="B481" t="str">
        <f>_xlfn.XLOOKUP(A481,'Hướng dẫn'!AA:AA,'Hướng dẫn'!X:X)</f>
        <v>Crew neck classic</v>
      </c>
    </row>
    <row r="482" spans="1:2">
      <c r="A482" t="s">
        <v>2790</v>
      </c>
      <c r="B482" t="str">
        <f>_xlfn.XLOOKUP(A482,'Hướng dẫn'!AA:AA,'Hướng dẫn'!X:X)</f>
        <v>Bracelet</v>
      </c>
    </row>
    <row r="483" spans="1:2">
      <c r="A483" t="s">
        <v>2218</v>
      </c>
      <c r="B483" t="str">
        <f>_xlfn.XLOOKUP(A483,'Hướng dẫn'!AA:AA,'Hướng dẫn'!X:X)</f>
        <v>Elastic Waist</v>
      </c>
    </row>
    <row r="484" spans="1:2">
      <c r="A484" t="s">
        <v>2078</v>
      </c>
      <c r="B484" t="str">
        <f>_xlfn.XLOOKUP(A484,'Hướng dẫn'!AA:AA,'Hướng dẫn'!X:X)</f>
        <v>Crew neck classic</v>
      </c>
    </row>
    <row r="485" spans="1:2">
      <c r="A485" t="s">
        <v>2842</v>
      </c>
      <c r="B485" t="str">
        <f>_xlfn.XLOOKUP(A485,'Hướng dẫn'!AA:AA,'Hướng dẫn'!X:X)</f>
        <v>Keychains</v>
      </c>
    </row>
    <row r="486" spans="1:2">
      <c r="A486" t="s">
        <v>2516</v>
      </c>
      <c r="B486" t="str">
        <f>_xlfn.XLOOKUP(A486,'Hướng dẫn'!AA:AA,'Hướng dẫn'!X:X)</f>
        <v>Scarf Satin Double Side Print</v>
      </c>
    </row>
    <row r="487" spans="1:2">
      <c r="A487" t="s">
        <v>3168</v>
      </c>
      <c r="B487" t="str">
        <f>_xlfn.XLOOKUP(A487,'Hướng dẫn'!AA:AA,'Hướng dẫn'!X:X)</f>
        <v>Coffee Bean</v>
      </c>
    </row>
    <row r="488" spans="1:2">
      <c r="A488" t="s">
        <v>3138</v>
      </c>
      <c r="B488" t="str">
        <f>_xlfn.XLOOKUP(A488,'Hướng dẫn'!AA:AA,'Hướng dẫn'!X:X)</f>
        <v>Salt</v>
      </c>
    </row>
    <row r="489" spans="1:2">
      <c r="A489" t="s">
        <v>2516</v>
      </c>
      <c r="B489" t="str">
        <f>_xlfn.XLOOKUP(A489,'Hướng dẫn'!AA:AA,'Hướng dẫn'!X:X)</f>
        <v>Scarf Satin Double Side Print</v>
      </c>
    </row>
    <row r="490" spans="1:2">
      <c r="A490" t="s">
        <v>2078</v>
      </c>
      <c r="B490" t="str">
        <f>_xlfn.XLOOKUP(A490,'Hướng dẫn'!AA:AA,'Hướng dẫn'!X:X)</f>
        <v>Crew neck classic</v>
      </c>
    </row>
    <row r="491" spans="1:2">
      <c r="A491" t="s">
        <v>2078</v>
      </c>
      <c r="B491" t="str">
        <f>_xlfn.XLOOKUP(A491,'Hướng dẫn'!AA:AA,'Hướng dẫn'!X:X)</f>
        <v>Crew neck classic</v>
      </c>
    </row>
    <row r="492" spans="1:2">
      <c r="A492" t="s">
        <v>2949</v>
      </c>
      <c r="B492" t="str">
        <f>_xlfn.XLOOKUP(A492,'Hướng dẫn'!AA:AA,'Hướng dẫn'!X:X)</f>
        <v>Notebook Spiral Bound</v>
      </c>
    </row>
    <row r="493" spans="1:2">
      <c r="A493" t="s">
        <v>2218</v>
      </c>
      <c r="B493" t="str">
        <f>_xlfn.XLOOKUP(A493,'Hướng dẫn'!AA:AA,'Hướng dẫn'!X:X)</f>
        <v>Elastic Waist</v>
      </c>
    </row>
    <row r="494" spans="1:2">
      <c r="A494" t="s">
        <v>3033</v>
      </c>
      <c r="B494" t="str">
        <f>_xlfn.XLOOKUP(A494,'Hướng dẫn'!AA:AA,'Hướng dẫn'!X:X)</f>
        <v>Stainless Steel</v>
      </c>
    </row>
    <row r="495" spans="1:2">
      <c r="A495" t="s">
        <v>2516</v>
      </c>
      <c r="B495" t="str">
        <f>_xlfn.XLOOKUP(A495,'Hướng dẫn'!AA:AA,'Hướng dẫn'!X:X)</f>
        <v>Scarf Satin Double Side Print</v>
      </c>
    </row>
    <row r="496" spans="1:2">
      <c r="A496" t="s">
        <v>2901</v>
      </c>
      <c r="B496" t="str">
        <f>_xlfn.XLOOKUP(A496,'Hướng dẫn'!AA:AA,'Hướng dẫn'!X:X)</f>
        <v>ART</v>
      </c>
    </row>
    <row r="497" spans="1:2">
      <c r="A497" t="s">
        <v>2394</v>
      </c>
      <c r="B497" t="str">
        <f>_xlfn.XLOOKUP(A497,'Hướng dẫn'!AA:AA,'Hướng dẫn'!X:X)</f>
        <v>Sneaker</v>
      </c>
    </row>
    <row r="498" spans="1:2">
      <c r="A498" t="s">
        <v>3016</v>
      </c>
      <c r="B498" t="str">
        <f>_xlfn.XLOOKUP(A498,'Hướng dẫn'!AA:AA,'Hướng dẫn'!X:X)</f>
        <v>Cushion Cover</v>
      </c>
    </row>
    <row r="499" spans="1:2">
      <c r="A499" t="s">
        <v>2001</v>
      </c>
      <c r="B499" t="str">
        <f>_xlfn.XLOOKUP(A499,'Hướng dẫn'!AA:AA,'Hướng dẫn'!X:X)</f>
        <v>Mandarin Collar</v>
      </c>
    </row>
    <row r="500" spans="1:2">
      <c r="A500" t="s">
        <v>2025</v>
      </c>
      <c r="B500" t="str">
        <f>_xlfn.XLOOKUP(A500,'Hướng dẫn'!AA:AA,'Hướng dẫn'!X:X)</f>
        <v>Classic Collar</v>
      </c>
    </row>
    <row r="501" spans="1:2">
      <c r="A501" t="s">
        <v>2329</v>
      </c>
      <c r="B501" t="str">
        <f>_xlfn.XLOOKUP(A501,'Hướng dẫn'!AA:AA,'Hướng dẫn'!X:X)</f>
        <v>Tote bag</v>
      </c>
    </row>
    <row r="502" spans="1:2">
      <c r="A502" t="s">
        <v>2740</v>
      </c>
      <c r="B502" t="str">
        <f>_xlfn.XLOOKUP(A502,'Hướng dẫn'!AA:AA,'Hướng dẫn'!X:X)</f>
        <v>Passport Holder</v>
      </c>
    </row>
    <row r="503" spans="1:2">
      <c r="A503" t="s">
        <v>2684</v>
      </c>
      <c r="B503" t="str">
        <f>_xlfn.XLOOKUP(A503,'Hướng dẫn'!AA:AA,'Hướng dẫn'!X:X)</f>
        <v>Card Holder</v>
      </c>
    </row>
    <row r="504" spans="1:2">
      <c r="A504" t="s">
        <v>2717</v>
      </c>
      <c r="B504" t="str">
        <f>_xlfn.XLOOKUP(A504,'Hướng dẫn'!AA:AA,'Hướng dẫn'!X:X)</f>
        <v>Pen Case</v>
      </c>
    </row>
    <row r="505" spans="1:2">
      <c r="A505" t="s">
        <v>2905</v>
      </c>
      <c r="B505" t="str">
        <f>_xlfn.XLOOKUP(A505,'Hướng dẫn'!AA:AA,'Hướng dẫn'!X:X)</f>
        <v>Hand Fan Satin</v>
      </c>
    </row>
    <row r="506" spans="1:2">
      <c r="A506" t="s">
        <v>2048</v>
      </c>
      <c r="B506" t="str">
        <f>_xlfn.XLOOKUP(A506,'Hướng dẫn'!AA:AA,'Hướng dẫn'!X:X)</f>
        <v>Button-down Collar</v>
      </c>
    </row>
    <row r="507" spans="1:2">
      <c r="A507" t="s">
        <v>3033</v>
      </c>
      <c r="B507" t="str">
        <f>_xlfn.XLOOKUP(A507,'Hướng dẫn'!AA:AA,'Hướng dẫn'!X:X)</f>
        <v>Stainless Steel</v>
      </c>
    </row>
    <row r="508" spans="1:2">
      <c r="A508" t="s">
        <v>2516</v>
      </c>
      <c r="B508" t="str">
        <f>_xlfn.XLOOKUP(A508,'Hướng dẫn'!AA:AA,'Hướng dẫn'!X:X)</f>
        <v>Scarf Satin Double Side Print</v>
      </c>
    </row>
    <row r="509" spans="1:2">
      <c r="A509" t="s">
        <v>3110</v>
      </c>
      <c r="B509" t="str">
        <f>_xlfn.XLOOKUP(A509,'Hướng dẫn'!AA:AA,'Hướng dẫn'!X:X)</f>
        <v>Soap</v>
      </c>
    </row>
    <row r="510" spans="1:2">
      <c r="A510" t="s">
        <v>2329</v>
      </c>
      <c r="B510" t="str">
        <f>_xlfn.XLOOKUP(A510,'Hướng dẫn'!AA:AA,'Hướng dẫn'!X:X)</f>
        <v>Tote bag</v>
      </c>
    </row>
    <row r="511" spans="1:2">
      <c r="A511" t="s">
        <v>2379</v>
      </c>
      <c r="B511" t="str">
        <f>_xlfn.XLOOKUP(A511,'Hướng dẫn'!AA:AA,'Hướng dẫn'!X:X)</f>
        <v>Slippers</v>
      </c>
    </row>
    <row r="512" spans="1:2">
      <c r="A512" t="s">
        <v>2078</v>
      </c>
      <c r="B512" t="str">
        <f>_xlfn.XLOOKUP(A512,'Hướng dẫn'!AA:AA,'Hướng dẫn'!X:X)</f>
        <v>Crew neck classic</v>
      </c>
    </row>
    <row r="513" spans="1:2">
      <c r="A513" t="s">
        <v>3016</v>
      </c>
      <c r="B513" t="str">
        <f>_xlfn.XLOOKUP(A513,'Hướng dẫn'!AA:AA,'Hướng dẫn'!X:X)</f>
        <v>Cushion Cover</v>
      </c>
    </row>
    <row r="514" spans="1:2">
      <c r="A514" t="s">
        <v>2996</v>
      </c>
      <c r="B514" t="str">
        <f>_xlfn.XLOOKUP(A514,'Hướng dẫn'!AA:AA,'Hướng dẫn'!X:X)</f>
        <v>Small Accessories</v>
      </c>
    </row>
    <row r="515" spans="1:2">
      <c r="A515" t="s">
        <v>2078</v>
      </c>
      <c r="B515" t="str">
        <f>_xlfn.XLOOKUP(A515,'Hướng dẫn'!AA:AA,'Hướng dẫn'!X:X)</f>
        <v>Crew neck classic</v>
      </c>
    </row>
    <row r="516" spans="1:2">
      <c r="A516" t="s">
        <v>2869</v>
      </c>
      <c r="B516" t="str">
        <f>_xlfn.XLOOKUP(A516,'Hướng dẫn'!AA:AA,'Hướng dẫn'!X:X)</f>
        <v>Poscard</v>
      </c>
    </row>
    <row r="517" spans="1:2">
      <c r="A517" t="s">
        <v>2442</v>
      </c>
      <c r="B517" t="str">
        <f>_xlfn.XLOOKUP(A517,'Hướng dẫn'!AA:AA,'Hướng dẫn'!X:X)</f>
        <v>Leather Shoes</v>
      </c>
    </row>
    <row r="518" spans="1:2">
      <c r="A518" t="s">
        <v>2078</v>
      </c>
      <c r="B518" t="str">
        <f>_xlfn.XLOOKUP(A518,'Hướng dẫn'!AA:AA,'Hướng dẫn'!X:X)</f>
        <v>Crew neck classic</v>
      </c>
    </row>
    <row r="519" spans="1:2">
      <c r="A519" t="s">
        <v>2379</v>
      </c>
      <c r="B519" t="str">
        <f>_xlfn.XLOOKUP(A519,'Hướng dẫn'!AA:AA,'Hướng dẫn'!X:X)</f>
        <v>Slippers</v>
      </c>
    </row>
    <row r="520" spans="1:2">
      <c r="A520" t="s">
        <v>2500</v>
      </c>
      <c r="B520" t="str">
        <f>_xlfn.XLOOKUP(A520,'Hướng dẫn'!AA:AA,'Hướng dẫn'!X:X)</f>
        <v>Scarf Satin Single-Sided</v>
      </c>
    </row>
    <row r="521" spans="1:2">
      <c r="A521" t="s">
        <v>2078</v>
      </c>
      <c r="B521" t="str">
        <f>_xlfn.XLOOKUP(A521,'Hướng dẫn'!AA:AA,'Hướng dẫn'!X:X)</f>
        <v>Crew neck classic</v>
      </c>
    </row>
    <row r="522" spans="1:2">
      <c r="A522" t="s">
        <v>2078</v>
      </c>
      <c r="B522" t="str">
        <f>_xlfn.XLOOKUP(A522,'Hướng dẫn'!AA:AA,'Hướng dẫn'!X:X)</f>
        <v>Crew neck classic</v>
      </c>
    </row>
    <row r="523" spans="1:2">
      <c r="A523" t="s">
        <v>2442</v>
      </c>
      <c r="B523" t="str">
        <f>_xlfn.XLOOKUP(A523,'Hướng dẫn'!AA:AA,'Hướng dẫn'!X:X)</f>
        <v>Leather Shoes</v>
      </c>
    </row>
    <row r="524" spans="1:2">
      <c r="A524" t="s">
        <v>2643</v>
      </c>
      <c r="B524" t="str">
        <f>_xlfn.XLOOKUP(A524,'Hướng dẫn'!AA:AA,'Hướng dẫn'!X:X)</f>
        <v>Shoulder bag</v>
      </c>
    </row>
    <row r="525" spans="1:2">
      <c r="A525" t="s">
        <v>2078</v>
      </c>
      <c r="B525" t="str">
        <f>_xlfn.XLOOKUP(A525,'Hướng dẫn'!AA:AA,'Hướng dẫn'!X:X)</f>
        <v>Crew neck classic</v>
      </c>
    </row>
    <row r="526" spans="1:2">
      <c r="A526" t="s">
        <v>2329</v>
      </c>
      <c r="B526" t="str">
        <f>_xlfn.XLOOKUP(A526,'Hướng dẫn'!AA:AA,'Hướng dẫn'!X:X)</f>
        <v>Tote bag</v>
      </c>
    </row>
    <row r="527" spans="1:2">
      <c r="A527" t="s">
        <v>3025</v>
      </c>
      <c r="B527" t="str">
        <f>_xlfn.XLOOKUP(A527,'Hướng dẫn'!AA:AA,'Hướng dẫn'!X:X)</f>
        <v>Damascus Steel</v>
      </c>
    </row>
    <row r="528" spans="1:2">
      <c r="A528" t="s">
        <v>2901</v>
      </c>
      <c r="B528" t="str">
        <f>_xlfn.XLOOKUP(A528,'Hướng dẫn'!AA:AA,'Hướng dẫn'!X:X)</f>
        <v>ART</v>
      </c>
    </row>
    <row r="529" spans="1:2">
      <c r="A529" t="s">
        <v>2779</v>
      </c>
      <c r="B529" t="str">
        <f>_xlfn.XLOOKUP(A529,'Hướng dẫn'!AA:AA,'Hướng dẫn'!X:X)</f>
        <v>Necklace</v>
      </c>
    </row>
    <row r="530" spans="1:2">
      <c r="A530" t="s">
        <v>2516</v>
      </c>
      <c r="B530" t="str">
        <f>_xlfn.XLOOKUP(A530,'Hướng dẫn'!AA:AA,'Hướng dẫn'!X:X)</f>
        <v>Scarf Satin Double Side Print</v>
      </c>
    </row>
    <row r="531" spans="1:2">
      <c r="A531" t="s">
        <v>2943</v>
      </c>
      <c r="B531" t="str">
        <f>_xlfn.XLOOKUP(A531,'Hướng dẫn'!AA:AA,'Hướng dẫn'!X:X)</f>
        <v>Notebook Saddle Stitched</v>
      </c>
    </row>
    <row r="532" spans="1:2">
      <c r="A532" t="s">
        <v>3159</v>
      </c>
      <c r="B532" t="str">
        <f>_xlfn.XLOOKUP(A532,'Hướng dẫn'!AA:AA,'Hướng dẫn'!X:X)</f>
        <v>Coffee Powder</v>
      </c>
    </row>
    <row r="533" spans="1:2">
      <c r="A533" t="s">
        <v>2078</v>
      </c>
      <c r="B533" t="str">
        <f>_xlfn.XLOOKUP(A533,'Hướng dẫn'!AA:AA,'Hướng dẫn'!X:X)</f>
        <v>Crew neck classic</v>
      </c>
    </row>
    <row r="534" spans="1:2">
      <c r="A534" t="s">
        <v>2442</v>
      </c>
      <c r="B534" t="str">
        <f>_xlfn.XLOOKUP(A534,'Hướng dẫn'!AA:AA,'Hướng dẫn'!X:X)</f>
        <v>Leather Shoes</v>
      </c>
    </row>
    <row r="535" spans="1:2">
      <c r="A535" t="s">
        <v>2442</v>
      </c>
      <c r="B535" t="str">
        <f>_xlfn.XLOOKUP(A535,'Hướng dẫn'!AA:AA,'Hướng dẫn'!X:X)</f>
        <v>Leather Shoes</v>
      </c>
    </row>
    <row r="536" spans="1:2">
      <c r="A536" t="s">
        <v>2078</v>
      </c>
      <c r="B536" t="str">
        <f>_xlfn.XLOOKUP(A536,'Hướng dẫn'!AA:AA,'Hướng dẫn'!X:X)</f>
        <v>Crew neck classic</v>
      </c>
    </row>
    <row r="537" spans="1:2">
      <c r="A537" t="s">
        <v>2078</v>
      </c>
      <c r="B537" t="str">
        <f>_xlfn.XLOOKUP(A537,'Hướng dẫn'!AA:AA,'Hướng dẫn'!X:X)</f>
        <v>Crew neck classic</v>
      </c>
    </row>
    <row r="538" spans="1:2">
      <c r="A538" t="s">
        <v>2663</v>
      </c>
      <c r="B538" t="str">
        <f>_xlfn.XLOOKUP(A538,'Hướng dẫn'!AA:AA,'Hướng dẫn'!X:X)</f>
        <v>Cigar cover</v>
      </c>
    </row>
    <row r="539" spans="1:2">
      <c r="A539" t="s">
        <v>2694</v>
      </c>
      <c r="B539" t="str">
        <f>_xlfn.XLOOKUP(A539,'Hướng dẫn'!AA:AA,'Hướng dẫn'!X:X)</f>
        <v>Clutch</v>
      </c>
    </row>
    <row r="540" spans="1:2">
      <c r="A540" t="s">
        <v>2078</v>
      </c>
      <c r="B540" t="str">
        <f>_xlfn.XLOOKUP(A540,'Hướng dẫn'!AA:AA,'Hướng dẫn'!X:X)</f>
        <v>Crew neck classic</v>
      </c>
    </row>
    <row r="541" spans="1:2">
      <c r="A541" t="s">
        <v>2303</v>
      </c>
      <c r="B541" t="str">
        <f>_xlfn.XLOOKUP(A541,'Hướng dẫn'!AA:AA,'Hướng dẫn'!X:X)</f>
        <v>Hat</v>
      </c>
    </row>
    <row r="542" spans="1:2">
      <c r="A542" t="s">
        <v>2601</v>
      </c>
      <c r="B542" t="str">
        <f>_xlfn.XLOOKUP(A542,'Hướng dẫn'!AA:AA,'Hướng dẫn'!X:X)</f>
        <v>Handbag</v>
      </c>
    </row>
    <row r="543" spans="1:2">
      <c r="A543" t="s">
        <v>2078</v>
      </c>
      <c r="B543" t="str">
        <f>_xlfn.XLOOKUP(A543,'Hướng dẫn'!AA:AA,'Hướng dẫn'!X:X)</f>
        <v>Crew neck classic</v>
      </c>
    </row>
    <row r="544" spans="1:2">
      <c r="A544" t="s">
        <v>2705</v>
      </c>
      <c r="B544" t="str">
        <f>_xlfn.XLOOKUP(A544,'Hướng dẫn'!AA:AA,'Hướng dẫn'!X:X)</f>
        <v>Wallet</v>
      </c>
    </row>
    <row r="545" spans="1:2">
      <c r="A545" t="s">
        <v>2078</v>
      </c>
      <c r="B545" t="str">
        <f>_xlfn.XLOOKUP(A545,'Hướng dẫn'!AA:AA,'Hướng dẫn'!X:X)</f>
        <v>Crew neck classic</v>
      </c>
    </row>
    <row r="546" spans="1:2">
      <c r="A546" t="s">
        <v>2290</v>
      </c>
      <c r="B546" t="str">
        <f>_xlfn.XLOOKUP(A546,'Hướng dẫn'!AA:AA,'Hướng dẫn'!X:X)</f>
        <v>Caps</v>
      </c>
    </row>
    <row r="547" spans="1:2">
      <c r="A547" t="s">
        <v>2078</v>
      </c>
      <c r="B547" t="str">
        <f>_xlfn.XLOOKUP(A547,'Hướng dẫn'!AA:AA,'Hướng dẫn'!X:X)</f>
        <v>Crew neck classic</v>
      </c>
    </row>
    <row r="548" spans="1:2">
      <c r="A548" t="s">
        <v>2442</v>
      </c>
      <c r="B548" t="str">
        <f>_xlfn.XLOOKUP(A548,'Hướng dẫn'!AA:AA,'Hướng dẫn'!X:X)</f>
        <v>Leather Shoes</v>
      </c>
    </row>
    <row r="549" spans="1:2">
      <c r="A549" t="s">
        <v>2078</v>
      </c>
      <c r="B549" t="str">
        <f>_xlfn.XLOOKUP(A549,'Hướng dẫn'!AA:AA,'Hướng dẫn'!X:X)</f>
        <v>Crew neck classic</v>
      </c>
    </row>
    <row r="550" spans="1:2">
      <c r="A550" t="s">
        <v>2574</v>
      </c>
      <c r="B550" t="str">
        <f>_xlfn.XLOOKUP(A550,'Hướng dẫn'!AA:AA,'Hướng dẫn'!X:X)</f>
        <v>Drawstring bag</v>
      </c>
    </row>
    <row r="551" spans="1:2">
      <c r="A551" t="s">
        <v>2617</v>
      </c>
      <c r="B551" t="str">
        <f>_xlfn.XLOOKUP(A551,'Hướng dẫn'!AA:AA,'Hướng dẫn'!X:X)</f>
        <v>Crossbody bag</v>
      </c>
    </row>
    <row r="552" spans="1:2">
      <c r="A552" t="s">
        <v>2977</v>
      </c>
      <c r="B552" t="str">
        <f>_xlfn.XLOOKUP(A552,'Hướng dẫn'!AA:AA,'Hướng dẫn'!X:X)</f>
        <v>Decorative Items</v>
      </c>
    </row>
    <row r="553" spans="1:2">
      <c r="A553" t="s">
        <v>2092</v>
      </c>
      <c r="B553" t="str">
        <f>_xlfn.XLOOKUP(A553,'Hướng dẫn'!AA:AA,'Hướng dẫn'!X:X)</f>
        <v>High crew neck classic</v>
      </c>
    </row>
    <row r="554" spans="1:2">
      <c r="A554" t="s">
        <v>2970</v>
      </c>
      <c r="B554" t="str">
        <f>_xlfn.XLOOKUP(A554,'Hướng dẫn'!AA:AA,'Hướng dẫn'!X:X)</f>
        <v>Games</v>
      </c>
    </row>
    <row r="555" spans="1:2">
      <c r="A555" t="s">
        <v>2092</v>
      </c>
      <c r="B555" t="str">
        <f>_xlfn.XLOOKUP(A555,'Hướng dẫn'!AA:AA,'Hướng dẫn'!X:X)</f>
        <v>High crew neck classic</v>
      </c>
    </row>
    <row r="556" spans="1:2">
      <c r="A556" t="s">
        <v>2347</v>
      </c>
      <c r="B556" t="str">
        <f>_xlfn.XLOOKUP(A556,'Hướng dẫn'!AA:AA,'Hướng dẫn'!X:X)</f>
        <v>Vietnamese conical hat</v>
      </c>
    </row>
    <row r="557" spans="1:2">
      <c r="A557" t="s">
        <v>2663</v>
      </c>
      <c r="B557" t="str">
        <f>_xlfn.XLOOKUP(A557,'Hướng dẫn'!AA:AA,'Hướng dẫn'!X:X)</f>
        <v>Cigar cover</v>
      </c>
    </row>
    <row r="558" spans="1:2">
      <c r="A558" t="s">
        <v>2442</v>
      </c>
      <c r="B558" t="str">
        <f>_xlfn.XLOOKUP(A558,'Hướng dẫn'!AA:AA,'Hướng dẫn'!X:X)</f>
        <v>Leather Shoes</v>
      </c>
    </row>
    <row r="559" spans="1:2">
      <c r="A559" t="s">
        <v>2901</v>
      </c>
      <c r="B559" t="str">
        <f>_xlfn.XLOOKUP(A559,'Hướng dẫn'!AA:AA,'Hướng dẫn'!X:X)</f>
        <v>ART</v>
      </c>
    </row>
    <row r="560" spans="1:2">
      <c r="A560" t="s">
        <v>2092</v>
      </c>
      <c r="B560" t="str">
        <f>_xlfn.XLOOKUP(A560,'Hướng dẫn'!AA:AA,'Hướng dẫn'!X:X)</f>
        <v>High crew neck classic</v>
      </c>
    </row>
    <row r="561" spans="1:2">
      <c r="A561" t="s">
        <v>2078</v>
      </c>
      <c r="B561" t="str">
        <f>_xlfn.XLOOKUP(A561,'Hướng dẫn'!AA:AA,'Hướng dẫn'!X:X)</f>
        <v>Crew neck classic</v>
      </c>
    </row>
    <row r="562" spans="1:2">
      <c r="A562" t="s">
        <v>2078</v>
      </c>
      <c r="B562" t="str">
        <f>_xlfn.XLOOKUP(A562,'Hướng dẫn'!AA:AA,'Hướng dẫn'!X:X)</f>
        <v>Crew neck classic</v>
      </c>
    </row>
    <row r="563" spans="1:2">
      <c r="A563" t="s">
        <v>2917</v>
      </c>
      <c r="B563" t="str">
        <f>_xlfn.XLOOKUP(A563,'Hướng dẫn'!AA:AA,'Hướng dẫn'!X:X)</f>
        <v>Luggage tag</v>
      </c>
    </row>
    <row r="564" spans="1:2">
      <c r="A564" t="s">
        <v>2078</v>
      </c>
      <c r="B564" t="str">
        <f>_xlfn.XLOOKUP(A564,'Hướng dẫn'!AA:AA,'Hướng dẫn'!X:X)</f>
        <v>Crew neck classic</v>
      </c>
    </row>
    <row r="565" spans="1:2">
      <c r="A565" t="s">
        <v>2078</v>
      </c>
      <c r="B565" t="str">
        <f>_xlfn.XLOOKUP(A565,'Hướng dẫn'!AA:AA,'Hướng dẫn'!X:X)</f>
        <v>Crew neck classic</v>
      </c>
    </row>
    <row r="566" spans="1:2">
      <c r="A566" t="s">
        <v>2442</v>
      </c>
      <c r="B566" t="str">
        <f>_xlfn.XLOOKUP(A566,'Hướng dẫn'!AA:AA,'Hướng dẫn'!X:X)</f>
        <v>Leather Shoes</v>
      </c>
    </row>
    <row r="567" spans="1:2">
      <c r="A567" t="s">
        <v>2977</v>
      </c>
      <c r="B567" t="str">
        <f>_xlfn.XLOOKUP(A567,'Hướng dẫn'!AA:AA,'Hướng dẫn'!X:X)</f>
        <v>Decorative Items</v>
      </c>
    </row>
    <row r="568" spans="1:2">
      <c r="A568" t="s">
        <v>2078</v>
      </c>
      <c r="B568" t="str">
        <f>_xlfn.XLOOKUP(A568,'Hướng dẫn'!AA:AA,'Hướng dẫn'!X:X)</f>
        <v>Crew neck classic</v>
      </c>
    </row>
    <row r="569" spans="1:2">
      <c r="A569" t="s">
        <v>2905</v>
      </c>
      <c r="B569" t="str">
        <f>_xlfn.XLOOKUP(A569,'Hướng dẫn'!AA:AA,'Hướng dẫn'!X:X)</f>
        <v>Hand Fan Satin</v>
      </c>
    </row>
    <row r="570" spans="1:2">
      <c r="A570" t="s">
        <v>2970</v>
      </c>
      <c r="B570" t="str">
        <f>_xlfn.XLOOKUP(A570,'Hướng dẫn'!AA:AA,'Hướng dẫn'!X:X)</f>
        <v>Games</v>
      </c>
    </row>
    <row r="571" spans="1:2">
      <c r="A571" t="s">
        <v>2078</v>
      </c>
      <c r="B571" t="str">
        <f>_xlfn.XLOOKUP(A571,'Hướng dẫn'!AA:AA,'Hướng dẫn'!X:X)</f>
        <v>Crew neck classic</v>
      </c>
    </row>
    <row r="572" spans="1:2">
      <c r="A572" t="s">
        <v>2516</v>
      </c>
      <c r="B572" t="str">
        <f>_xlfn.XLOOKUP(A572,'Hướng dẫn'!AA:AA,'Hướng dẫn'!X:X)</f>
        <v>Scarf Satin Double Side Print</v>
      </c>
    </row>
    <row r="573" spans="1:2">
      <c r="A573" t="s">
        <v>2078</v>
      </c>
      <c r="B573" t="str">
        <f>_xlfn.XLOOKUP(A573,'Hướng dẫn'!AA:AA,'Hướng dẫn'!X:X)</f>
        <v>Crew neck classic</v>
      </c>
    </row>
    <row r="574" spans="1:2">
      <c r="A574" t="s">
        <v>2078</v>
      </c>
      <c r="B574" t="str">
        <f>_xlfn.XLOOKUP(A574,'Hướng dẫn'!AA:AA,'Hướng dẫn'!X:X)</f>
        <v>Crew neck classic</v>
      </c>
    </row>
    <row r="575" spans="1:2">
      <c r="A575" t="s">
        <v>2442</v>
      </c>
      <c r="B575" t="str">
        <f>_xlfn.XLOOKUP(A575,'Hướng dẫn'!AA:AA,'Hướng dẫn'!X:X)</f>
        <v>Leather Shoes</v>
      </c>
    </row>
    <row r="576" spans="1:2">
      <c r="A576" t="s">
        <v>2779</v>
      </c>
      <c r="B576" t="str">
        <f>_xlfn.XLOOKUP(A576,'Hướng dẫn'!AA:AA,'Hướng dẫn'!X:X)</f>
        <v>Necklace</v>
      </c>
    </row>
    <row r="577" spans="1:2">
      <c r="A577" t="s">
        <v>2442</v>
      </c>
      <c r="B577" t="str">
        <f>_xlfn.XLOOKUP(A577,'Hướng dẫn'!AA:AA,'Hướng dẫn'!X:X)</f>
        <v>Leather Shoes</v>
      </c>
    </row>
    <row r="578" spans="1:2">
      <c r="A578" t="s">
        <v>2705</v>
      </c>
      <c r="B578" t="str">
        <f>_xlfn.XLOOKUP(A578,'Hướng dẫn'!AA:AA,'Hướng dẫn'!X:X)</f>
        <v>Wallet</v>
      </c>
    </row>
    <row r="579" spans="1:2">
      <c r="A579" t="s">
        <v>2001</v>
      </c>
      <c r="B579" t="str">
        <f>_xlfn.XLOOKUP(A579,'Hướng dẫn'!AA:AA,'Hướng dẫn'!X:X)</f>
        <v>Mandarin Collar</v>
      </c>
    </row>
    <row r="580" spans="1:2">
      <c r="A580" t="s">
        <v>2078</v>
      </c>
      <c r="B580" t="str">
        <f>_xlfn.XLOOKUP(A580,'Hướng dẫn'!AA:AA,'Hướng dẫn'!X:X)</f>
        <v>Crew neck classic</v>
      </c>
    </row>
    <row r="581" spans="1:2">
      <c r="A581" t="s">
        <v>2779</v>
      </c>
      <c r="B581" t="str">
        <f>_xlfn.XLOOKUP(A581,'Hướng dẫn'!AA:AA,'Hướng dẫn'!X:X)</f>
        <v>Necklace</v>
      </c>
    </row>
    <row r="582" spans="1:2">
      <c r="A582" t="s">
        <v>2078</v>
      </c>
      <c r="B582" t="str">
        <f>_xlfn.XLOOKUP(A582,'Hướng dẫn'!AA:AA,'Hướng dẫn'!X:X)</f>
        <v>Crew neck classic</v>
      </c>
    </row>
    <row r="583" spans="1:2">
      <c r="A583" t="s">
        <v>2078</v>
      </c>
      <c r="B583" t="str">
        <f>_xlfn.XLOOKUP(A583,'Hướng dẫn'!AA:AA,'Hướng dẫn'!X:X)</f>
        <v>Crew neck classic</v>
      </c>
    </row>
    <row r="584" spans="1:2">
      <c r="A584" t="s">
        <v>2779</v>
      </c>
      <c r="B584" t="str">
        <f>_xlfn.XLOOKUP(A584,'Hướng dẫn'!AA:AA,'Hướng dẫn'!X:X)</f>
        <v>Necklace</v>
      </c>
    </row>
    <row r="585" spans="1:2">
      <c r="A585" t="s">
        <v>2138</v>
      </c>
      <c r="B585" t="str">
        <f>_xlfn.XLOOKUP(A585,'Hướng dẫn'!AA:AA,'Hướng dẫn'!X:X)</f>
        <v>Boat Neck</v>
      </c>
    </row>
    <row r="586" spans="1:2">
      <c r="A586" t="s">
        <v>2078</v>
      </c>
      <c r="B586" t="str">
        <f>_xlfn.XLOOKUP(A586,'Hướng dẫn'!AA:AA,'Hướng dẫn'!X:X)</f>
        <v>Crew neck classic</v>
      </c>
    </row>
    <row r="587" spans="1:2">
      <c r="A587" t="s">
        <v>2379</v>
      </c>
      <c r="B587" t="str">
        <f>_xlfn.XLOOKUP(A587,'Hướng dẫn'!AA:AA,'Hướng dẫn'!X:X)</f>
        <v>Slippers</v>
      </c>
    </row>
    <row r="588" spans="1:2">
      <c r="A588" t="s">
        <v>2063</v>
      </c>
      <c r="B588" t="str">
        <f>_xlfn.XLOOKUP(A588,'Hướng dẫn'!AA:AA,'Hướng dẫn'!X:X)</f>
        <v>Ribban</v>
      </c>
    </row>
    <row r="589" spans="1:2">
      <c r="A589" t="s">
        <v>2078</v>
      </c>
      <c r="B589" t="str">
        <f>_xlfn.XLOOKUP(A589,'Hướng dẫn'!AA:AA,'Hướng dẫn'!X:X)</f>
        <v>Crew neck classic</v>
      </c>
    </row>
    <row r="590" spans="1:2">
      <c r="A590" t="s">
        <v>2078</v>
      </c>
      <c r="B590" t="str">
        <f>_xlfn.XLOOKUP(A590,'Hướng dẫn'!AA:AA,'Hướng dẫn'!X:X)</f>
        <v>Crew neck classic</v>
      </c>
    </row>
    <row r="591" spans="1:2">
      <c r="A591" t="s">
        <v>2001</v>
      </c>
      <c r="B591" t="str">
        <f>_xlfn.XLOOKUP(A591,'Hướng dẫn'!AA:AA,'Hướng dẫn'!X:X)</f>
        <v>Mandarin Collar</v>
      </c>
    </row>
    <row r="592" spans="1:2">
      <c r="A592" t="s">
        <v>2078</v>
      </c>
      <c r="B592" t="str">
        <f>_xlfn.XLOOKUP(A592,'Hướng dẫn'!AA:AA,'Hướng dẫn'!X:X)</f>
        <v>Crew neck classic</v>
      </c>
    </row>
    <row r="593" spans="1:2">
      <c r="A593" t="s">
        <v>2078</v>
      </c>
      <c r="B593" t="str">
        <f>_xlfn.XLOOKUP(A593,'Hướng dẫn'!AA:AA,'Hướng dẫn'!X:X)</f>
        <v>Crew neck classic</v>
      </c>
    </row>
    <row r="594" spans="1:2">
      <c r="A594" t="s">
        <v>2233</v>
      </c>
      <c r="B594" t="str">
        <f>_xlfn.XLOOKUP(A594,'Hướng dẫn'!AA:AA,'Hướng dẫn'!X:X)</f>
        <v>Flat-Front</v>
      </c>
    </row>
    <row r="595" spans="1:2">
      <c r="A595" t="s">
        <v>2601</v>
      </c>
      <c r="B595" t="str">
        <f>_xlfn.XLOOKUP(A595,'Hướng dẫn'!AA:AA,'Hướng dẫn'!X:X)</f>
        <v>Handbag</v>
      </c>
    </row>
    <row r="596" spans="1:2">
      <c r="A596" t="s">
        <v>2487</v>
      </c>
      <c r="B596" t="str">
        <f>_xlfn.XLOOKUP(A596,'Hướng dẫn'!AA:AA,'Hướng dẫn'!X:X)</f>
        <v>Scarf Silk</v>
      </c>
    </row>
    <row r="597" spans="1:2">
      <c r="A597" t="s">
        <v>2442</v>
      </c>
      <c r="B597" t="str">
        <f>_xlfn.XLOOKUP(A597,'Hướng dẫn'!AA:AA,'Hướng dẫn'!X:X)</f>
        <v>Leather Shoes</v>
      </c>
    </row>
    <row r="598" spans="1:2">
      <c r="A598" t="s">
        <v>2905</v>
      </c>
      <c r="B598" t="str">
        <f>_xlfn.XLOOKUP(A598,'Hướng dẫn'!AA:AA,'Hướng dẫn'!X:X)</f>
        <v>Hand Fan Satin</v>
      </c>
    </row>
    <row r="599" spans="1:2">
      <c r="A599" t="s">
        <v>2943</v>
      </c>
      <c r="B599" t="str">
        <f>_xlfn.XLOOKUP(A599,'Hướng dẫn'!AA:AA,'Hướng dẫn'!X:X)</f>
        <v>Notebook Saddle Stitched</v>
      </c>
    </row>
    <row r="600" spans="1:2">
      <c r="A600" t="s">
        <v>2138</v>
      </c>
      <c r="B600" t="str">
        <f>_xlfn.XLOOKUP(A600,'Hướng dẫn'!AA:AA,'Hướng dẫn'!X:X)</f>
        <v>Boat Neck</v>
      </c>
    </row>
    <row r="601" spans="1:2">
      <c r="A601" t="s">
        <v>2442</v>
      </c>
      <c r="B601" t="str">
        <f>_xlfn.XLOOKUP(A601,'Hướng dẫn'!AA:AA,'Hướng dẫn'!X:X)</f>
        <v>Leather Shoes</v>
      </c>
    </row>
    <row r="602" spans="1:2">
      <c r="A602" t="s">
        <v>2263</v>
      </c>
      <c r="B602" t="str">
        <f>_xlfn.XLOOKUP(A602,'Hướng dẫn'!AA:AA,'Hướng dẫn'!X:X)</f>
        <v>Button Waist</v>
      </c>
    </row>
    <row r="603" spans="1:2">
      <c r="A603" t="s">
        <v>2078</v>
      </c>
      <c r="B603" t="str">
        <f>_xlfn.XLOOKUP(A603,'Hướng dẫn'!AA:AA,'Hướng dẫn'!X:X)</f>
        <v>Crew neck classic</v>
      </c>
    </row>
    <row r="604" spans="1:2">
      <c r="A604" t="s">
        <v>2977</v>
      </c>
      <c r="B604" t="str">
        <f>_xlfn.XLOOKUP(A604,'Hướng dẫn'!AA:AA,'Hướng dẫn'!X:X)</f>
        <v>Decorative Items</v>
      </c>
    </row>
    <row r="605" spans="1:2">
      <c r="A605" t="s">
        <v>3118</v>
      </c>
      <c r="B605" t="str">
        <f>_xlfn.XLOOKUP(A605,'Hướng dẫn'!AA:AA,'Hướng dẫn'!X:X)</f>
        <v>Face Care</v>
      </c>
    </row>
    <row r="606" spans="1:2">
      <c r="A606" t="s">
        <v>2078</v>
      </c>
      <c r="B606" t="str">
        <f>_xlfn.XLOOKUP(A606,'Hướng dẫn'!AA:AA,'Hướng dẫn'!X:X)</f>
        <v>Crew neck classic</v>
      </c>
    </row>
    <row r="607" spans="1:2">
      <c r="A607" t="s">
        <v>2078</v>
      </c>
      <c r="B607" t="str">
        <f>_xlfn.XLOOKUP(A607,'Hướng dẫn'!AA:AA,'Hướng dẫn'!X:X)</f>
        <v>Crew neck classic</v>
      </c>
    </row>
    <row r="608" spans="1:2">
      <c r="A608" t="s">
        <v>2138</v>
      </c>
      <c r="B608" t="str">
        <f>_xlfn.XLOOKUP(A608,'Hướng dẫn'!AA:AA,'Hướng dẫn'!X:X)</f>
        <v>Boat Neck</v>
      </c>
    </row>
    <row r="609" spans="1:2">
      <c r="A609" t="s">
        <v>2078</v>
      </c>
      <c r="B609" t="str">
        <f>_xlfn.XLOOKUP(A609,'Hướng dẫn'!AA:AA,'Hướng dẫn'!X:X)</f>
        <v>Crew neck classic</v>
      </c>
    </row>
    <row r="610" spans="1:2">
      <c r="A610" t="s">
        <v>2779</v>
      </c>
      <c r="B610" t="str">
        <f>_xlfn.XLOOKUP(A610,'Hướng dẫn'!AA:AA,'Hướng dẫn'!X:X)</f>
        <v>Necklace</v>
      </c>
    </row>
    <row r="611" spans="1:2">
      <c r="A611" t="s">
        <v>3110</v>
      </c>
      <c r="B611" t="str">
        <f>_xlfn.XLOOKUP(A611,'Hướng dẫn'!AA:AA,'Hướng dẫn'!X:X)</f>
        <v>Soap</v>
      </c>
    </row>
    <row r="612" spans="1:2">
      <c r="A612" t="s">
        <v>2078</v>
      </c>
      <c r="B612" t="str">
        <f>_xlfn.XLOOKUP(A612,'Hướng dẫn'!AA:AA,'Hướng dẫn'!X:X)</f>
        <v>Crew neck classic</v>
      </c>
    </row>
    <row r="613" spans="1:2">
      <c r="A613" t="s">
        <v>2078</v>
      </c>
      <c r="B613" t="str">
        <f>_xlfn.XLOOKUP(A613,'Hướng dẫn'!AA:AA,'Hướng dẫn'!X:X)</f>
        <v>Crew neck classic</v>
      </c>
    </row>
    <row r="614" spans="1:2">
      <c r="A614" t="s">
        <v>2001</v>
      </c>
      <c r="B614" t="str">
        <f>_xlfn.XLOOKUP(A614,'Hướng dẫn'!AA:AA,'Hướng dẫn'!X:X)</f>
        <v>Mandarin Collar</v>
      </c>
    </row>
    <row r="615" spans="1:2">
      <c r="A615" t="s">
        <v>2694</v>
      </c>
      <c r="B615" t="str">
        <f>_xlfn.XLOOKUP(A615,'Hướng dẫn'!AA:AA,'Hướng dẫn'!X:X)</f>
        <v>Clutch</v>
      </c>
    </row>
    <row r="616" spans="1:2">
      <c r="A616" t="s">
        <v>2078</v>
      </c>
      <c r="B616" t="str">
        <f>_xlfn.XLOOKUP(A616,'Hướng dẫn'!AA:AA,'Hướng dẫn'!X:X)</f>
        <v>Crew neck classic</v>
      </c>
    </row>
    <row r="617" spans="1:2">
      <c r="A617" t="s">
        <v>2694</v>
      </c>
      <c r="B617" t="str">
        <f>_xlfn.XLOOKUP(A617,'Hướng dẫn'!AA:AA,'Hướng dẫn'!X:X)</f>
        <v>Clutch</v>
      </c>
    </row>
    <row r="618" spans="1:2">
      <c r="A618" t="s">
        <v>2078</v>
      </c>
      <c r="B618" t="str">
        <f>_xlfn.XLOOKUP(A618,'Hướng dẫn'!AA:AA,'Hướng dẫn'!X:X)</f>
        <v>Crew neck classic</v>
      </c>
    </row>
    <row r="619" spans="1:2">
      <c r="A619" t="s">
        <v>2078</v>
      </c>
      <c r="B619" t="str">
        <f>_xlfn.XLOOKUP(A619,'Hướng dẫn'!AA:AA,'Hướng dẫn'!X:X)</f>
        <v>Crew neck classic</v>
      </c>
    </row>
    <row r="620" spans="1:2">
      <c r="A620" t="s">
        <v>2800</v>
      </c>
      <c r="B620" t="str">
        <f>_xlfn.XLOOKUP(A620,'Hướng dẫn'!AA:AA,'Hướng dẫn'!X:X)</f>
        <v>Earrings</v>
      </c>
    </row>
    <row r="621" spans="1:2">
      <c r="A621" t="s">
        <v>2001</v>
      </c>
      <c r="B621" t="str">
        <f>_xlfn.XLOOKUP(A621,'Hướng dẫn'!AA:AA,'Hướng dẫn'!X:X)</f>
        <v>Mandarin Collar</v>
      </c>
    </row>
    <row r="622" spans="1:2">
      <c r="A622" t="s">
        <v>2684</v>
      </c>
      <c r="B622" t="str">
        <f>_xlfn.XLOOKUP(A622,'Hướng dẫn'!AA:AA,'Hướng dẫn'!X:X)</f>
        <v>Card Holder</v>
      </c>
    </row>
    <row r="623" spans="1:2">
      <c r="A623" t="s">
        <v>3159</v>
      </c>
      <c r="B623" t="str">
        <f>_xlfn.XLOOKUP(A623,'Hướng dẫn'!AA:AA,'Hướng dẫn'!X:X)</f>
        <v>Coffee Powder</v>
      </c>
    </row>
    <row r="624" spans="1:2">
      <c r="A624" t="s">
        <v>2901</v>
      </c>
      <c r="B624" t="str">
        <f>_xlfn.XLOOKUP(A624,'Hướng dẫn'!AA:AA,'Hướng dẫn'!X:X)</f>
        <v>ART</v>
      </c>
    </row>
    <row r="625" spans="1:2">
      <c r="A625" t="s">
        <v>2001</v>
      </c>
      <c r="B625" t="str">
        <f>_xlfn.XLOOKUP(A625,'Hướng dẫn'!AA:AA,'Hướng dẫn'!X:X)</f>
        <v>Mandarin Collar</v>
      </c>
    </row>
    <row r="626" spans="1:2">
      <c r="A626" t="s">
        <v>2138</v>
      </c>
      <c r="B626" t="str">
        <f>_xlfn.XLOOKUP(A626,'Hướng dẫn'!AA:AA,'Hướng dẫn'!X:X)</f>
        <v>Boat Neck</v>
      </c>
    </row>
    <row r="627" spans="1:2">
      <c r="A627" t="s">
        <v>2078</v>
      </c>
      <c r="B627" t="str">
        <f>_xlfn.XLOOKUP(A627,'Hướng dẫn'!AA:AA,'Hướng dẫn'!X:X)</f>
        <v>Crew neck classic</v>
      </c>
    </row>
    <row r="628" spans="1:2">
      <c r="A628" t="s">
        <v>2516</v>
      </c>
      <c r="B628" t="str">
        <f>_xlfn.XLOOKUP(A628,'Hướng dẫn'!AA:AA,'Hướng dẫn'!X:X)</f>
        <v>Scarf Satin Double Side Print</v>
      </c>
    </row>
    <row r="629" spans="1:2">
      <c r="A629" t="s">
        <v>2442</v>
      </c>
      <c r="B629" t="str">
        <f>_xlfn.XLOOKUP(A629,'Hướng dẫn'!AA:AA,'Hướng dẫn'!X:X)</f>
        <v>Leather Shoes</v>
      </c>
    </row>
    <row r="630" spans="1:2">
      <c r="A630" t="s">
        <v>2138</v>
      </c>
      <c r="B630" t="str">
        <f>_xlfn.XLOOKUP(A630,'Hướng dẫn'!AA:AA,'Hướng dẫn'!X:X)</f>
        <v>Boat Neck</v>
      </c>
    </row>
    <row r="631" spans="1:2">
      <c r="A631" t="s">
        <v>2516</v>
      </c>
      <c r="B631" t="str">
        <f>_xlfn.XLOOKUP(A631,'Hướng dẫn'!AA:AA,'Hướng dẫn'!X:X)</f>
        <v>Scarf Satin Double Side Print</v>
      </c>
    </row>
    <row r="632" spans="1:2">
      <c r="A632" t="s">
        <v>2078</v>
      </c>
      <c r="B632" t="str">
        <f>_xlfn.XLOOKUP(A632,'Hướng dẫn'!AA:AA,'Hướng dẫn'!X:X)</f>
        <v>Crew neck classic</v>
      </c>
    </row>
    <row r="633" spans="1:2">
      <c r="A633" t="s">
        <v>2601</v>
      </c>
      <c r="B633" t="str">
        <f>_xlfn.XLOOKUP(A633,'Hướng dẫn'!AA:AA,'Hướng dẫn'!X:X)</f>
        <v>Handbag</v>
      </c>
    </row>
    <row r="634" spans="1:2">
      <c r="A634" t="s">
        <v>2001</v>
      </c>
      <c r="B634" t="str">
        <f>_xlfn.XLOOKUP(A634,'Hướng dẫn'!AA:AA,'Hướng dẫn'!X:X)</f>
        <v>Mandarin Collar</v>
      </c>
    </row>
    <row r="635" spans="1:2">
      <c r="A635" t="s">
        <v>2601</v>
      </c>
      <c r="B635" t="str">
        <f>_xlfn.XLOOKUP(A635,'Hướng dẫn'!AA:AA,'Hướng dẫn'!X:X)</f>
        <v>Handbag</v>
      </c>
    </row>
    <row r="636" spans="1:2">
      <c r="A636" t="s">
        <v>2694</v>
      </c>
      <c r="B636" t="str">
        <f>_xlfn.XLOOKUP(A636,'Hướng dẫn'!AA:AA,'Hướng dẫn'!X:X)</f>
        <v>Clutch</v>
      </c>
    </row>
    <row r="637" spans="1:2">
      <c r="A637" t="s">
        <v>2705</v>
      </c>
      <c r="B637" t="str">
        <f>_xlfn.XLOOKUP(A637,'Hướng dẫn'!AA:AA,'Hướng dẫn'!X:X)</f>
        <v>Wallet</v>
      </c>
    </row>
    <row r="638" spans="1:2">
      <c r="A638" t="s">
        <v>2138</v>
      </c>
      <c r="B638" t="str">
        <f>_xlfn.XLOOKUP(A638,'Hướng dẫn'!AA:AA,'Hướng dẫn'!X:X)</f>
        <v>Boat Neck</v>
      </c>
    </row>
    <row r="639" spans="1:2">
      <c r="A639" t="s">
        <v>2078</v>
      </c>
      <c r="B639" t="str">
        <f>_xlfn.XLOOKUP(A639,'Hướng dẫn'!AA:AA,'Hướng dẫn'!X:X)</f>
        <v>Crew neck classic</v>
      </c>
    </row>
    <row r="640" spans="1:2">
      <c r="A640" t="s">
        <v>2078</v>
      </c>
      <c r="B640" t="str">
        <f>_xlfn.XLOOKUP(A640,'Hướng dẫn'!AA:AA,'Hướng dẫn'!X:X)</f>
        <v>Crew neck classic</v>
      </c>
    </row>
    <row r="641" spans="1:2">
      <c r="A641" t="s">
        <v>2394</v>
      </c>
      <c r="B641" t="str">
        <f>_xlfn.XLOOKUP(A641,'Hướng dẫn'!AA:AA,'Hướng dẫn'!X:X)</f>
        <v>Sneaker</v>
      </c>
    </row>
    <row r="642" spans="1:2">
      <c r="A642" t="s">
        <v>2078</v>
      </c>
      <c r="B642" t="str">
        <f>_xlfn.XLOOKUP(A642,'Hướng dẫn'!AA:AA,'Hướng dẫn'!X:X)</f>
        <v>Crew neck classic</v>
      </c>
    </row>
    <row r="643" spans="1:2">
      <c r="A643" t="s">
        <v>2078</v>
      </c>
      <c r="B643" t="str">
        <f>_xlfn.XLOOKUP(A643,'Hướng dẫn'!AA:AA,'Hướng dẫn'!X:X)</f>
        <v>Crew neck classic</v>
      </c>
    </row>
    <row r="644" spans="1:2">
      <c r="A644" t="s">
        <v>2905</v>
      </c>
      <c r="B644" t="str">
        <f>_xlfn.XLOOKUP(A644,'Hướng dẫn'!AA:AA,'Hướng dẫn'!X:X)</f>
        <v>Hand Fan Satin</v>
      </c>
    </row>
    <row r="645" spans="1:2">
      <c r="A645" t="s">
        <v>2078</v>
      </c>
      <c r="B645" t="str">
        <f>_xlfn.XLOOKUP(A645,'Hướng dẫn'!AA:AA,'Hướng dẫn'!X:X)</f>
        <v>Crew neck classic</v>
      </c>
    </row>
    <row r="646" spans="1:2">
      <c r="A646" t="s">
        <v>2694</v>
      </c>
      <c r="B646" t="str">
        <f>_xlfn.XLOOKUP(A646,'Hướng dẫn'!AA:AA,'Hướng dẫn'!X:X)</f>
        <v>Clutch</v>
      </c>
    </row>
    <row r="647" spans="1:2">
      <c r="A647" t="s">
        <v>2078</v>
      </c>
      <c r="B647" t="str">
        <f>_xlfn.XLOOKUP(A647,'Hướng dẫn'!AA:AA,'Hướng dẫn'!X:X)</f>
        <v>Crew neck classic</v>
      </c>
    </row>
    <row r="648" spans="1:2">
      <c r="A648" t="s">
        <v>2001</v>
      </c>
      <c r="B648" t="str">
        <f>_xlfn.XLOOKUP(A648,'Hướng dẫn'!AA:AA,'Hướng dẫn'!X:X)</f>
        <v>Mandarin Collar</v>
      </c>
    </row>
    <row r="649" spans="1:2">
      <c r="A649" t="s">
        <v>2078</v>
      </c>
      <c r="B649" t="str">
        <f>_xlfn.XLOOKUP(A649,'Hướng dẫn'!AA:AA,'Hướng dẫn'!X:X)</f>
        <v>Crew neck classic</v>
      </c>
    </row>
    <row r="650" spans="1:2">
      <c r="A650" t="s">
        <v>2078</v>
      </c>
      <c r="B650" t="str">
        <f>_xlfn.XLOOKUP(A650,'Hướng dẫn'!AA:AA,'Hướng dẫn'!X:X)</f>
        <v>Crew neck classic</v>
      </c>
    </row>
    <row r="651" spans="1:2">
      <c r="A651" t="s">
        <v>2078</v>
      </c>
      <c r="B651" t="str">
        <f>_xlfn.XLOOKUP(A651,'Hướng dẫn'!AA:AA,'Hướng dẫn'!X:X)</f>
        <v>Crew neck classic</v>
      </c>
    </row>
    <row r="652" spans="1:2">
      <c r="A652" t="s">
        <v>2078</v>
      </c>
      <c r="B652" t="str">
        <f>_xlfn.XLOOKUP(A652,'Hướng dẫn'!AA:AA,'Hướng dẫn'!X:X)</f>
        <v>Crew neck classic</v>
      </c>
    </row>
    <row r="653" spans="1:2">
      <c r="A653" t="s">
        <v>2078</v>
      </c>
      <c r="B653" t="str">
        <f>_xlfn.XLOOKUP(A653,'Hướng dẫn'!AA:AA,'Hướng dẫn'!X:X)</f>
        <v>Crew neck classic</v>
      </c>
    </row>
    <row r="654" spans="1:2">
      <c r="A654" t="s">
        <v>2078</v>
      </c>
      <c r="B654" t="str">
        <f>_xlfn.XLOOKUP(A654,'Hướng dẫn'!AA:AA,'Hướng dẫn'!X:X)</f>
        <v>Crew neck classic</v>
      </c>
    </row>
    <row r="655" spans="1:2">
      <c r="A655" t="s">
        <v>2500</v>
      </c>
      <c r="B655" t="str">
        <f>_xlfn.XLOOKUP(A655,'Hướng dẫn'!AA:AA,'Hướng dẫn'!X:X)</f>
        <v>Scarf Satin Single-Sided</v>
      </c>
    </row>
    <row r="656" spans="1:2">
      <c r="A656" t="s">
        <v>3033</v>
      </c>
      <c r="B656" t="str">
        <f>_xlfn.XLOOKUP(A656,'Hướng dẫn'!AA:AA,'Hướng dẫn'!X:X)</f>
        <v>Stainless Steel</v>
      </c>
    </row>
    <row r="657" spans="1:2">
      <c r="A657" t="s">
        <v>2731</v>
      </c>
      <c r="B657" t="str">
        <f>_xlfn.XLOOKUP(A657,'Hướng dẫn'!AA:AA,'Hướng dẫn'!X:X)</f>
        <v>Ipad Case</v>
      </c>
    </row>
    <row r="658" spans="1:2">
      <c r="A658" t="s">
        <v>2779</v>
      </c>
      <c r="B658" t="str">
        <f>_xlfn.XLOOKUP(A658,'Hướng dẫn'!AA:AA,'Hướng dẫn'!X:X)</f>
        <v>Necklace</v>
      </c>
    </row>
    <row r="659" spans="1:2">
      <c r="A659" t="s">
        <v>2078</v>
      </c>
      <c r="B659" t="str">
        <f>_xlfn.XLOOKUP(A659,'Hướng dẫn'!AA:AA,'Hướng dẫn'!X:X)</f>
        <v>Crew neck classic</v>
      </c>
    </row>
    <row r="660" spans="1:2">
      <c r="A660" t="s">
        <v>2516</v>
      </c>
      <c r="B660" t="str">
        <f>_xlfn.XLOOKUP(A660,'Hướng dẫn'!AA:AA,'Hướng dẫn'!X:X)</f>
        <v>Scarf Satin Double Side Print</v>
      </c>
    </row>
    <row r="661" spans="1:2">
      <c r="A661" t="s">
        <v>2617</v>
      </c>
      <c r="B661" t="str">
        <f>_xlfn.XLOOKUP(A661,'Hướng dẫn'!AA:AA,'Hướng dẫn'!X:X)</f>
        <v>Crossbody bag</v>
      </c>
    </row>
    <row r="662" spans="1:2">
      <c r="A662" t="s">
        <v>2078</v>
      </c>
      <c r="B662" t="str">
        <f>_xlfn.XLOOKUP(A662,'Hướng dẫn'!AA:AA,'Hướng dẫn'!X:X)</f>
        <v>Crew neck classic</v>
      </c>
    </row>
    <row r="663" spans="1:2">
      <c r="A663" t="s">
        <v>2901</v>
      </c>
      <c r="B663" t="str">
        <f>_xlfn.XLOOKUP(A663,'Hướng dẫn'!AA:AA,'Hướng dẫn'!X:X)</f>
        <v>ART</v>
      </c>
    </row>
    <row r="664" spans="1:2">
      <c r="A664" t="s">
        <v>2078</v>
      </c>
      <c r="B664" t="str">
        <f>_xlfn.XLOOKUP(A664,'Hướng dẫn'!AA:AA,'Hướng dẫn'!X:X)</f>
        <v>Crew neck classic</v>
      </c>
    </row>
    <row r="665" spans="1:2">
      <c r="A665" t="s">
        <v>2442</v>
      </c>
      <c r="B665" t="str">
        <f>_xlfn.XLOOKUP(A665,'Hướng dẫn'!AA:AA,'Hướng dẫn'!X:X)</f>
        <v>Leather Shoes</v>
      </c>
    </row>
    <row r="666" spans="1:2">
      <c r="A666" t="s">
        <v>2442</v>
      </c>
      <c r="B666" t="str">
        <f>_xlfn.XLOOKUP(A666,'Hướng dẫn'!AA:AA,'Hướng dẫn'!X:X)</f>
        <v>Leather Shoes</v>
      </c>
    </row>
    <row r="667" spans="1:2">
      <c r="A667" t="s">
        <v>2001</v>
      </c>
      <c r="B667" t="str">
        <f>_xlfn.XLOOKUP(A667,'Hướng dẫn'!AA:AA,'Hướng dẫn'!X:X)</f>
        <v>Mandarin Collar</v>
      </c>
    </row>
    <row r="668" spans="1:2">
      <c r="A668" t="s">
        <v>2078</v>
      </c>
      <c r="B668" t="str">
        <f>_xlfn.XLOOKUP(A668,'Hướng dẫn'!AA:AA,'Hướng dẫn'!X:X)</f>
        <v>Crew neck classic</v>
      </c>
    </row>
    <row r="669" spans="1:2">
      <c r="A669" t="s">
        <v>2516</v>
      </c>
      <c r="B669" t="str">
        <f>_xlfn.XLOOKUP(A669,'Hướng dẫn'!AA:AA,'Hướng dẫn'!X:X)</f>
        <v>Scarf Satin Double Side Print</v>
      </c>
    </row>
    <row r="670" spans="1:2">
      <c r="A670" t="s">
        <v>2078</v>
      </c>
      <c r="B670" t="str">
        <f>_xlfn.XLOOKUP(A670,'Hướng dẫn'!AA:AA,'Hướng dẫn'!X:X)</f>
        <v>Crew neck classic</v>
      </c>
    </row>
    <row r="671" spans="1:2">
      <c r="A671" t="s">
        <v>3186</v>
      </c>
      <c r="B671" t="str">
        <f>_xlfn.XLOOKUP(A671,'Hướng dẫn'!AA:AA,'Hướng dẫn'!X:X)</f>
        <v>Coffee order</v>
      </c>
    </row>
    <row r="672" spans="1:2">
      <c r="A672" t="s">
        <v>3159</v>
      </c>
      <c r="B672" t="str">
        <f>_xlfn.XLOOKUP(A672,'Hướng dẫn'!AA:AA,'Hướng dẫn'!X:X)</f>
        <v>Coffee Powder</v>
      </c>
    </row>
    <row r="673" spans="1:2">
      <c r="A673" t="s">
        <v>2694</v>
      </c>
      <c r="B673" t="str">
        <f>_xlfn.XLOOKUP(A673,'Hướng dẫn'!AA:AA,'Hướng dẫn'!X:X)</f>
        <v>Clutch</v>
      </c>
    </row>
    <row r="674" spans="1:2">
      <c r="A674" t="s">
        <v>2684</v>
      </c>
      <c r="B674" t="str">
        <f>_xlfn.XLOOKUP(A674,'Hướng dẫn'!AA:AA,'Hướng dẫn'!X:X)</f>
        <v>Card Holder</v>
      </c>
    </row>
    <row r="675" spans="1:2">
      <c r="A675" t="s">
        <v>2717</v>
      </c>
      <c r="B675" t="str">
        <f>_xlfn.XLOOKUP(A675,'Hướng dẫn'!AA:AA,'Hướng dẫn'!X:X)</f>
        <v>Pen Case</v>
      </c>
    </row>
    <row r="676" spans="1:2">
      <c r="A676" t="s">
        <v>2601</v>
      </c>
      <c r="B676" t="str">
        <f>_xlfn.XLOOKUP(A676,'Hướng dẫn'!AA:AA,'Hướng dẫn'!X:X)</f>
        <v>Handbag</v>
      </c>
    </row>
    <row r="677" spans="1:2">
      <c r="A677" t="s">
        <v>2996</v>
      </c>
      <c r="B677" t="str">
        <f>_xlfn.XLOOKUP(A677,'Hướng dẫn'!AA:AA,'Hướng dẫn'!X:X)</f>
        <v>Small Accessories</v>
      </c>
    </row>
    <row r="678" spans="1:2">
      <c r="A678" t="s">
        <v>2078</v>
      </c>
      <c r="B678" t="str">
        <f>_xlfn.XLOOKUP(A678,'Hướng dẫn'!AA:AA,'Hướng dẫn'!X:X)</f>
        <v>Crew neck classic</v>
      </c>
    </row>
    <row r="679" spans="1:2">
      <c r="A679" t="s">
        <v>3159</v>
      </c>
      <c r="B679" t="str">
        <f>_xlfn.XLOOKUP(A679,'Hướng dẫn'!AA:AA,'Hướng dẫn'!X:X)</f>
        <v>Coffee Powder</v>
      </c>
    </row>
    <row r="680" spans="1:2">
      <c r="A680" t="s">
        <v>2329</v>
      </c>
      <c r="B680" t="str">
        <f>_xlfn.XLOOKUP(A680,'Hướng dẫn'!AA:AA,'Hướng dẫn'!X:X)</f>
        <v>Tote bag</v>
      </c>
    </row>
    <row r="681" spans="1:2">
      <c r="A681" t="s">
        <v>2442</v>
      </c>
      <c r="B681" t="str">
        <f>_xlfn.XLOOKUP(A681,'Hướng dẫn'!AA:AA,'Hướng dẫn'!X:X)</f>
        <v>Leather Shoes</v>
      </c>
    </row>
    <row r="682" spans="1:2">
      <c r="A682" t="s">
        <v>2078</v>
      </c>
      <c r="B682" t="str">
        <f>_xlfn.XLOOKUP(A682,'Hướng dẫn'!AA:AA,'Hướng dẫn'!X:X)</f>
        <v>Crew neck classic</v>
      </c>
    </row>
    <row r="683" spans="1:2">
      <c r="A683" t="s">
        <v>2379</v>
      </c>
      <c r="B683" t="str">
        <f>_xlfn.XLOOKUP(A683,'Hướng dẫn'!AA:AA,'Hướng dẫn'!X:X)</f>
        <v>Slippers</v>
      </c>
    </row>
    <row r="684" spans="1:2">
      <c r="A684" t="s">
        <v>2977</v>
      </c>
      <c r="B684" t="str">
        <f>_xlfn.XLOOKUP(A684,'Hướng dẫn'!AA:AA,'Hướng dẫn'!X:X)</f>
        <v>Decorative Items</v>
      </c>
    </row>
    <row r="685" spans="1:2">
      <c r="A685" t="s">
        <v>2124</v>
      </c>
      <c r="B685" t="str">
        <f>_xlfn.XLOOKUP(A685,'Hướng dẫn'!AA:AA,'Hướng dẫn'!X:X)</f>
        <v>V-neck</v>
      </c>
    </row>
    <row r="686" spans="1:2">
      <c r="A686" t="s">
        <v>2610</v>
      </c>
      <c r="B686" t="str">
        <f>_xlfn.XLOOKUP(A686,'Hướng dẫn'!AA:AA,'Hướng dẫn'!X:X)</f>
        <v>Other bag</v>
      </c>
    </row>
    <row r="687" spans="1:2">
      <c r="A687" t="s">
        <v>2442</v>
      </c>
      <c r="B687" t="str">
        <f>_xlfn.XLOOKUP(A687,'Hướng dẫn'!AA:AA,'Hướng dẫn'!X:X)</f>
        <v>Leather Shoes</v>
      </c>
    </row>
    <row r="688" spans="1:2">
      <c r="A688" t="s">
        <v>2078</v>
      </c>
      <c r="B688" t="str">
        <f>_xlfn.XLOOKUP(A688,'Hướng dẫn'!AA:AA,'Hướng dẫn'!X:X)</f>
        <v>Crew neck classic</v>
      </c>
    </row>
    <row r="689" spans="1:2">
      <c r="A689" t="s">
        <v>2078</v>
      </c>
      <c r="B689" t="str">
        <f>_xlfn.XLOOKUP(A689,'Hướng dẫn'!AA:AA,'Hướng dẫn'!X:X)</f>
        <v>Crew neck classic</v>
      </c>
    </row>
    <row r="690" spans="1:2">
      <c r="A690" t="s">
        <v>2970</v>
      </c>
      <c r="B690" t="str">
        <f>_xlfn.XLOOKUP(A690,'Hướng dẫn'!AA:AA,'Hướng dẫn'!X:X)</f>
        <v>Games</v>
      </c>
    </row>
    <row r="691" spans="1:2">
      <c r="A691" t="s">
        <v>2905</v>
      </c>
      <c r="B691" t="str">
        <f>_xlfn.XLOOKUP(A691,'Hướng dẫn'!AA:AA,'Hướng dẫn'!X:X)</f>
        <v>Hand Fan Satin</v>
      </c>
    </row>
    <row r="692" spans="1:2">
      <c r="A692" t="s">
        <v>2779</v>
      </c>
      <c r="B692" t="str">
        <f>_xlfn.XLOOKUP(A692,'Hướng dẫn'!AA:AA,'Hướng dẫn'!X:X)</f>
        <v>Necklace</v>
      </c>
    </row>
    <row r="693" spans="1:2">
      <c r="A693" t="s">
        <v>2379</v>
      </c>
      <c r="B693" t="str">
        <f>_xlfn.XLOOKUP(A693,'Hướng dẫn'!AA:AA,'Hướng dẫn'!X:X)</f>
        <v>Slippers</v>
      </c>
    </row>
    <row r="694" spans="1:2">
      <c r="A694" t="s">
        <v>2442</v>
      </c>
      <c r="B694" t="str">
        <f>_xlfn.XLOOKUP(A694,'Hướng dẫn'!AA:AA,'Hướng dẫn'!X:X)</f>
        <v>Leather Shoes</v>
      </c>
    </row>
    <row r="695" spans="1:2">
      <c r="A695" t="s">
        <v>3186</v>
      </c>
      <c r="B695" t="str">
        <f>_xlfn.XLOOKUP(A695,'Hướng dẫn'!AA:AA,'Hướng dẫn'!X:X)</f>
        <v>Coffee order</v>
      </c>
    </row>
    <row r="696" spans="1:2">
      <c r="A696" t="s">
        <v>2516</v>
      </c>
      <c r="B696" t="str">
        <f>_xlfn.XLOOKUP(A696,'Hướng dẫn'!AA:AA,'Hướng dẫn'!X:X)</f>
        <v>Scarf Satin Double Side Print</v>
      </c>
    </row>
    <row r="697" spans="1:2">
      <c r="A697" t="s">
        <v>2516</v>
      </c>
      <c r="B697" t="str">
        <f>_xlfn.XLOOKUP(A697,'Hướng dẫn'!AA:AA,'Hướng dẫn'!X:X)</f>
        <v>Scarf Satin Double Side Print</v>
      </c>
    </row>
    <row r="698" spans="1:2">
      <c r="A698" t="s">
        <v>2779</v>
      </c>
      <c r="B698" t="str">
        <f>_xlfn.XLOOKUP(A698,'Hướng dẫn'!AA:AA,'Hướng dẫn'!X:X)</f>
        <v>Necklace</v>
      </c>
    </row>
    <row r="699" spans="1:2">
      <c r="A699" t="s">
        <v>3016</v>
      </c>
      <c r="B699" t="str">
        <f>_xlfn.XLOOKUP(A699,'Hướng dẫn'!AA:AA,'Hướng dẫn'!X:X)</f>
        <v>Cushion Cover</v>
      </c>
    </row>
    <row r="700" spans="1:2">
      <c r="A700" t="s">
        <v>2901</v>
      </c>
      <c r="B700" t="str">
        <f>_xlfn.XLOOKUP(A700,'Hướng dẫn'!AA:AA,'Hướng dẫn'!X:X)</f>
        <v>ART</v>
      </c>
    </row>
    <row r="701" spans="1:2">
      <c r="A701" t="s">
        <v>2977</v>
      </c>
      <c r="B701" t="str">
        <f>_xlfn.XLOOKUP(A701,'Hướng dẫn'!AA:AA,'Hướng dẫn'!X:X)</f>
        <v>Decorative Items</v>
      </c>
    </row>
    <row r="702" spans="1:2">
      <c r="A702" t="s">
        <v>2663</v>
      </c>
      <c r="B702" t="str">
        <f>_xlfn.XLOOKUP(A702,'Hướng dẫn'!AA:AA,'Hướng dẫn'!X:X)</f>
        <v>Cigar cover</v>
      </c>
    </row>
    <row r="703" spans="1:2">
      <c r="A703" t="s">
        <v>2425</v>
      </c>
      <c r="B703" t="str">
        <f>_xlfn.XLOOKUP(A703,'Hướng dẫn'!AA:AA,'Hướng dẫn'!X:X)</f>
        <v>Flats</v>
      </c>
    </row>
    <row r="704" spans="1:2">
      <c r="A704" t="s">
        <v>2694</v>
      </c>
      <c r="B704" t="str">
        <f>_xlfn.XLOOKUP(A704,'Hướng dẫn'!AA:AA,'Hướng dẫn'!X:X)</f>
        <v>Clutch</v>
      </c>
    </row>
    <row r="705" spans="1:2">
      <c r="A705" t="s">
        <v>2078</v>
      </c>
      <c r="B705" t="str">
        <f>_xlfn.XLOOKUP(A705,'Hướng dẫn'!AA:AA,'Hướng dẫn'!X:X)</f>
        <v>Crew neck classic</v>
      </c>
    </row>
    <row r="706" spans="1:2">
      <c r="A706" t="s">
        <v>2078</v>
      </c>
      <c r="B706" t="str">
        <f>_xlfn.XLOOKUP(A706,'Hướng dẫn'!AA:AA,'Hướng dẫn'!X:X)</f>
        <v>Crew neck classic</v>
      </c>
    </row>
    <row r="707" spans="1:2">
      <c r="A707" t="s">
        <v>2601</v>
      </c>
      <c r="B707" t="str">
        <f>_xlfn.XLOOKUP(A707,'Hướng dẫn'!AA:AA,'Hướng dẫn'!X:X)</f>
        <v>Handbag</v>
      </c>
    </row>
    <row r="708" spans="1:2">
      <c r="A708" t="s">
        <v>2078</v>
      </c>
      <c r="B708" t="str">
        <f>_xlfn.XLOOKUP(A708,'Hướng dẫn'!AA:AA,'Hướng dẫn'!X:X)</f>
        <v>Crew neck classic</v>
      </c>
    </row>
    <row r="709" spans="1:2">
      <c r="A709" t="s">
        <v>2694</v>
      </c>
      <c r="B709" t="str">
        <f>_xlfn.XLOOKUP(A709,'Hướng dẫn'!AA:AA,'Hướng dẫn'!X:X)</f>
        <v>Clutch</v>
      </c>
    </row>
    <row r="710" spans="1:2">
      <c r="A710" t="s">
        <v>2078</v>
      </c>
      <c r="B710" t="str">
        <f>_xlfn.XLOOKUP(A710,'Hướng dẫn'!AA:AA,'Hướng dẫn'!X:X)</f>
        <v>Crew neck classic</v>
      </c>
    </row>
    <row r="711" spans="1:2">
      <c r="A711" t="s">
        <v>2779</v>
      </c>
      <c r="B711" t="str">
        <f>_xlfn.XLOOKUP(A711,'Hướng dẫn'!AA:AA,'Hướng dẫn'!X:X)</f>
        <v>Necklace</v>
      </c>
    </row>
    <row r="712" spans="1:2">
      <c r="A712" t="s">
        <v>2601</v>
      </c>
      <c r="B712" t="str">
        <f>_xlfn.XLOOKUP(A712,'Hướng dẫn'!AA:AA,'Hướng dẫn'!X:X)</f>
        <v>Handbag</v>
      </c>
    </row>
    <row r="713" spans="1:2">
      <c r="A713" t="s">
        <v>2078</v>
      </c>
      <c r="B713" t="str">
        <f>_xlfn.XLOOKUP(A713,'Hướng dẫn'!AA:AA,'Hướng dẫn'!X:X)</f>
        <v>Crew neck classic</v>
      </c>
    </row>
    <row r="714" spans="1:2">
      <c r="A714" t="s">
        <v>3016</v>
      </c>
      <c r="B714" t="str">
        <f>_xlfn.XLOOKUP(A714,'Hướng dẫn'!AA:AA,'Hướng dẫn'!X:X)</f>
        <v>Cushion Cover</v>
      </c>
    </row>
    <row r="715" spans="1:2">
      <c r="A715" t="s">
        <v>2949</v>
      </c>
      <c r="B715" t="str">
        <f>_xlfn.XLOOKUP(A715,'Hướng dẫn'!AA:AA,'Hướng dẫn'!X:X)</f>
        <v>Notebook Spiral Bound</v>
      </c>
    </row>
    <row r="716" spans="1:2">
      <c r="A716" t="s">
        <v>2601</v>
      </c>
      <c r="B716" t="str">
        <f>_xlfn.XLOOKUP(A716,'Hướng dẫn'!AA:AA,'Hướng dẫn'!X:X)</f>
        <v>Handbag</v>
      </c>
    </row>
    <row r="717" spans="1:2">
      <c r="A717" t="s">
        <v>2078</v>
      </c>
      <c r="B717" t="str">
        <f>_xlfn.XLOOKUP(A717,'Hướng dẫn'!AA:AA,'Hướng dẫn'!X:X)</f>
        <v>Crew neck classic</v>
      </c>
    </row>
    <row r="718" spans="1:2">
      <c r="A718" t="s">
        <v>2559</v>
      </c>
      <c r="B718" t="str">
        <f>_xlfn.XLOOKUP(A718,'Hướng dẫn'!AA:AA,'Hướng dẫn'!X:X)</f>
        <v>Ethnic Bag</v>
      </c>
    </row>
    <row r="719" spans="1:2">
      <c r="A719" t="s">
        <v>2138</v>
      </c>
      <c r="B719" t="str">
        <f>_xlfn.XLOOKUP(A719,'Hướng dẫn'!AA:AA,'Hướng dẫn'!X:X)</f>
        <v>Boat Neck</v>
      </c>
    </row>
    <row r="720" spans="1:2">
      <c r="A720" t="s">
        <v>2943</v>
      </c>
      <c r="B720" t="str">
        <f>_xlfn.XLOOKUP(A720,'Hướng dẫn'!AA:AA,'Hướng dẫn'!X:X)</f>
        <v>Notebook Saddle Stitched</v>
      </c>
    </row>
    <row r="721" spans="1:2">
      <c r="A721" t="s">
        <v>2977</v>
      </c>
      <c r="B721" t="str">
        <f>_xlfn.XLOOKUP(A721,'Hướng dẫn'!AA:AA,'Hướng dẫn'!X:X)</f>
        <v>Decorative Items</v>
      </c>
    </row>
    <row r="722" spans="1:2">
      <c r="A722" t="s">
        <v>2078</v>
      </c>
      <c r="B722" t="str">
        <f>_xlfn.XLOOKUP(A722,'Hướng dẫn'!AA:AA,'Hướng dẫn'!X:X)</f>
        <v>Crew neck classic</v>
      </c>
    </row>
    <row r="723" spans="1:2">
      <c r="A723" t="s">
        <v>2442</v>
      </c>
      <c r="B723" t="str">
        <f>_xlfn.XLOOKUP(A723,'Hướng dẫn'!AA:AA,'Hướng dẫn'!X:X)</f>
        <v>Leather Shoes</v>
      </c>
    </row>
    <row r="724" spans="1:2">
      <c r="A724" t="s">
        <v>2078</v>
      </c>
      <c r="B724" t="str">
        <f>_xlfn.XLOOKUP(A724,'Hướng dẫn'!AA:AA,'Hướng dẫn'!X:X)</f>
        <v>Crew neck classic</v>
      </c>
    </row>
    <row r="725" spans="1:2">
      <c r="A725" t="s">
        <v>2901</v>
      </c>
      <c r="B725" t="str">
        <f>_xlfn.XLOOKUP(A725,'Hướng dẫn'!AA:AA,'Hướng dẫn'!X:X)</f>
        <v>ART</v>
      </c>
    </row>
    <row r="726" spans="1:2">
      <c r="A726" t="s">
        <v>2879</v>
      </c>
      <c r="B726" t="str">
        <f>_xlfn.XLOOKUP(A726,'Hướng dẫn'!AA:AA,'Hướng dẫn'!X:X)</f>
        <v>Playing card</v>
      </c>
    </row>
    <row r="727" spans="1:2">
      <c r="A727" t="s">
        <v>2601</v>
      </c>
      <c r="B727" t="str">
        <f>_xlfn.XLOOKUP(A727,'Hướng dẫn'!AA:AA,'Hướng dẫn'!X:X)</f>
        <v>Handbag</v>
      </c>
    </row>
    <row r="728" spans="1:2">
      <c r="A728" t="s">
        <v>2078</v>
      </c>
      <c r="B728" t="str">
        <f>_xlfn.XLOOKUP(A728,'Hướng dẫn'!AA:AA,'Hướng dẫn'!X:X)</f>
        <v>Crew neck classic</v>
      </c>
    </row>
    <row r="729" spans="1:2">
      <c r="A729" t="s">
        <v>3168</v>
      </c>
      <c r="B729" t="str">
        <f>_xlfn.XLOOKUP(A729,'Hướng dẫn'!AA:AA,'Hướng dẫn'!X:X)</f>
        <v>Coffee Bean</v>
      </c>
    </row>
    <row r="730" spans="1:2">
      <c r="A730" t="s">
        <v>2977</v>
      </c>
      <c r="B730" t="str">
        <f>_xlfn.XLOOKUP(A730,'Hướng dẫn'!AA:AA,'Hướng dẫn'!X:X)</f>
        <v>Decorative Items</v>
      </c>
    </row>
    <row r="731" spans="1:2">
      <c r="A731" t="s">
        <v>2694</v>
      </c>
      <c r="B731" t="str">
        <f>_xlfn.XLOOKUP(A731,'Hướng dẫn'!AA:AA,'Hướng dẫn'!X:X)</f>
        <v>Clutch</v>
      </c>
    </row>
    <row r="732" spans="1:2">
      <c r="A732" t="s">
        <v>2516</v>
      </c>
      <c r="B732" t="str">
        <f>_xlfn.XLOOKUP(A732,'Hướng dẫn'!AA:AA,'Hướng dẫn'!X:X)</f>
        <v>Scarf Satin Double Side Print</v>
      </c>
    </row>
    <row r="733" spans="1:2">
      <c r="A733" t="s">
        <v>2001</v>
      </c>
      <c r="B733" t="str">
        <f>_xlfn.XLOOKUP(A733,'Hướng dẫn'!AA:AA,'Hướng dẫn'!X:X)</f>
        <v>Mandarin Collar</v>
      </c>
    </row>
    <row r="734" spans="1:2">
      <c r="A734" t="s">
        <v>2078</v>
      </c>
      <c r="B734" t="str">
        <f>_xlfn.XLOOKUP(A734,'Hướng dẫn'!AA:AA,'Hướng dẫn'!X:X)</f>
        <v>Crew neck classic</v>
      </c>
    </row>
    <row r="735" spans="1:2">
      <c r="A735" t="s">
        <v>2779</v>
      </c>
      <c r="B735" t="str">
        <f>_xlfn.XLOOKUP(A735,'Hướng dẫn'!AA:AA,'Hướng dẫn'!X:X)</f>
        <v>Necklace</v>
      </c>
    </row>
    <row r="736" spans="1:2">
      <c r="A736" t="s">
        <v>2779</v>
      </c>
      <c r="B736" t="str">
        <f>_xlfn.XLOOKUP(A736,'Hướng dẫn'!AA:AA,'Hướng dẫn'!X:X)</f>
        <v>Necklace</v>
      </c>
    </row>
    <row r="737" spans="1:2">
      <c r="A737" t="s">
        <v>2001</v>
      </c>
      <c r="B737" t="str">
        <f>_xlfn.XLOOKUP(A737,'Hướng dẫn'!AA:AA,'Hướng dẫn'!X:X)</f>
        <v>Mandarin Collar</v>
      </c>
    </row>
    <row r="738" spans="1:2">
      <c r="A738" t="s">
        <v>2516</v>
      </c>
      <c r="B738" t="str">
        <f>_xlfn.XLOOKUP(A738,'Hướng dẫn'!AA:AA,'Hướng dẫn'!X:X)</f>
        <v>Scarf Satin Double Side Print</v>
      </c>
    </row>
    <row r="739" spans="1:2">
      <c r="A739" t="s">
        <v>2927</v>
      </c>
      <c r="B739" t="str">
        <f>_xlfn.XLOOKUP(A739,'Hướng dẫn'!AA:AA,'Hướng dẫn'!X:X)</f>
        <v>Eye cover</v>
      </c>
    </row>
    <row r="740" spans="1:2">
      <c r="A740" t="s">
        <v>2601</v>
      </c>
      <c r="B740" t="str">
        <f>_xlfn.XLOOKUP(A740,'Hướng dẫn'!AA:AA,'Hướng dẫn'!X:X)</f>
        <v>Handbag</v>
      </c>
    </row>
    <row r="741" spans="1:2">
      <c r="A741" t="s">
        <v>3138</v>
      </c>
      <c r="B741" t="str">
        <f>_xlfn.XLOOKUP(A741,'Hướng dẫn'!AA:AA,'Hướng dẫn'!X:X)</f>
        <v>Salt</v>
      </c>
    </row>
    <row r="742" spans="1:2">
      <c r="A742" t="s">
        <v>2078</v>
      </c>
      <c r="B742" t="str">
        <f>_xlfn.XLOOKUP(A742,'Hướng dẫn'!AA:AA,'Hướng dẫn'!X:X)</f>
        <v>Crew neck classic</v>
      </c>
    </row>
    <row r="743" spans="1:2">
      <c r="A743" t="s">
        <v>2487</v>
      </c>
      <c r="B743" t="str">
        <f>_xlfn.XLOOKUP(A743,'Hướng dẫn'!AA:AA,'Hướng dẫn'!X:X)</f>
        <v>Scarf Silk</v>
      </c>
    </row>
    <row r="744" spans="1:2">
      <c r="A744" t="s">
        <v>2901</v>
      </c>
      <c r="B744" t="str">
        <f>_xlfn.XLOOKUP(A744,'Hướng dẫn'!AA:AA,'Hướng dẫn'!X:X)</f>
        <v>ART</v>
      </c>
    </row>
    <row r="745" spans="1:2">
      <c r="A745" t="s">
        <v>2092</v>
      </c>
      <c r="B745" t="str">
        <f>_xlfn.XLOOKUP(A745,'Hướng dẫn'!AA:AA,'Hướng dẫn'!X:X)</f>
        <v>High crew neck classic</v>
      </c>
    </row>
    <row r="746" spans="1:2">
      <c r="A746" t="s">
        <v>2379</v>
      </c>
      <c r="B746" t="str">
        <f>_xlfn.XLOOKUP(A746,'Hướng dẫn'!AA:AA,'Hướng dẫn'!X:X)</f>
        <v>Slippers</v>
      </c>
    </row>
    <row r="747" spans="1:2">
      <c r="A747" t="s">
        <v>2516</v>
      </c>
      <c r="B747" t="str">
        <f>_xlfn.XLOOKUP(A747,'Hướng dẫn'!AA:AA,'Hướng dẫn'!X:X)</f>
        <v>Scarf Satin Double Side Print</v>
      </c>
    </row>
    <row r="748" spans="1:2">
      <c r="A748" t="s">
        <v>2263</v>
      </c>
      <c r="B748" t="str">
        <f>_xlfn.XLOOKUP(A748,'Hướng dẫn'!AA:AA,'Hướng dẫn'!X:X)</f>
        <v>Button Waist</v>
      </c>
    </row>
    <row r="749" spans="1:2">
      <c r="A749" t="s">
        <v>2684</v>
      </c>
      <c r="B749" t="str">
        <f>_xlfn.XLOOKUP(A749,'Hướng dẫn'!AA:AA,'Hướng dẫn'!X:X)</f>
        <v>Card Holder</v>
      </c>
    </row>
    <row r="750" spans="1:2">
      <c r="A750" t="s">
        <v>2601</v>
      </c>
      <c r="B750" t="str">
        <f>_xlfn.XLOOKUP(A750,'Hướng dẫn'!AA:AA,'Hướng dẫn'!X:X)</f>
        <v>Handbag</v>
      </c>
    </row>
    <row r="751" spans="1:2">
      <c r="A751" t="s">
        <v>2500</v>
      </c>
      <c r="B751" t="str">
        <f>_xlfn.XLOOKUP(A751,'Hướng dẫn'!AA:AA,'Hướng dẫn'!X:X)</f>
        <v>Scarf Satin Single-Sided</v>
      </c>
    </row>
    <row r="752" spans="1:2">
      <c r="A752" t="s">
        <v>2078</v>
      </c>
      <c r="B752" t="str">
        <f>_xlfn.XLOOKUP(A752,'Hướng dẫn'!AA:AA,'Hướng dẫn'!X:X)</f>
        <v>Crew neck classic</v>
      </c>
    </row>
    <row r="753" spans="1:2">
      <c r="A753" t="s">
        <v>2078</v>
      </c>
      <c r="B753" t="str">
        <f>_xlfn.XLOOKUP(A753,'Hướng dẫn'!AA:AA,'Hướng dẫn'!X:X)</f>
        <v>Crew neck classic</v>
      </c>
    </row>
    <row r="754" spans="1:2">
      <c r="A754" t="s">
        <v>2943</v>
      </c>
      <c r="B754" t="str">
        <f>_xlfn.XLOOKUP(A754,'Hướng dẫn'!AA:AA,'Hướng dẫn'!X:X)</f>
        <v>Notebook Saddle Stitched</v>
      </c>
    </row>
    <row r="755" spans="1:2">
      <c r="A755" t="s">
        <v>2233</v>
      </c>
      <c r="B755" t="str">
        <f>_xlfn.XLOOKUP(A755,'Hướng dẫn'!AA:AA,'Hướng dẫn'!X:X)</f>
        <v>Flat-Front</v>
      </c>
    </row>
    <row r="756" spans="1:2">
      <c r="A756" t="s">
        <v>2001</v>
      </c>
      <c r="B756" t="str">
        <f>_xlfn.XLOOKUP(A756,'Hướng dẫn'!AA:AA,'Hướng dẫn'!X:X)</f>
        <v>Mandarin Collar</v>
      </c>
    </row>
    <row r="757" spans="1:2">
      <c r="A757" t="s">
        <v>2442</v>
      </c>
      <c r="B757" t="str">
        <f>_xlfn.XLOOKUP(A757,'Hướng dẫn'!AA:AA,'Hướng dẫn'!X:X)</f>
        <v>Leather Shoes</v>
      </c>
    </row>
    <row r="758" spans="1:2">
      <c r="A758" t="s">
        <v>2078</v>
      </c>
      <c r="B758" t="str">
        <f>_xlfn.XLOOKUP(A758,'Hướng dẫn'!AA:AA,'Hướng dẫn'!X:X)</f>
        <v>Crew neck classic</v>
      </c>
    </row>
    <row r="759" spans="1:2">
      <c r="A759" t="s">
        <v>3127</v>
      </c>
      <c r="B759" t="str">
        <f>_xlfn.XLOOKUP(A759,'Hướng dẫn'!AA:AA,'Hướng dẫn'!X:X)</f>
        <v>Bath &amp; Body</v>
      </c>
    </row>
    <row r="760" spans="1:2">
      <c r="A760" t="s">
        <v>2977</v>
      </c>
      <c r="B760" t="str">
        <f>_xlfn.XLOOKUP(A760,'Hướng dẫn'!AA:AA,'Hướng dẫn'!X:X)</f>
        <v>Decorative Items</v>
      </c>
    </row>
    <row r="761" spans="1:2">
      <c r="A761" t="s">
        <v>2218</v>
      </c>
      <c r="B761" t="str">
        <f>_xlfn.XLOOKUP(A761,'Hướng dẫn'!AA:AA,'Hướng dẫn'!X:X)</f>
        <v>Elastic Waist</v>
      </c>
    </row>
    <row r="762" spans="1:2">
      <c r="A762" t="s">
        <v>2977</v>
      </c>
      <c r="B762" t="str">
        <f>_xlfn.XLOOKUP(A762,'Hướng dẫn'!AA:AA,'Hướng dẫn'!X:X)</f>
        <v>Decorative Items</v>
      </c>
    </row>
    <row r="763" spans="1:2">
      <c r="A763" t="s">
        <v>2078</v>
      </c>
      <c r="B763" t="str">
        <f>_xlfn.XLOOKUP(A763,'Hướng dẫn'!AA:AA,'Hướng dẫn'!X:X)</f>
        <v>Crew neck classic</v>
      </c>
    </row>
    <row r="764" spans="1:2">
      <c r="A764" t="s">
        <v>2282</v>
      </c>
      <c r="B764" t="str">
        <f>_xlfn.XLOOKUP(A764,'Hướng dẫn'!AA:AA,'Hướng dẫn'!X:X)</f>
        <v>Gin</v>
      </c>
    </row>
    <row r="765" spans="1:2">
      <c r="A765" t="s">
        <v>2516</v>
      </c>
      <c r="B765" t="str">
        <f>_xlfn.XLOOKUP(A765,'Hướng dẫn'!AA:AA,'Hướng dẫn'!X:X)</f>
        <v>Scarf Satin Double Side Print</v>
      </c>
    </row>
    <row r="766" spans="1:2">
      <c r="A766" t="s">
        <v>2078</v>
      </c>
      <c r="B766" t="str">
        <f>_xlfn.XLOOKUP(A766,'Hướng dẫn'!AA:AA,'Hướng dẫn'!X:X)</f>
        <v>Crew neck classic</v>
      </c>
    </row>
    <row r="767" spans="1:2">
      <c r="A767" t="s">
        <v>2078</v>
      </c>
      <c r="B767" t="str">
        <f>_xlfn.XLOOKUP(A767,'Hướng dẫn'!AA:AA,'Hướng dẫn'!X:X)</f>
        <v>Crew neck classic</v>
      </c>
    </row>
    <row r="768" spans="1:2">
      <c r="A768" t="s">
        <v>2078</v>
      </c>
      <c r="B768" t="str">
        <f>_xlfn.XLOOKUP(A768,'Hướng dẫn'!AA:AA,'Hướng dẫn'!X:X)</f>
        <v>Crew neck classic</v>
      </c>
    </row>
    <row r="769" spans="1:2">
      <c r="A769" t="s">
        <v>2442</v>
      </c>
      <c r="B769" t="str">
        <f>_xlfn.XLOOKUP(A769,'Hướng dẫn'!AA:AA,'Hướng dẫn'!X:X)</f>
        <v>Leather Shoes</v>
      </c>
    </row>
    <row r="770" spans="1:2">
      <c r="A770" t="s">
        <v>2516</v>
      </c>
      <c r="B770" t="str">
        <f>_xlfn.XLOOKUP(A770,'Hướng dẫn'!AA:AA,'Hướng dẫn'!X:X)</f>
        <v>Scarf Satin Double Side Print</v>
      </c>
    </row>
    <row r="771" spans="1:2">
      <c r="A771" t="s">
        <v>2218</v>
      </c>
      <c r="B771" t="str">
        <f>_xlfn.XLOOKUP(A771,'Hướng dẫn'!AA:AA,'Hướng dẫn'!X:X)</f>
        <v>Elastic Waist</v>
      </c>
    </row>
    <row r="772" spans="1:2">
      <c r="A772" t="s">
        <v>2001</v>
      </c>
      <c r="B772" t="str">
        <f>_xlfn.XLOOKUP(A772,'Hướng dẫn'!AA:AA,'Hướng dẫn'!X:X)</f>
        <v>Mandarin Collar</v>
      </c>
    </row>
    <row r="773" spans="1:2">
      <c r="A773" t="s">
        <v>2601</v>
      </c>
      <c r="B773" t="str">
        <f>_xlfn.XLOOKUP(A773,'Hướng dẫn'!AA:AA,'Hướng dẫn'!X:X)</f>
        <v>Handbag</v>
      </c>
    </row>
    <row r="774" spans="1:2">
      <c r="A774" t="s">
        <v>2218</v>
      </c>
      <c r="B774" t="str">
        <f>_xlfn.XLOOKUP(A774,'Hướng dẫn'!AA:AA,'Hướng dẫn'!X:X)</f>
        <v>Elastic Waist</v>
      </c>
    </row>
    <row r="775" spans="1:2">
      <c r="A775" t="s">
        <v>2779</v>
      </c>
      <c r="B775" t="str">
        <f>_xlfn.XLOOKUP(A775,'Hướng dẫn'!AA:AA,'Hướng dẫn'!X:X)</f>
        <v>Necklace</v>
      </c>
    </row>
    <row r="776" spans="1:2">
      <c r="A776" t="s">
        <v>2663</v>
      </c>
      <c r="B776" t="str">
        <f>_xlfn.XLOOKUP(A776,'Hướng dẫn'!AA:AA,'Hướng dẫn'!X:X)</f>
        <v>Cigar cover</v>
      </c>
    </row>
    <row r="777" spans="1:2">
      <c r="A777" t="s">
        <v>2901</v>
      </c>
      <c r="B777" t="str">
        <f>_xlfn.XLOOKUP(A777,'Hướng dẫn'!AA:AA,'Hướng dẫn'!X:X)</f>
        <v>ART</v>
      </c>
    </row>
    <row r="778" spans="1:2">
      <c r="A778" t="s">
        <v>2500</v>
      </c>
      <c r="B778" t="str">
        <f>_xlfn.XLOOKUP(A778,'Hướng dẫn'!AA:AA,'Hướng dẫn'!X:X)</f>
        <v>Scarf Satin Single-Sided</v>
      </c>
    </row>
    <row r="779" spans="1:2">
      <c r="A779" t="s">
        <v>2078</v>
      </c>
      <c r="B779" t="str">
        <f>_xlfn.XLOOKUP(A779,'Hướng dẫn'!AA:AA,'Hướng dẫn'!X:X)</f>
        <v>Crew neck classic</v>
      </c>
    </row>
    <row r="780" spans="1:2">
      <c r="A780" t="s">
        <v>2694</v>
      </c>
      <c r="B780" t="str">
        <f>_xlfn.XLOOKUP(A780,'Hướng dẫn'!AA:AA,'Hướng dẫn'!X:X)</f>
        <v>Clutch</v>
      </c>
    </row>
    <row r="781" spans="1:2">
      <c r="A781" t="s">
        <v>2516</v>
      </c>
      <c r="B781" t="str">
        <f>_xlfn.XLOOKUP(A781,'Hướng dẫn'!AA:AA,'Hướng dẫn'!X:X)</f>
        <v>Scarf Satin Double Side Print</v>
      </c>
    </row>
    <row r="782" spans="1:2">
      <c r="A782" t="s">
        <v>2779</v>
      </c>
      <c r="B782" t="str">
        <f>_xlfn.XLOOKUP(A782,'Hướng dẫn'!AA:AA,'Hướng dẫn'!X:X)</f>
        <v>Necklace</v>
      </c>
    </row>
    <row r="783" spans="1:2">
      <c r="A783" t="s">
        <v>2516</v>
      </c>
      <c r="B783" t="str">
        <f>_xlfn.XLOOKUP(A783,'Hướng dẫn'!AA:AA,'Hướng dẫn'!X:X)</f>
        <v>Scarf Satin Double Side Print</v>
      </c>
    </row>
    <row r="784" spans="1:2">
      <c r="A784" t="s">
        <v>3159</v>
      </c>
      <c r="B784" t="str">
        <f>_xlfn.XLOOKUP(A784,'Hướng dẫn'!AA:AA,'Hướng dẫn'!X:X)</f>
        <v>Coffee Powder</v>
      </c>
    </row>
    <row r="785" spans="1:2">
      <c r="A785" t="s">
        <v>2078</v>
      </c>
      <c r="B785" t="str">
        <f>_xlfn.XLOOKUP(A785,'Hướng dẫn'!AA:AA,'Hướng dẫn'!X:X)</f>
        <v>Crew neck classic</v>
      </c>
    </row>
    <row r="786" spans="1:2">
      <c r="A786" t="s">
        <v>2442</v>
      </c>
      <c r="B786" t="str">
        <f>_xlfn.XLOOKUP(A786,'Hướng dẫn'!AA:AA,'Hướng dẫn'!X:X)</f>
        <v>Leather Shoes</v>
      </c>
    </row>
    <row r="787" spans="1:2">
      <c r="A787" t="s">
        <v>2996</v>
      </c>
      <c r="B787" t="str">
        <f>_xlfn.XLOOKUP(A787,'Hướng dẫn'!AA:AA,'Hướng dẫn'!X:X)</f>
        <v>Small Accessories</v>
      </c>
    </row>
    <row r="788" spans="1:2">
      <c r="A788" t="s">
        <v>2977</v>
      </c>
      <c r="B788" t="str">
        <f>_xlfn.XLOOKUP(A788,'Hướng dẫn'!AA:AA,'Hướng dẫn'!X:X)</f>
        <v>Decorative Items</v>
      </c>
    </row>
    <row r="789" spans="1:2">
      <c r="A789" t="s">
        <v>3159</v>
      </c>
      <c r="B789" t="str">
        <f>_xlfn.XLOOKUP(A789,'Hướng dẫn'!AA:AA,'Hướng dẫn'!X:X)</f>
        <v>Coffee Powder</v>
      </c>
    </row>
    <row r="790" spans="1:2">
      <c r="A790" t="s">
        <v>2078</v>
      </c>
      <c r="B790" t="str">
        <f>_xlfn.XLOOKUP(A790,'Hướng dẫn'!AA:AA,'Hướng dẫn'!X:X)</f>
        <v>Crew neck classic</v>
      </c>
    </row>
    <row r="791" spans="1:2">
      <c r="A791" t="s">
        <v>2705</v>
      </c>
      <c r="B791" t="str">
        <f>_xlfn.XLOOKUP(A791,'Hướng dẫn'!AA:AA,'Hướng dẫn'!X:X)</f>
        <v>Wallet</v>
      </c>
    </row>
    <row r="792" spans="1:2">
      <c r="A792" t="s">
        <v>2601</v>
      </c>
      <c r="B792" t="str">
        <f>_xlfn.XLOOKUP(A792,'Hướng dẫn'!AA:AA,'Hướng dẫn'!X:X)</f>
        <v>Handbag</v>
      </c>
    </row>
    <row r="793" spans="1:2">
      <c r="A793" t="s">
        <v>2379</v>
      </c>
      <c r="B793" t="str">
        <f>_xlfn.XLOOKUP(A793,'Hướng dẫn'!AA:AA,'Hướng dẫn'!X:X)</f>
        <v>Slippers</v>
      </c>
    </row>
    <row r="794" spans="1:2">
      <c r="A794" t="s">
        <v>2779</v>
      </c>
      <c r="B794" t="str">
        <f>_xlfn.XLOOKUP(A794,'Hướng dẫn'!AA:AA,'Hướng dẫn'!X:X)</f>
        <v>Necklace</v>
      </c>
    </row>
    <row r="795" spans="1:2">
      <c r="A795" t="s">
        <v>2977</v>
      </c>
      <c r="B795" t="str">
        <f>_xlfn.XLOOKUP(A795,'Hướng dẫn'!AA:AA,'Hướng dẫn'!X:X)</f>
        <v>Decorative Items</v>
      </c>
    </row>
    <row r="796" spans="1:2">
      <c r="A796" t="s">
        <v>2694</v>
      </c>
      <c r="B796" t="str">
        <f>_xlfn.XLOOKUP(A796,'Hướng dẫn'!AA:AA,'Hướng dẫn'!X:X)</f>
        <v>Clutch</v>
      </c>
    </row>
    <row r="797" spans="1:2">
      <c r="A797" t="s">
        <v>2895</v>
      </c>
      <c r="B797" t="str">
        <f>_xlfn.XLOOKUP(A797,'Hướng dẫn'!AA:AA,'Hướng dẫn'!X:X)</f>
        <v>Hand Fan Papper</v>
      </c>
    </row>
    <row r="798" spans="1:2">
      <c r="A798" t="s">
        <v>2394</v>
      </c>
      <c r="B798" t="str">
        <f>_xlfn.XLOOKUP(A798,'Hướng dẫn'!AA:AA,'Hướng dẫn'!X:X)</f>
        <v>Sneaker</v>
      </c>
    </row>
    <row r="799" spans="1:2">
      <c r="A799" t="s">
        <v>2601</v>
      </c>
      <c r="B799" t="str">
        <f>_xlfn.XLOOKUP(A799,'Hướng dẫn'!AA:AA,'Hướng dẫn'!X:X)</f>
        <v>Handbag</v>
      </c>
    </row>
    <row r="800" spans="1:2">
      <c r="A800" t="s">
        <v>2516</v>
      </c>
      <c r="B800" t="str">
        <f>_xlfn.XLOOKUP(A800,'Hướng dẫn'!AA:AA,'Hướng dẫn'!X:X)</f>
        <v>Scarf Satin Double Side Print</v>
      </c>
    </row>
    <row r="801" spans="1:2">
      <c r="A801" t="s">
        <v>2601</v>
      </c>
      <c r="B801" t="str">
        <f>_xlfn.XLOOKUP(A801,'Hướng dẫn'!AA:AA,'Hướng dẫn'!X:X)</f>
        <v>Handbag</v>
      </c>
    </row>
    <row r="802" spans="1:2">
      <c r="A802" t="s">
        <v>2078</v>
      </c>
      <c r="B802" t="str">
        <f>_xlfn.XLOOKUP(A802,'Hướng dẫn'!AA:AA,'Hướng dẫn'!X:X)</f>
        <v>Crew neck classic</v>
      </c>
    </row>
    <row r="803" spans="1:2">
      <c r="A803" t="s">
        <v>2078</v>
      </c>
      <c r="B803" t="str">
        <f>_xlfn.XLOOKUP(A803,'Hướng dẫn'!AA:AA,'Hướng dẫn'!X:X)</f>
        <v>Crew neck classic</v>
      </c>
    </row>
    <row r="804" spans="1:2">
      <c r="A804" t="s">
        <v>2516</v>
      </c>
      <c r="B804" t="str">
        <f>_xlfn.XLOOKUP(A804,'Hướng dẫn'!AA:AA,'Hướng dẫn'!X:X)</f>
        <v>Scarf Satin Double Side Print</v>
      </c>
    </row>
    <row r="805" spans="1:2">
      <c r="A805" t="s">
        <v>2138</v>
      </c>
      <c r="B805" t="str">
        <f>_xlfn.XLOOKUP(A805,'Hướng dẫn'!AA:AA,'Hướng dẫn'!X:X)</f>
        <v>Boat Neck</v>
      </c>
    </row>
    <row r="806" spans="1:2">
      <c r="A806" t="s">
        <v>2705</v>
      </c>
      <c r="B806" t="str">
        <f>_xlfn.XLOOKUP(A806,'Hướng dẫn'!AA:AA,'Hướng dẫn'!X:X)</f>
        <v>Wallet</v>
      </c>
    </row>
    <row r="807" spans="1:2">
      <c r="A807" t="s">
        <v>3033</v>
      </c>
      <c r="B807" t="str">
        <f>_xlfn.XLOOKUP(A807,'Hướng dẫn'!AA:AA,'Hướng dẫn'!X:X)</f>
        <v>Stainless Steel</v>
      </c>
    </row>
    <row r="808" spans="1:2">
      <c r="A808" t="s">
        <v>2996</v>
      </c>
      <c r="B808" t="str">
        <f>_xlfn.XLOOKUP(A808,'Hướng dẫn'!AA:AA,'Hướng dẫn'!X:X)</f>
        <v>Small Accessories</v>
      </c>
    </row>
    <row r="809" spans="1:2">
      <c r="A809" t="s">
        <v>2996</v>
      </c>
      <c r="B809" t="str">
        <f>_xlfn.XLOOKUP(A809,'Hướng dẫn'!AA:AA,'Hướng dẫn'!X:X)</f>
        <v>Small Accessories</v>
      </c>
    </row>
    <row r="810" spans="1:2">
      <c r="A810" t="s">
        <v>2138</v>
      </c>
      <c r="B810" t="str">
        <f>_xlfn.XLOOKUP(A810,'Hướng dẫn'!AA:AA,'Hướng dẫn'!X:X)</f>
        <v>Boat Neck</v>
      </c>
    </row>
    <row r="811" spans="1:2">
      <c r="A811" t="s">
        <v>2694</v>
      </c>
      <c r="B811" t="str">
        <f>_xlfn.XLOOKUP(A811,'Hướng dẫn'!AA:AA,'Hướng dẫn'!X:X)</f>
        <v>Clutch</v>
      </c>
    </row>
    <row r="812" spans="1:2">
      <c r="A812" t="s">
        <v>2790</v>
      </c>
      <c r="B812" t="str">
        <f>_xlfn.XLOOKUP(A812,'Hướng dẫn'!AA:AA,'Hướng dẫn'!X:X)</f>
        <v>Bracelet</v>
      </c>
    </row>
    <row r="813" spans="1:2">
      <c r="A813" t="s">
        <v>3151</v>
      </c>
      <c r="B813" t="str">
        <f>_xlfn.XLOOKUP(A813,'Hướng dẫn'!AA:AA,'Hướng dẫn'!X:X)</f>
        <v>Sake</v>
      </c>
    </row>
    <row r="814" spans="1:2">
      <c r="A814" t="s">
        <v>2442</v>
      </c>
      <c r="B814" t="str">
        <f>_xlfn.XLOOKUP(A814,'Hướng dẫn'!AA:AA,'Hướng dẫn'!X:X)</f>
        <v>Leather Shoes</v>
      </c>
    </row>
    <row r="815" spans="1:2">
      <c r="A815" t="s">
        <v>2063</v>
      </c>
      <c r="B815" t="str">
        <f>_xlfn.XLOOKUP(A815,'Hướng dẫn'!AA:AA,'Hướng dẫn'!X:X)</f>
        <v>Ribban</v>
      </c>
    </row>
    <row r="816" spans="1:2">
      <c r="A816" t="s">
        <v>2218</v>
      </c>
      <c r="B816" t="str">
        <f>_xlfn.XLOOKUP(A816,'Hướng dẫn'!AA:AA,'Hướng dẫn'!X:X)</f>
        <v>Elastic Waist</v>
      </c>
    </row>
    <row r="817" spans="1:2">
      <c r="A817" t="s">
        <v>3016</v>
      </c>
      <c r="B817" t="str">
        <f>_xlfn.XLOOKUP(A817,'Hướng dẫn'!AA:AA,'Hướng dẫn'!X:X)</f>
        <v>Cushion Cover</v>
      </c>
    </row>
    <row r="818" spans="1:2">
      <c r="A818" t="s">
        <v>2779</v>
      </c>
      <c r="B818" t="str">
        <f>_xlfn.XLOOKUP(A818,'Hướng dẫn'!AA:AA,'Hướng dẫn'!X:X)</f>
        <v>Necklace</v>
      </c>
    </row>
    <row r="819" spans="1:2">
      <c r="A819" t="s">
        <v>2078</v>
      </c>
      <c r="B819" t="str">
        <f>_xlfn.XLOOKUP(A819,'Hướng dẫn'!AA:AA,'Hướng dẫn'!X:X)</f>
        <v>Crew neck classic</v>
      </c>
    </row>
    <row r="820" spans="1:2">
      <c r="A820" t="s">
        <v>2078</v>
      </c>
      <c r="B820" t="str">
        <f>_xlfn.XLOOKUP(A820,'Hướng dẫn'!AA:AA,'Hướng dẫn'!X:X)</f>
        <v>Crew neck classic</v>
      </c>
    </row>
    <row r="821" spans="1:2">
      <c r="A821" t="s">
        <v>2442</v>
      </c>
      <c r="B821" t="str">
        <f>_xlfn.XLOOKUP(A821,'Hướng dẫn'!AA:AA,'Hướng dẫn'!X:X)</f>
        <v>Leather Shoes</v>
      </c>
    </row>
    <row r="822" spans="1:2">
      <c r="A822" t="s">
        <v>2078</v>
      </c>
      <c r="B822" t="str">
        <f>_xlfn.XLOOKUP(A822,'Hướng dẫn'!AA:AA,'Hướng dẫn'!X:X)</f>
        <v>Crew neck classic</v>
      </c>
    </row>
    <row r="823" spans="1:2">
      <c r="A823" t="s">
        <v>2078</v>
      </c>
      <c r="B823" t="str">
        <f>_xlfn.XLOOKUP(A823,'Hướng dẫn'!AA:AA,'Hướng dẫn'!X:X)</f>
        <v>Crew neck classic</v>
      </c>
    </row>
    <row r="824" spans="1:2">
      <c r="A824" t="s">
        <v>2901</v>
      </c>
      <c r="B824" t="str">
        <f>_xlfn.XLOOKUP(A824,'Hướng dẫn'!AA:AA,'Hướng dẫn'!X:X)</f>
        <v>ART</v>
      </c>
    </row>
    <row r="825" spans="1:2">
      <c r="A825" t="s">
        <v>2078</v>
      </c>
      <c r="B825" t="str">
        <f>_xlfn.XLOOKUP(A825,'Hướng dẫn'!AA:AA,'Hướng dẫn'!X:X)</f>
        <v>Crew neck classic</v>
      </c>
    </row>
    <row r="826" spans="1:2">
      <c r="A826" t="s">
        <v>2001</v>
      </c>
      <c r="B826" t="str">
        <f>_xlfn.XLOOKUP(A826,'Hướng dẫn'!AA:AA,'Hướng dẫn'!X:X)</f>
        <v>Mandarin Collar</v>
      </c>
    </row>
    <row r="827" spans="1:2">
      <c r="A827" t="s">
        <v>2996</v>
      </c>
      <c r="B827" t="str">
        <f>_xlfn.XLOOKUP(A827,'Hướng dẫn'!AA:AA,'Hướng dẫn'!X:X)</f>
        <v>Small Accessories</v>
      </c>
    </row>
    <row r="828" spans="1:2">
      <c r="A828" t="s">
        <v>2949</v>
      </c>
      <c r="B828" t="str">
        <f>_xlfn.XLOOKUP(A828,'Hướng dẫn'!AA:AA,'Hướng dẫn'!X:X)</f>
        <v>Notebook Spiral Bound</v>
      </c>
    </row>
    <row r="829" spans="1:2">
      <c r="A829" t="s">
        <v>2078</v>
      </c>
      <c r="B829" t="str">
        <f>_xlfn.XLOOKUP(A829,'Hướng dẫn'!AA:AA,'Hướng dẫn'!X:X)</f>
        <v>Crew neck classic</v>
      </c>
    </row>
    <row r="830" spans="1:2">
      <c r="A830" t="s">
        <v>2092</v>
      </c>
      <c r="B830" t="str">
        <f>_xlfn.XLOOKUP(A830,'Hướng dẫn'!AA:AA,'Hướng dẫn'!X:X)</f>
        <v>High crew neck classic</v>
      </c>
    </row>
    <row r="831" spans="1:2">
      <c r="A831" t="s">
        <v>2078</v>
      </c>
      <c r="B831" t="str">
        <f>_xlfn.XLOOKUP(A831,'Hướng dẫn'!AA:AA,'Hướng dẫn'!X:X)</f>
        <v>Crew neck classic</v>
      </c>
    </row>
    <row r="832" spans="1:2">
      <c r="A832" t="s">
        <v>3043</v>
      </c>
      <c r="B832" t="str">
        <f>_xlfn.XLOOKUP(A832,'Hướng dẫn'!AA:AA,'Hướng dẫn'!X:X)</f>
        <v>Tray</v>
      </c>
    </row>
    <row r="833" spans="1:2">
      <c r="A833" t="s">
        <v>2684</v>
      </c>
      <c r="B833" t="str">
        <f>_xlfn.XLOOKUP(A833,'Hướng dẫn'!AA:AA,'Hướng dẫn'!X:X)</f>
        <v>Card Holder</v>
      </c>
    </row>
    <row r="834" spans="1:2">
      <c r="A834" t="s">
        <v>2970</v>
      </c>
      <c r="B834" t="str">
        <f>_xlfn.XLOOKUP(A834,'Hướng dẫn'!AA:AA,'Hướng dẫn'!X:X)</f>
        <v>Games</v>
      </c>
    </row>
    <row r="835" spans="1:2">
      <c r="A835" t="s">
        <v>2078</v>
      </c>
      <c r="B835" t="str">
        <f>_xlfn.XLOOKUP(A835,'Hướng dẫn'!AA:AA,'Hướng dẫn'!X:X)</f>
        <v>Crew neck classic</v>
      </c>
    </row>
    <row r="836" spans="1:2">
      <c r="A836" t="s">
        <v>2516</v>
      </c>
      <c r="B836" t="str">
        <f>_xlfn.XLOOKUP(A836,'Hướng dẫn'!AA:AA,'Hướng dẫn'!X:X)</f>
        <v>Scarf Satin Double Side Print</v>
      </c>
    </row>
    <row r="837" spans="1:2">
      <c r="A837" t="s">
        <v>2663</v>
      </c>
      <c r="B837" t="str">
        <f>_xlfn.XLOOKUP(A837,'Hướng dẫn'!AA:AA,'Hướng dẫn'!X:X)</f>
        <v>Cigar cover</v>
      </c>
    </row>
    <row r="838" spans="1:2">
      <c r="A838" t="s">
        <v>2078</v>
      </c>
      <c r="B838" t="str">
        <f>_xlfn.XLOOKUP(A838,'Hướng dẫn'!AA:AA,'Hướng dẫn'!X:X)</f>
        <v>Crew neck classic</v>
      </c>
    </row>
    <row r="839" spans="1:2">
      <c r="A839" t="s">
        <v>2303</v>
      </c>
      <c r="B839" t="str">
        <f>_xlfn.XLOOKUP(A839,'Hướng dẫn'!AA:AA,'Hướng dẫn'!X:X)</f>
        <v>Hat</v>
      </c>
    </row>
    <row r="840" spans="1:2">
      <c r="A840" t="s">
        <v>2001</v>
      </c>
      <c r="B840" t="str">
        <f>_xlfn.XLOOKUP(A840,'Hướng dẫn'!AA:AA,'Hướng dẫn'!X:X)</f>
        <v>Mandarin Collar</v>
      </c>
    </row>
    <row r="841" spans="1:2">
      <c r="A841" t="s">
        <v>2138</v>
      </c>
      <c r="B841" t="str">
        <f>_xlfn.XLOOKUP(A841,'Hướng dẫn'!AA:AA,'Hướng dẫn'!X:X)</f>
        <v>Boat Neck</v>
      </c>
    </row>
    <row r="842" spans="1:2">
      <c r="A842" t="s">
        <v>2001</v>
      </c>
      <c r="B842" t="str">
        <f>_xlfn.XLOOKUP(A842,'Hướng dẫn'!AA:AA,'Hướng dẫn'!X:X)</f>
        <v>Mandarin Collar</v>
      </c>
    </row>
    <row r="843" spans="1:2">
      <c r="A843" t="s">
        <v>2138</v>
      </c>
      <c r="B843" t="str">
        <f>_xlfn.XLOOKUP(A843,'Hướng dẫn'!AA:AA,'Hướng dẫn'!X:X)</f>
        <v>Boat Neck</v>
      </c>
    </row>
    <row r="844" spans="1:2">
      <c r="A844" t="s">
        <v>2779</v>
      </c>
      <c r="B844" t="str">
        <f>_xlfn.XLOOKUP(A844,'Hướng dẫn'!AA:AA,'Hướng dẫn'!X:X)</f>
        <v>Necklace</v>
      </c>
    </row>
    <row r="845" spans="1:2">
      <c r="A845" t="s">
        <v>2601</v>
      </c>
      <c r="B845" t="str">
        <f>_xlfn.XLOOKUP(A845,'Hướng dẫn'!AA:AA,'Hướng dẫn'!X:X)</f>
        <v>Handbag</v>
      </c>
    </row>
    <row r="846" spans="1:2">
      <c r="A846" t="s">
        <v>2078</v>
      </c>
      <c r="B846" t="str">
        <f>_xlfn.XLOOKUP(A846,'Hướng dẫn'!AA:AA,'Hướng dẫn'!X:X)</f>
        <v>Crew neck classic</v>
      </c>
    </row>
    <row r="847" spans="1:2">
      <c r="A847" t="s">
        <v>2442</v>
      </c>
      <c r="B847" t="str">
        <f>_xlfn.XLOOKUP(A847,'Hướng dẫn'!AA:AA,'Hướng dẫn'!X:X)</f>
        <v>Leather Shoes</v>
      </c>
    </row>
    <row r="848" spans="1:2">
      <c r="A848" t="s">
        <v>2917</v>
      </c>
      <c r="B848" t="str">
        <f>_xlfn.XLOOKUP(A848,'Hướng dẫn'!AA:AA,'Hướng dẫn'!X:X)</f>
        <v>Luggage tag</v>
      </c>
    </row>
    <row r="849" spans="1:2">
      <c r="A849" t="s">
        <v>2078</v>
      </c>
      <c r="B849" t="str">
        <f>_xlfn.XLOOKUP(A849,'Hướng dẫn'!AA:AA,'Hướng dẫn'!X:X)</f>
        <v>Crew neck classic</v>
      </c>
    </row>
    <row r="850" spans="1:2">
      <c r="A850" t="s">
        <v>2996</v>
      </c>
      <c r="B850" t="str">
        <f>_xlfn.XLOOKUP(A850,'Hướng dẫn'!AA:AA,'Hướng dẫn'!X:X)</f>
        <v>Small Accessories</v>
      </c>
    </row>
    <row r="851" spans="1:2">
      <c r="A851" t="s">
        <v>2329</v>
      </c>
      <c r="B851" t="str">
        <f>_xlfn.XLOOKUP(A851,'Hướng dẫn'!AA:AA,'Hướng dẫn'!X:X)</f>
        <v>Tote bag</v>
      </c>
    </row>
    <row r="852" spans="1:2">
      <c r="A852" t="s">
        <v>2516</v>
      </c>
      <c r="B852" t="str">
        <f>_xlfn.XLOOKUP(A852,'Hướng dẫn'!AA:AA,'Hướng dẫn'!X:X)</f>
        <v>Scarf Satin Double Side Print</v>
      </c>
    </row>
    <row r="853" spans="1:2">
      <c r="A853" t="s">
        <v>2001</v>
      </c>
      <c r="B853" t="str">
        <f>_xlfn.XLOOKUP(A853,'Hướng dẫn'!AA:AA,'Hướng dẫn'!X:X)</f>
        <v>Mandarin Collar</v>
      </c>
    </row>
    <row r="854" spans="1:2">
      <c r="A854" t="s">
        <v>2063</v>
      </c>
      <c r="B854" t="str">
        <f>_xlfn.XLOOKUP(A854,'Hướng dẫn'!AA:AA,'Hướng dẫn'!X:X)</f>
        <v>Ribban</v>
      </c>
    </row>
    <row r="855" spans="1:2">
      <c r="A855" t="s">
        <v>2779</v>
      </c>
      <c r="B855" t="str">
        <f>_xlfn.XLOOKUP(A855,'Hướng dẫn'!AA:AA,'Hướng dẫn'!X:X)</f>
        <v>Necklace</v>
      </c>
    </row>
    <row r="856" spans="1:2">
      <c r="A856" t="s">
        <v>2779</v>
      </c>
      <c r="B856" t="str">
        <f>_xlfn.XLOOKUP(A856,'Hướng dẫn'!AA:AA,'Hướng dẫn'!X:X)</f>
        <v>Necklace</v>
      </c>
    </row>
    <row r="857" spans="1:2">
      <c r="A857" t="s">
        <v>2442</v>
      </c>
      <c r="B857" t="str">
        <f>_xlfn.XLOOKUP(A857,'Hướng dẫn'!AA:AA,'Hướng dẫn'!X:X)</f>
        <v>Leather Shoes</v>
      </c>
    </row>
    <row r="858" spans="1:2">
      <c r="A858" t="s">
        <v>2977</v>
      </c>
      <c r="B858" t="str">
        <f>_xlfn.XLOOKUP(A858,'Hướng dẫn'!AA:AA,'Hướng dẫn'!X:X)</f>
        <v>Decorative Items</v>
      </c>
    </row>
    <row r="859" spans="1:2">
      <c r="A859" t="s">
        <v>2516</v>
      </c>
      <c r="B859" t="str">
        <f>_xlfn.XLOOKUP(A859,'Hướng dẫn'!AA:AA,'Hướng dẫn'!X:X)</f>
        <v>Scarf Satin Double Side Print</v>
      </c>
    </row>
    <row r="860" spans="1:2">
      <c r="A860" t="s">
        <v>2048</v>
      </c>
      <c r="B860" t="str">
        <f>_xlfn.XLOOKUP(A860,'Hướng dẫn'!AA:AA,'Hướng dẫn'!X:X)</f>
        <v>Button-down Collar</v>
      </c>
    </row>
    <row r="861" spans="1:2">
      <c r="A861" t="s">
        <v>2078</v>
      </c>
      <c r="B861" t="str">
        <f>_xlfn.XLOOKUP(A861,'Hướng dẫn'!AA:AA,'Hướng dẫn'!X:X)</f>
        <v>Crew neck classic</v>
      </c>
    </row>
    <row r="862" spans="1:2">
      <c r="A862" t="s">
        <v>2078</v>
      </c>
      <c r="B862" t="str">
        <f>_xlfn.XLOOKUP(A862,'Hướng dẫn'!AA:AA,'Hướng dẫn'!X:X)</f>
        <v>Crew neck classic</v>
      </c>
    </row>
    <row r="863" spans="1:2">
      <c r="A863" t="s">
        <v>2078</v>
      </c>
      <c r="B863" t="str">
        <f>_xlfn.XLOOKUP(A863,'Hướng dẫn'!AA:AA,'Hướng dẫn'!X:X)</f>
        <v>Crew neck classic</v>
      </c>
    </row>
    <row r="864" spans="1:2">
      <c r="A864" t="s">
        <v>2078</v>
      </c>
      <c r="B864" t="str">
        <f>_xlfn.XLOOKUP(A864,'Hướng dẫn'!AA:AA,'Hướng dẫn'!X:X)</f>
        <v>Crew neck classic</v>
      </c>
    </row>
    <row r="865" spans="1:2">
      <c r="A865" t="s">
        <v>2516</v>
      </c>
      <c r="B865" t="str">
        <f>_xlfn.XLOOKUP(A865,'Hướng dẫn'!AA:AA,'Hướng dẫn'!X:X)</f>
        <v>Scarf Satin Double Side Print</v>
      </c>
    </row>
    <row r="866" spans="1:2">
      <c r="A866" t="s">
        <v>2001</v>
      </c>
      <c r="B866" t="str">
        <f>_xlfn.XLOOKUP(A866,'Hướng dẫn'!AA:AA,'Hướng dẫn'!X:X)</f>
        <v>Mandarin Collar</v>
      </c>
    </row>
    <row r="867" spans="1:2">
      <c r="A867" t="s">
        <v>2078</v>
      </c>
      <c r="B867" t="str">
        <f>_xlfn.XLOOKUP(A867,'Hướng dẫn'!AA:AA,'Hướng dẫn'!X:X)</f>
        <v>Crew neck classic</v>
      </c>
    </row>
    <row r="868" spans="1:2">
      <c r="A868" t="s">
        <v>2977</v>
      </c>
      <c r="B868" t="str">
        <f>_xlfn.XLOOKUP(A868,'Hướng dẫn'!AA:AA,'Hướng dẫn'!X:X)</f>
        <v>Decorative Items</v>
      </c>
    </row>
    <row r="869" spans="1:2">
      <c r="A869" t="s">
        <v>2516</v>
      </c>
      <c r="B869" t="str">
        <f>_xlfn.XLOOKUP(A869,'Hướng dẫn'!AA:AA,'Hướng dẫn'!X:X)</f>
        <v>Scarf Satin Double Side Print</v>
      </c>
    </row>
    <row r="870" spans="1:2">
      <c r="A870" t="s">
        <v>2078</v>
      </c>
      <c r="B870" t="str">
        <f>_xlfn.XLOOKUP(A870,'Hướng dẫn'!AA:AA,'Hướng dẫn'!X:X)</f>
        <v>Crew neck classic</v>
      </c>
    </row>
    <row r="871" spans="1:2">
      <c r="A871" t="s">
        <v>2905</v>
      </c>
      <c r="B871" t="str">
        <f>_xlfn.XLOOKUP(A871,'Hướng dẫn'!AA:AA,'Hướng dẫn'!X:X)</f>
        <v>Hand Fan Satin</v>
      </c>
    </row>
    <row r="872" spans="1:2">
      <c r="A872" t="s">
        <v>2927</v>
      </c>
      <c r="B872" t="str">
        <f>_xlfn.XLOOKUP(A872,'Hướng dẫn'!AA:AA,'Hướng dẫn'!X:X)</f>
        <v>Eye cover</v>
      </c>
    </row>
    <row r="873" spans="1:2">
      <c r="A873" t="s">
        <v>2601</v>
      </c>
      <c r="B873" t="str">
        <f>_xlfn.XLOOKUP(A873,'Hướng dẫn'!AA:AA,'Hướng dẫn'!X:X)</f>
        <v>Handbag</v>
      </c>
    </row>
    <row r="874" spans="1:2">
      <c r="A874" t="s">
        <v>2610</v>
      </c>
      <c r="B874" t="str">
        <f>_xlfn.XLOOKUP(A874,'Hướng dẫn'!AA:AA,'Hướng dẫn'!X:X)</f>
        <v>Other bag</v>
      </c>
    </row>
    <row r="875" spans="1:2">
      <c r="A875" t="s">
        <v>2138</v>
      </c>
      <c r="B875" t="str">
        <f>_xlfn.XLOOKUP(A875,'Hướng dẫn'!AA:AA,'Hướng dẫn'!X:X)</f>
        <v>Boat Neck</v>
      </c>
    </row>
    <row r="876" spans="1:2">
      <c r="A876" t="s">
        <v>3123</v>
      </c>
      <c r="B876" t="str">
        <f>_xlfn.XLOOKUP(A876,'Hướng dẫn'!AA:AA,'Hướng dẫn'!X:X)</f>
        <v>Body care</v>
      </c>
    </row>
    <row r="877" spans="1:2">
      <c r="A877" t="s">
        <v>2779</v>
      </c>
      <c r="B877" t="str">
        <f>_xlfn.XLOOKUP(A877,'Hướng dẫn'!AA:AA,'Hướng dẫn'!X:X)</f>
        <v>Necklace</v>
      </c>
    </row>
    <row r="878" spans="1:2">
      <c r="A878" t="s">
        <v>2078</v>
      </c>
      <c r="B878" t="str">
        <f>_xlfn.XLOOKUP(A878,'Hướng dẫn'!AA:AA,'Hướng dẫn'!X:X)</f>
        <v>Crew neck classic</v>
      </c>
    </row>
    <row r="879" spans="1:2">
      <c r="A879" t="s">
        <v>2078</v>
      </c>
      <c r="B879" t="str">
        <f>_xlfn.XLOOKUP(A879,'Hướng dẫn'!AA:AA,'Hướng dẫn'!X:X)</f>
        <v>Crew neck classic</v>
      </c>
    </row>
    <row r="880" spans="1:2">
      <c r="A880" t="s">
        <v>2442</v>
      </c>
      <c r="B880" t="str">
        <f>_xlfn.XLOOKUP(A880,'Hướng dẫn'!AA:AA,'Hướng dẫn'!X:X)</f>
        <v>Leather Shoes</v>
      </c>
    </row>
    <row r="881" spans="1:2">
      <c r="A881" t="s">
        <v>2092</v>
      </c>
      <c r="B881" t="str">
        <f>_xlfn.XLOOKUP(A881,'Hướng dẫn'!AA:AA,'Hướng dẫn'!X:X)</f>
        <v>High crew neck classic</v>
      </c>
    </row>
    <row r="882" spans="1:2">
      <c r="A882" t="s">
        <v>2078</v>
      </c>
      <c r="B882" t="str">
        <f>_xlfn.XLOOKUP(A882,'Hướng dẫn'!AA:AA,'Hướng dẫn'!X:X)</f>
        <v>Crew neck classic</v>
      </c>
    </row>
    <row r="883" spans="1:2">
      <c r="A883" t="s">
        <v>2078</v>
      </c>
      <c r="B883" t="str">
        <f>_xlfn.XLOOKUP(A883,'Hướng dẫn'!AA:AA,'Hướng dẫn'!X:X)</f>
        <v>Crew neck classic</v>
      </c>
    </row>
    <row r="884" spans="1:2">
      <c r="A884" t="s">
        <v>2842</v>
      </c>
      <c r="B884" t="str">
        <f>_xlfn.XLOOKUP(A884,'Hướng dẫn'!AA:AA,'Hướng dẫn'!X:X)</f>
        <v>Keychains</v>
      </c>
    </row>
    <row r="885" spans="1:2">
      <c r="A885" t="s">
        <v>2379</v>
      </c>
      <c r="B885" t="str">
        <f>_xlfn.XLOOKUP(A885,'Hướng dẫn'!AA:AA,'Hướng dẫn'!X:X)</f>
        <v>Slippers</v>
      </c>
    </row>
    <row r="886" spans="1:2">
      <c r="A886" t="s">
        <v>2442</v>
      </c>
      <c r="B886" t="str">
        <f>_xlfn.XLOOKUP(A886,'Hướng dẫn'!AA:AA,'Hướng dẫn'!X:X)</f>
        <v>Leather Shoes</v>
      </c>
    </row>
    <row r="887" spans="1:2">
      <c r="A887" t="s">
        <v>3138</v>
      </c>
      <c r="B887" t="str">
        <f>_xlfn.XLOOKUP(A887,'Hướng dẫn'!AA:AA,'Hướng dẫn'!X:X)</f>
        <v>Salt</v>
      </c>
    </row>
    <row r="888" spans="1:2">
      <c r="A888" t="s">
        <v>2078</v>
      </c>
      <c r="B888" t="str">
        <f>_xlfn.XLOOKUP(A888,'Hướng dẫn'!AA:AA,'Hướng dẫn'!X:X)</f>
        <v>Crew neck classic</v>
      </c>
    </row>
    <row r="889" spans="1:2">
      <c r="A889" t="s">
        <v>2901</v>
      </c>
      <c r="B889" t="str">
        <f>_xlfn.XLOOKUP(A889,'Hướng dẫn'!AA:AA,'Hướng dẫn'!X:X)</f>
        <v>ART</v>
      </c>
    </row>
    <row r="890" spans="1:2">
      <c r="A890" t="s">
        <v>3159</v>
      </c>
      <c r="B890" t="str">
        <f>_xlfn.XLOOKUP(A890,'Hướng dẫn'!AA:AA,'Hướng dẫn'!X:X)</f>
        <v>Coffee Powder</v>
      </c>
    </row>
    <row r="891" spans="1:2">
      <c r="A891" t="s">
        <v>2779</v>
      </c>
      <c r="B891" t="str">
        <f>_xlfn.XLOOKUP(A891,'Hướng dẫn'!AA:AA,'Hướng dẫn'!X:X)</f>
        <v>Necklace</v>
      </c>
    </row>
    <row r="892" spans="1:2">
      <c r="A892" t="s">
        <v>3159</v>
      </c>
      <c r="B892" t="str">
        <f>_xlfn.XLOOKUP(A892,'Hướng dẫn'!AA:AA,'Hướng dẫn'!X:X)</f>
        <v>Coffee Powder</v>
      </c>
    </row>
    <row r="893" spans="1:2">
      <c r="A893" t="s">
        <v>2970</v>
      </c>
      <c r="B893" t="str">
        <f>_xlfn.XLOOKUP(A893,'Hướng dẫn'!AA:AA,'Hướng dẫn'!X:X)</f>
        <v>Games</v>
      </c>
    </row>
    <row r="894" spans="1:2">
      <c r="A894" t="s">
        <v>2694</v>
      </c>
      <c r="B894" t="str">
        <f>_xlfn.XLOOKUP(A894,'Hướng dẫn'!AA:AA,'Hướng dẫn'!X:X)</f>
        <v>Clutch</v>
      </c>
    </row>
    <row r="895" spans="1:2">
      <c r="A895" t="s">
        <v>2078</v>
      </c>
      <c r="B895" t="str">
        <f>_xlfn.XLOOKUP(A895,'Hướng dẫn'!AA:AA,'Hướng dẫn'!X:X)</f>
        <v>Crew neck classic</v>
      </c>
    </row>
    <row r="896" spans="1:2">
      <c r="A896" t="s">
        <v>2442</v>
      </c>
      <c r="B896" t="str">
        <f>_xlfn.XLOOKUP(A896,'Hướng dẫn'!AA:AA,'Hướng dẫn'!X:X)</f>
        <v>Leather Shoes</v>
      </c>
    </row>
    <row r="897" spans="1:2">
      <c r="A897" t="s">
        <v>2901</v>
      </c>
      <c r="B897" t="str">
        <f>_xlfn.XLOOKUP(A897,'Hướng dẫn'!AA:AA,'Hướng dẫn'!X:X)</f>
        <v>ART</v>
      </c>
    </row>
    <row r="898" spans="1:2">
      <c r="A898" t="s">
        <v>2895</v>
      </c>
      <c r="B898" t="str">
        <f>_xlfn.XLOOKUP(A898,'Hướng dẫn'!AA:AA,'Hướng dẫn'!X:X)</f>
        <v>Hand Fan Papper</v>
      </c>
    </row>
    <row r="899" spans="1:2">
      <c r="A899" t="s">
        <v>2684</v>
      </c>
      <c r="B899" t="str">
        <f>_xlfn.XLOOKUP(A899,'Hướng dẫn'!AA:AA,'Hướng dẫn'!X:X)</f>
        <v>Card Holder</v>
      </c>
    </row>
    <row r="900" spans="1:2">
      <c r="A900" t="s">
        <v>2263</v>
      </c>
      <c r="B900" t="str">
        <f>_xlfn.XLOOKUP(A900,'Hướng dẫn'!AA:AA,'Hướng dẫn'!X:X)</f>
        <v>Button Waist</v>
      </c>
    </row>
    <row r="901" spans="1:2">
      <c r="A901" t="s">
        <v>2124</v>
      </c>
      <c r="B901" t="str">
        <f>_xlfn.XLOOKUP(A901,'Hướng dẫn'!AA:AA,'Hướng dẫn'!X:X)</f>
        <v>V-neck</v>
      </c>
    </row>
    <row r="902" spans="1:2">
      <c r="A902" t="s">
        <v>2078</v>
      </c>
      <c r="B902" t="str">
        <f>_xlfn.XLOOKUP(A902,'Hướng dẫn'!AA:AA,'Hướng dẫn'!X:X)</f>
        <v>Crew neck classic</v>
      </c>
    </row>
    <row r="903" spans="1:2">
      <c r="A903" t="s">
        <v>3016</v>
      </c>
      <c r="B903" t="str">
        <f>_xlfn.XLOOKUP(A903,'Hướng dẫn'!AA:AA,'Hướng dẫn'!X:X)</f>
        <v>Cushion Cover</v>
      </c>
    </row>
    <row r="904" spans="1:2">
      <c r="A904" t="s">
        <v>2800</v>
      </c>
      <c r="B904" t="str">
        <f>_xlfn.XLOOKUP(A904,'Hướng dẫn'!AA:AA,'Hướng dẫn'!X:X)</f>
        <v>Earrings</v>
      </c>
    </row>
    <row r="905" spans="1:2">
      <c r="A905" t="s">
        <v>2800</v>
      </c>
      <c r="B905" t="str">
        <f>_xlfn.XLOOKUP(A905,'Hướng dẫn'!AA:AA,'Hướng dẫn'!X:X)</f>
        <v>Earrings</v>
      </c>
    </row>
    <row r="906" spans="1:2">
      <c r="A906" t="s">
        <v>2779</v>
      </c>
      <c r="B906" t="str">
        <f>_xlfn.XLOOKUP(A906,'Hướng dẫn'!AA:AA,'Hướng dẫn'!X:X)</f>
        <v>Necklace</v>
      </c>
    </row>
    <row r="907" spans="1:2">
      <c r="A907" t="s">
        <v>2078</v>
      </c>
      <c r="B907" t="str">
        <f>_xlfn.XLOOKUP(A907,'Hướng dẫn'!AA:AA,'Hướng dẫn'!X:X)</f>
        <v>Crew neck classic</v>
      </c>
    </row>
    <row r="908" spans="1:2">
      <c r="A908" t="s">
        <v>2078</v>
      </c>
      <c r="B908" t="str">
        <f>_xlfn.XLOOKUP(A908,'Hướng dẫn'!AA:AA,'Hướng dẫn'!X:X)</f>
        <v>Crew neck classic</v>
      </c>
    </row>
    <row r="909" spans="1:2">
      <c r="A909" t="s">
        <v>2218</v>
      </c>
      <c r="B909" t="str">
        <f>_xlfn.XLOOKUP(A909,'Hướng dẫn'!AA:AA,'Hướng dẫn'!X:X)</f>
        <v>Elastic Waist</v>
      </c>
    </row>
    <row r="910" spans="1:2">
      <c r="A910" t="s">
        <v>2684</v>
      </c>
      <c r="B910" t="str">
        <f>_xlfn.XLOOKUP(A910,'Hướng dẫn'!AA:AA,'Hướng dẫn'!X:X)</f>
        <v>Card Holder</v>
      </c>
    </row>
    <row r="911" spans="1:2">
      <c r="A911" t="s">
        <v>2977</v>
      </c>
      <c r="B911" t="str">
        <f>_xlfn.XLOOKUP(A911,'Hướng dẫn'!AA:AA,'Hướng dẫn'!X:X)</f>
        <v>Decorative Items</v>
      </c>
    </row>
    <row r="912" spans="1:2">
      <c r="A912" t="s">
        <v>2078</v>
      </c>
      <c r="B912" t="str">
        <f>_xlfn.XLOOKUP(A912,'Hướng dẫn'!AA:AA,'Hướng dẫn'!X:X)</f>
        <v>Crew neck classic</v>
      </c>
    </row>
    <row r="913" spans="1:2">
      <c r="A913" t="s">
        <v>2124</v>
      </c>
      <c r="B913" t="str">
        <f>_xlfn.XLOOKUP(A913,'Hướng dẫn'!AA:AA,'Hướng dẫn'!X:X)</f>
        <v>V-neck</v>
      </c>
    </row>
    <row r="914" spans="1:2">
      <c r="A914" t="s">
        <v>2895</v>
      </c>
      <c r="B914" t="str">
        <f>_xlfn.XLOOKUP(A914,'Hướng dẫn'!AA:AA,'Hướng dẫn'!X:X)</f>
        <v>Hand Fan Papper</v>
      </c>
    </row>
    <row r="915" spans="1:2">
      <c r="A915" t="s">
        <v>2218</v>
      </c>
      <c r="B915" t="str">
        <f>_xlfn.XLOOKUP(A915,'Hướng dẫn'!AA:AA,'Hướng dẫn'!X:X)</f>
        <v>Elastic Waist</v>
      </c>
    </row>
    <row r="916" spans="1:2">
      <c r="A916" t="s">
        <v>3016</v>
      </c>
      <c r="B916" t="str">
        <f>_xlfn.XLOOKUP(A916,'Hướng dẫn'!AA:AA,'Hướng dẫn'!X:X)</f>
        <v>Cushion Cover</v>
      </c>
    </row>
    <row r="917" spans="1:2">
      <c r="A917" t="s">
        <v>2442</v>
      </c>
      <c r="B917" t="str">
        <f>_xlfn.XLOOKUP(A917,'Hướng dẫn'!AA:AA,'Hướng dẫn'!X:X)</f>
        <v>Leather Shoes</v>
      </c>
    </row>
    <row r="918" spans="1:2">
      <c r="A918" t="s">
        <v>2218</v>
      </c>
      <c r="B918" t="str">
        <f>_xlfn.XLOOKUP(A918,'Hướng dẫn'!AA:AA,'Hướng dẫn'!X:X)</f>
        <v>Elastic Waist</v>
      </c>
    </row>
    <row r="919" spans="1:2">
      <c r="A919" t="s">
        <v>2694</v>
      </c>
      <c r="B919" t="str">
        <f>_xlfn.XLOOKUP(A919,'Hướng dẫn'!AA:AA,'Hướng dẫn'!X:X)</f>
        <v>Clutch</v>
      </c>
    </row>
    <row r="920" spans="1:2">
      <c r="A920" t="s">
        <v>2694</v>
      </c>
      <c r="B920" t="str">
        <f>_xlfn.XLOOKUP(A920,'Hướng dẫn'!AA:AA,'Hướng dẫn'!X:X)</f>
        <v>Clutch</v>
      </c>
    </row>
    <row r="921" spans="1:2">
      <c r="A921" t="s">
        <v>2078</v>
      </c>
      <c r="B921" t="str">
        <f>_xlfn.XLOOKUP(A921,'Hướng dẫn'!AA:AA,'Hướng dẫn'!X:X)</f>
        <v>Crew neck classic</v>
      </c>
    </row>
    <row r="922" spans="1:2">
      <c r="A922" t="s">
        <v>2694</v>
      </c>
      <c r="B922" t="str">
        <f>_xlfn.XLOOKUP(A922,'Hướng dẫn'!AA:AA,'Hướng dẫn'!X:X)</f>
        <v>Clutch</v>
      </c>
    </row>
    <row r="923" spans="1:2">
      <c r="A923" t="s">
        <v>3168</v>
      </c>
      <c r="B923" t="str">
        <f>_xlfn.XLOOKUP(A923,'Hướng dẫn'!AA:AA,'Hướng dẫn'!X:X)</f>
        <v>Coffee Bean</v>
      </c>
    </row>
    <row r="924" spans="1:2">
      <c r="A924" t="s">
        <v>2078</v>
      </c>
      <c r="B924" t="str">
        <f>_xlfn.XLOOKUP(A924,'Hướng dẫn'!AA:AA,'Hướng dẫn'!X:X)</f>
        <v>Crew neck classic</v>
      </c>
    </row>
    <row r="925" spans="1:2">
      <c r="A925" t="s">
        <v>2442</v>
      </c>
      <c r="B925" t="str">
        <f>_xlfn.XLOOKUP(A925,'Hướng dẫn'!AA:AA,'Hướng dẫn'!X:X)</f>
        <v>Leather Shoes</v>
      </c>
    </row>
    <row r="926" spans="1:2">
      <c r="A926" t="s">
        <v>2078</v>
      </c>
      <c r="B926" t="str">
        <f>_xlfn.XLOOKUP(A926,'Hướng dẫn'!AA:AA,'Hướng dẫn'!X:X)</f>
        <v>Crew neck classic</v>
      </c>
    </row>
    <row r="927" spans="1:2">
      <c r="A927" t="s">
        <v>2800</v>
      </c>
      <c r="B927" t="str">
        <f>_xlfn.XLOOKUP(A927,'Hướng dẫn'!AA:AA,'Hướng dẫn'!X:X)</f>
        <v>Earrings</v>
      </c>
    </row>
    <row r="928" spans="1:2">
      <c r="A928" t="s">
        <v>2516</v>
      </c>
      <c r="B928" t="str">
        <f>_xlfn.XLOOKUP(A928,'Hướng dẫn'!AA:AA,'Hướng dẫn'!X:X)</f>
        <v>Scarf Satin Double Side Print</v>
      </c>
    </row>
    <row r="929" spans="1:2">
      <c r="A929" t="s">
        <v>3127</v>
      </c>
      <c r="B929" t="str">
        <f>_xlfn.XLOOKUP(A929,'Hướng dẫn'!AA:AA,'Hướng dẫn'!X:X)</f>
        <v>Bath &amp; Body</v>
      </c>
    </row>
    <row r="930" spans="1:2">
      <c r="A930" t="s">
        <v>2138</v>
      </c>
      <c r="B930" t="str">
        <f>_xlfn.XLOOKUP(A930,'Hướng dẫn'!AA:AA,'Hướng dẫn'!X:X)</f>
        <v>Boat Neck</v>
      </c>
    </row>
    <row r="931" spans="1:2">
      <c r="A931" t="s">
        <v>3186</v>
      </c>
      <c r="B931" t="str">
        <f>_xlfn.XLOOKUP(A931,'Hướng dẫn'!AA:AA,'Hướng dẫn'!X:X)</f>
        <v>Coffee order</v>
      </c>
    </row>
    <row r="932" spans="1:2">
      <c r="A932" t="s">
        <v>2078</v>
      </c>
      <c r="B932" t="str">
        <f>_xlfn.XLOOKUP(A932,'Hướng dẫn'!AA:AA,'Hướng dẫn'!X:X)</f>
        <v>Crew neck classic</v>
      </c>
    </row>
    <row r="933" spans="1:2">
      <c r="A933" t="s">
        <v>2078</v>
      </c>
      <c r="B933" t="str">
        <f>_xlfn.XLOOKUP(A933,'Hướng dẫn'!AA:AA,'Hướng dẫn'!X:X)</f>
        <v>Crew neck classic</v>
      </c>
    </row>
    <row r="934" spans="1:2">
      <c r="A934" t="s">
        <v>2601</v>
      </c>
      <c r="B934" t="str">
        <f>_xlfn.XLOOKUP(A934,'Hướng dẫn'!AA:AA,'Hướng dẫn'!X:X)</f>
        <v>Handbag</v>
      </c>
    </row>
    <row r="935" spans="1:2">
      <c r="A935" t="s">
        <v>2516</v>
      </c>
      <c r="B935" t="str">
        <f>_xlfn.XLOOKUP(A935,'Hướng dẫn'!AA:AA,'Hướng dẫn'!X:X)</f>
        <v>Scarf Satin Double Side Print</v>
      </c>
    </row>
    <row r="936" spans="1:2">
      <c r="A936" t="s">
        <v>2779</v>
      </c>
      <c r="B936" t="str">
        <f>_xlfn.XLOOKUP(A936,'Hướng dẫn'!AA:AA,'Hướng dẫn'!X:X)</f>
        <v>Necklace</v>
      </c>
    </row>
    <row r="937" spans="1:2">
      <c r="A937" t="s">
        <v>2092</v>
      </c>
      <c r="B937" t="str">
        <f>_xlfn.XLOOKUP(A937,'Hướng dẫn'!AA:AA,'Hướng dẫn'!X:X)</f>
        <v>High crew neck classic</v>
      </c>
    </row>
    <row r="938" spans="1:2">
      <c r="A938" t="s">
        <v>2078</v>
      </c>
      <c r="B938" t="str">
        <f>_xlfn.XLOOKUP(A938,'Hướng dẫn'!AA:AA,'Hướng dẫn'!X:X)</f>
        <v>Crew neck classic</v>
      </c>
    </row>
    <row r="939" spans="1:2">
      <c r="A939" t="s">
        <v>2442</v>
      </c>
      <c r="B939" t="str">
        <f>_xlfn.XLOOKUP(A939,'Hướng dẫn'!AA:AA,'Hướng dẫn'!X:X)</f>
        <v>Leather Shoes</v>
      </c>
    </row>
    <row r="940" spans="1:2">
      <c r="A940" t="s">
        <v>2078</v>
      </c>
      <c r="B940" t="str">
        <f>_xlfn.XLOOKUP(A940,'Hướng dẫn'!AA:AA,'Hướng dẫn'!X:X)</f>
        <v>Crew neck classic</v>
      </c>
    </row>
    <row r="941" spans="1:2">
      <c r="A941" t="s">
        <v>2078</v>
      </c>
      <c r="B941" t="str">
        <f>_xlfn.XLOOKUP(A941,'Hướng dẫn'!AA:AA,'Hướng dẫn'!X:X)</f>
        <v>Crew neck classic</v>
      </c>
    </row>
    <row r="942" spans="1:2">
      <c r="A942" t="s">
        <v>2078</v>
      </c>
      <c r="B942" t="str">
        <f>_xlfn.XLOOKUP(A942,'Hướng dẫn'!AA:AA,'Hướng dẫn'!X:X)</f>
        <v>Crew neck classic</v>
      </c>
    </row>
    <row r="943" spans="1:2">
      <c r="A943" t="s">
        <v>2329</v>
      </c>
      <c r="B943" t="str">
        <f>_xlfn.XLOOKUP(A943,'Hướng dẫn'!AA:AA,'Hướng dẫn'!X:X)</f>
        <v>Tote bag</v>
      </c>
    </row>
    <row r="944" spans="1:2">
      <c r="A944" t="s">
        <v>3159</v>
      </c>
      <c r="B944" t="str">
        <f>_xlfn.XLOOKUP(A944,'Hướng dẫn'!AA:AA,'Hướng dẫn'!X:X)</f>
        <v>Coffee Powder</v>
      </c>
    </row>
    <row r="945" spans="1:2">
      <c r="A945" t="s">
        <v>2078</v>
      </c>
      <c r="B945" t="str">
        <f>_xlfn.XLOOKUP(A945,'Hướng dẫn'!AA:AA,'Hướng dẫn'!X:X)</f>
        <v>Crew neck classic</v>
      </c>
    </row>
    <row r="946" spans="1:2">
      <c r="A946" t="s">
        <v>2684</v>
      </c>
      <c r="B946" t="str">
        <f>_xlfn.XLOOKUP(A946,'Hướng dẫn'!AA:AA,'Hướng dẫn'!X:X)</f>
        <v>Card Holder</v>
      </c>
    </row>
    <row r="947" spans="1:2">
      <c r="A947" t="s">
        <v>2379</v>
      </c>
      <c r="B947" t="str">
        <f>_xlfn.XLOOKUP(A947,'Hướng dẫn'!AA:AA,'Hướng dẫn'!X:X)</f>
        <v>Slippers</v>
      </c>
    </row>
    <row r="948" spans="1:2">
      <c r="A948" t="s">
        <v>2078</v>
      </c>
      <c r="B948" t="str">
        <f>_xlfn.XLOOKUP(A948,'Hướng dẫn'!AA:AA,'Hướng dẫn'!X:X)</f>
        <v>Crew neck classic</v>
      </c>
    </row>
    <row r="949" spans="1:2">
      <c r="A949" t="s">
        <v>2694</v>
      </c>
      <c r="B949" t="str">
        <f>_xlfn.XLOOKUP(A949,'Hướng dẫn'!AA:AA,'Hướng dẫn'!X:X)</f>
        <v>Clutch</v>
      </c>
    </row>
    <row r="950" spans="1:2">
      <c r="A950" t="s">
        <v>2779</v>
      </c>
      <c r="B950" t="str">
        <f>_xlfn.XLOOKUP(A950,'Hướng dẫn'!AA:AA,'Hướng dẫn'!X:X)</f>
        <v>Necklace</v>
      </c>
    </row>
    <row r="951" spans="1:2">
      <c r="A951" t="s">
        <v>2078</v>
      </c>
      <c r="B951" t="str">
        <f>_xlfn.XLOOKUP(A951,'Hướng dẫn'!AA:AA,'Hướng dẫn'!X:X)</f>
        <v>Crew neck classic</v>
      </c>
    </row>
    <row r="952" spans="1:2">
      <c r="A952" t="s">
        <v>2442</v>
      </c>
      <c r="B952" t="str">
        <f>_xlfn.XLOOKUP(A952,'Hướng dẫn'!AA:AA,'Hướng dẫn'!X:X)</f>
        <v>Leather Shoes</v>
      </c>
    </row>
    <row r="953" spans="1:2">
      <c r="A953" t="s">
        <v>3090</v>
      </c>
      <c r="B953" t="str">
        <f>_xlfn.XLOOKUP(A953,'Hướng dẫn'!AA:AA,'Hướng dẫn'!X:X)</f>
        <v>F&amp;B Accessories</v>
      </c>
    </row>
    <row r="954" spans="1:2">
      <c r="A954" t="s">
        <v>2078</v>
      </c>
      <c r="B954" t="str">
        <f>_xlfn.XLOOKUP(A954,'Hướng dẫn'!AA:AA,'Hướng dẫn'!X:X)</f>
        <v>Crew neck classic</v>
      </c>
    </row>
    <row r="955" spans="1:2">
      <c r="A955" t="s">
        <v>2092</v>
      </c>
      <c r="B955" t="str">
        <f>_xlfn.XLOOKUP(A955,'Hướng dẫn'!AA:AA,'Hướng dẫn'!X:X)</f>
        <v>High crew neck classic</v>
      </c>
    </row>
    <row r="956" spans="1:2">
      <c r="A956" t="s">
        <v>2263</v>
      </c>
      <c r="B956" t="str">
        <f>_xlfn.XLOOKUP(A956,'Hướng dẫn'!AA:AA,'Hướng dẫn'!X:X)</f>
        <v>Button Waist</v>
      </c>
    </row>
    <row r="957" spans="1:2">
      <c r="A957" t="s">
        <v>2779</v>
      </c>
      <c r="B957" t="str">
        <f>_xlfn.XLOOKUP(A957,'Hướng dẫn'!AA:AA,'Hướng dẫn'!X:X)</f>
        <v>Necklace</v>
      </c>
    </row>
    <row r="958" spans="1:2">
      <c r="A958" t="s">
        <v>2001</v>
      </c>
      <c r="B958" t="str">
        <f>_xlfn.XLOOKUP(A958,'Hướng dẫn'!AA:AA,'Hướng dẫn'!X:X)</f>
        <v>Mandarin Collar</v>
      </c>
    </row>
    <row r="959" spans="1:2">
      <c r="A959" t="s">
        <v>2048</v>
      </c>
      <c r="B959" t="str">
        <f>_xlfn.XLOOKUP(A959,'Hướng dẫn'!AA:AA,'Hướng dẫn'!X:X)</f>
        <v>Button-down Collar</v>
      </c>
    </row>
    <row r="960" spans="1:2">
      <c r="A960" t="s">
        <v>2977</v>
      </c>
      <c r="B960" t="str">
        <f>_xlfn.XLOOKUP(A960,'Hướng dẫn'!AA:AA,'Hướng dẫn'!X:X)</f>
        <v>Decorative Items</v>
      </c>
    </row>
    <row r="961" spans="1:2">
      <c r="A961" t="s">
        <v>2694</v>
      </c>
      <c r="B961" t="str">
        <f>_xlfn.XLOOKUP(A961,'Hướng dẫn'!AA:AA,'Hướng dẫn'!X:X)</f>
        <v>Clutch</v>
      </c>
    </row>
    <row r="962" spans="1:2">
      <c r="A962" t="s">
        <v>2901</v>
      </c>
      <c r="B962" t="str">
        <f>_xlfn.XLOOKUP(A962,'Hướng dẫn'!AA:AA,'Hướng dẫn'!X:X)</f>
        <v>ART</v>
      </c>
    </row>
    <row r="963" spans="1:2">
      <c r="A963" t="s">
        <v>2684</v>
      </c>
      <c r="B963" t="str">
        <f>_xlfn.XLOOKUP(A963,'Hướng dẫn'!AA:AA,'Hướng dẫn'!X:X)</f>
        <v>Card Holder</v>
      </c>
    </row>
    <row r="964" spans="1:2">
      <c r="A964" t="s">
        <v>2800</v>
      </c>
      <c r="B964" t="str">
        <f>_xlfn.XLOOKUP(A964,'Hướng dẫn'!AA:AA,'Hướng dẫn'!X:X)</f>
        <v>Earrings</v>
      </c>
    </row>
    <row r="965" spans="1:2">
      <c r="A965" t="s">
        <v>2394</v>
      </c>
      <c r="B965" t="str">
        <f>_xlfn.XLOOKUP(A965,'Hướng dẫn'!AA:AA,'Hướng dẫn'!X:X)</f>
        <v>Sneaker</v>
      </c>
    </row>
    <row r="966" spans="1:2">
      <c r="A966" t="s">
        <v>2078</v>
      </c>
      <c r="B966" t="str">
        <f>_xlfn.XLOOKUP(A966,'Hướng dẫn'!AA:AA,'Hướng dẫn'!X:X)</f>
        <v>Crew neck classic</v>
      </c>
    </row>
    <row r="967" spans="1:2">
      <c r="A967" t="s">
        <v>2516</v>
      </c>
      <c r="B967" t="str">
        <f>_xlfn.XLOOKUP(A967,'Hướng dẫn'!AA:AA,'Hướng dẫn'!X:X)</f>
        <v>Scarf Satin Double Side Print</v>
      </c>
    </row>
    <row r="968" spans="1:2">
      <c r="A968" t="s">
        <v>2977</v>
      </c>
      <c r="B968" t="str">
        <f>_xlfn.XLOOKUP(A968,'Hướng dẫn'!AA:AA,'Hướng dẫn'!X:X)</f>
        <v>Decorative Items</v>
      </c>
    </row>
    <row r="969" spans="1:2">
      <c r="A969" t="s">
        <v>2138</v>
      </c>
      <c r="B969" t="str">
        <f>_xlfn.XLOOKUP(A969,'Hướng dẫn'!AA:AA,'Hướng dẫn'!X:X)</f>
        <v>Boat Neck</v>
      </c>
    </row>
    <row r="970" spans="1:2">
      <c r="A970" t="s">
        <v>2705</v>
      </c>
      <c r="B970" t="str">
        <f>_xlfn.XLOOKUP(A970,'Hướng dẫn'!AA:AA,'Hướng dẫn'!X:X)</f>
        <v>Wallet</v>
      </c>
    </row>
    <row r="971" spans="1:2">
      <c r="A971" t="s">
        <v>2263</v>
      </c>
      <c r="B971" t="str">
        <f>_xlfn.XLOOKUP(A971,'Hướng dẫn'!AA:AA,'Hướng dẫn'!X:X)</f>
        <v>Button Waist</v>
      </c>
    </row>
    <row r="972" spans="1:2">
      <c r="A972" t="s">
        <v>2601</v>
      </c>
      <c r="B972" t="str">
        <f>_xlfn.XLOOKUP(A972,'Hướng dẫn'!AA:AA,'Hướng dẫn'!X:X)</f>
        <v>Handbag</v>
      </c>
    </row>
    <row r="973" spans="1:2">
      <c r="A973" t="s">
        <v>2610</v>
      </c>
      <c r="B973" t="str">
        <f>_xlfn.XLOOKUP(A973,'Hướng dẫn'!AA:AA,'Hướng dẫn'!X:X)</f>
        <v>Other bag</v>
      </c>
    </row>
    <row r="974" spans="1:2">
      <c r="A974" t="s">
        <v>2078</v>
      </c>
      <c r="B974" t="str">
        <f>_xlfn.XLOOKUP(A974,'Hướng dẫn'!AA:AA,'Hướng dẫn'!X:X)</f>
        <v>Crew neck classic</v>
      </c>
    </row>
    <row r="975" spans="1:2">
      <c r="A975" t="s">
        <v>2078</v>
      </c>
      <c r="B975" t="str">
        <f>_xlfn.XLOOKUP(A975,'Hướng dẫn'!AA:AA,'Hướng dẫn'!X:X)</f>
        <v>Crew neck classic</v>
      </c>
    </row>
    <row r="976" spans="1:2">
      <c r="A976" t="s">
        <v>2500</v>
      </c>
      <c r="B976" t="str">
        <f>_xlfn.XLOOKUP(A976,'Hướng dẫn'!AA:AA,'Hướng dẫn'!X:X)</f>
        <v>Scarf Satin Single-Sided</v>
      </c>
    </row>
    <row r="977" spans="1:2">
      <c r="A977" t="s">
        <v>2970</v>
      </c>
      <c r="B977" t="str">
        <f>_xlfn.XLOOKUP(A977,'Hướng dẫn'!AA:AA,'Hướng dẫn'!X:X)</f>
        <v>Games</v>
      </c>
    </row>
    <row r="978" spans="1:2">
      <c r="A978" t="s">
        <v>2842</v>
      </c>
      <c r="B978" t="str">
        <f>_xlfn.XLOOKUP(A978,'Hướng dẫn'!AA:AA,'Hướng dẫn'!X:X)</f>
        <v>Keychains</v>
      </c>
    </row>
    <row r="979" spans="1:2">
      <c r="A979" t="s">
        <v>2694</v>
      </c>
      <c r="B979" t="str">
        <f>_xlfn.XLOOKUP(A979,'Hướng dẫn'!AA:AA,'Hướng dẫn'!X:X)</f>
        <v>Clutch</v>
      </c>
    </row>
    <row r="980" spans="1:2">
      <c r="A980" t="s">
        <v>2001</v>
      </c>
      <c r="B980" t="str">
        <f>_xlfn.XLOOKUP(A980,'Hướng dẫn'!AA:AA,'Hướng dẫn'!X:X)</f>
        <v>Mandarin Collar</v>
      </c>
    </row>
    <row r="981" spans="1:2">
      <c r="A981" t="s">
        <v>2394</v>
      </c>
      <c r="B981" t="str">
        <f>_xlfn.XLOOKUP(A981,'Hướng dẫn'!AA:AA,'Hướng dẫn'!X:X)</f>
        <v>Sneaker</v>
      </c>
    </row>
    <row r="982" spans="1:2">
      <c r="A982" t="s">
        <v>2694</v>
      </c>
      <c r="B982" t="str">
        <f>_xlfn.XLOOKUP(A982,'Hướng dẫn'!AA:AA,'Hướng dẫn'!X:X)</f>
        <v>Clutch</v>
      </c>
    </row>
    <row r="983" spans="1:2">
      <c r="A983" t="s">
        <v>2078</v>
      </c>
      <c r="B983" t="str">
        <f>_xlfn.XLOOKUP(A983,'Hướng dẫn'!AA:AA,'Hướng dẫn'!X:X)</f>
        <v>Crew neck classic</v>
      </c>
    </row>
    <row r="984" spans="1:2">
      <c r="A984" t="s">
        <v>2329</v>
      </c>
      <c r="B984" t="str">
        <f>_xlfn.XLOOKUP(A984,'Hướng dẫn'!AA:AA,'Hướng dẫn'!X:X)</f>
        <v>Tote bag</v>
      </c>
    </row>
    <row r="985" spans="1:2">
      <c r="A985" t="s">
        <v>2078</v>
      </c>
      <c r="B985" t="str">
        <f>_xlfn.XLOOKUP(A985,'Hướng dẫn'!AA:AA,'Hướng dẫn'!X:X)</f>
        <v>Crew neck classic</v>
      </c>
    </row>
    <row r="986" spans="1:2">
      <c r="A986" t="s">
        <v>3186</v>
      </c>
      <c r="B986" t="str">
        <f>_xlfn.XLOOKUP(A986,'Hướng dẫn'!AA:AA,'Hướng dẫn'!X:X)</f>
        <v>Coffee order</v>
      </c>
    </row>
    <row r="987" spans="1:2">
      <c r="A987" t="s">
        <v>2078</v>
      </c>
      <c r="B987" t="str">
        <f>_xlfn.XLOOKUP(A987,'Hướng dẫn'!AA:AA,'Hướng dẫn'!X:X)</f>
        <v>Crew neck classic</v>
      </c>
    </row>
    <row r="988" spans="1:2">
      <c r="A988" t="s">
        <v>2442</v>
      </c>
      <c r="B988" t="str">
        <f>_xlfn.XLOOKUP(A988,'Hướng dẫn'!AA:AA,'Hướng dẫn'!X:X)</f>
        <v>Leather Shoes</v>
      </c>
    </row>
    <row r="989" spans="1:2">
      <c r="A989" t="s">
        <v>2779</v>
      </c>
      <c r="B989" t="str">
        <f>_xlfn.XLOOKUP(A989,'Hướng dẫn'!AA:AA,'Hướng dẫn'!X:X)</f>
        <v>Necklace</v>
      </c>
    </row>
    <row r="990" spans="1:2">
      <c r="A990" t="s">
        <v>2078</v>
      </c>
      <c r="B990" t="str">
        <f>_xlfn.XLOOKUP(A990,'Hướng dẫn'!AA:AA,'Hướng dẫn'!X:X)</f>
        <v>Crew neck classic</v>
      </c>
    </row>
    <row r="991" spans="1:2">
      <c r="A991" t="s">
        <v>2001</v>
      </c>
      <c r="B991" t="str">
        <f>_xlfn.XLOOKUP(A991,'Hướng dẫn'!AA:AA,'Hướng dẫn'!X:X)</f>
        <v>Mandarin Collar</v>
      </c>
    </row>
    <row r="992" spans="1:2">
      <c r="A992" t="s">
        <v>2601</v>
      </c>
      <c r="B992" t="str">
        <f>_xlfn.XLOOKUP(A992,'Hướng dẫn'!AA:AA,'Hướng dẫn'!X:X)</f>
        <v>Handbag</v>
      </c>
    </row>
    <row r="993" spans="1:2">
      <c r="A993" t="s">
        <v>3123</v>
      </c>
      <c r="B993" t="str">
        <f>_xlfn.XLOOKUP(A993,'Hướng dẫn'!AA:AA,'Hướng dẫn'!X:X)</f>
        <v>Body care</v>
      </c>
    </row>
    <row r="994" spans="1:2">
      <c r="A994" t="s">
        <v>3159</v>
      </c>
      <c r="B994" t="str">
        <f>_xlfn.XLOOKUP(A994,'Hướng dẫn'!AA:AA,'Hướng dẫn'!X:X)</f>
        <v>Coffee Powder</v>
      </c>
    </row>
    <row r="995" spans="1:2">
      <c r="A995" t="s">
        <v>2092</v>
      </c>
      <c r="B995" t="str">
        <f>_xlfn.XLOOKUP(A995,'Hướng dẫn'!AA:AA,'Hướng dẫn'!X:X)</f>
        <v>High crew neck classic</v>
      </c>
    </row>
    <row r="996" spans="1:2">
      <c r="A996" t="s">
        <v>2779</v>
      </c>
      <c r="B996" t="str">
        <f>_xlfn.XLOOKUP(A996,'Hướng dẫn'!AA:AA,'Hướng dẫn'!X:X)</f>
        <v>Necklace</v>
      </c>
    </row>
    <row r="997" spans="1:2">
      <c r="A997" t="s">
        <v>2078</v>
      </c>
      <c r="B997" t="str">
        <f>_xlfn.XLOOKUP(A997,'Hướng dẫn'!AA:AA,'Hướng dẫn'!X:X)</f>
        <v>Crew neck classic</v>
      </c>
    </row>
    <row r="998" spans="1:2">
      <c r="A998" t="s">
        <v>2901</v>
      </c>
      <c r="B998" t="str">
        <f>_xlfn.XLOOKUP(A998,'Hướng dẫn'!AA:AA,'Hướng dẫn'!X:X)</f>
        <v>ART</v>
      </c>
    </row>
    <row r="999" spans="1:2">
      <c r="A999" t="s">
        <v>2684</v>
      </c>
      <c r="B999" t="str">
        <f>_xlfn.XLOOKUP(A999,'Hướng dẫn'!AA:AA,'Hướng dẫn'!X:X)</f>
        <v>Card Holder</v>
      </c>
    </row>
    <row r="1000" spans="1:2">
      <c r="A1000" t="s">
        <v>3020</v>
      </c>
      <c r="B1000" t="str">
        <f>_xlfn.XLOOKUP(A1000,'Hướng dẫn'!AA:AA,'Hướng dẫn'!X:X)</f>
        <v>Coaster</v>
      </c>
    </row>
    <row r="1001" spans="1:2">
      <c r="A1001" t="s">
        <v>2078</v>
      </c>
      <c r="B1001" t="str">
        <f>_xlfn.XLOOKUP(A1001,'Hướng dẫn'!AA:AA,'Hướng dẫn'!X:X)</f>
        <v>Crew neck classic</v>
      </c>
    </row>
    <row r="1002" spans="1:2">
      <c r="A1002" t="s">
        <v>2574</v>
      </c>
      <c r="B1002" t="str">
        <f>_xlfn.XLOOKUP(A1002,'Hướng dẫn'!AA:AA,'Hướng dẫn'!X:X)</f>
        <v>Drawstring bag</v>
      </c>
    </row>
    <row r="1003" spans="1:2">
      <c r="A1003" t="s">
        <v>2779</v>
      </c>
      <c r="B1003" t="str">
        <f>_xlfn.XLOOKUP(A1003,'Hướng dẫn'!AA:AA,'Hướng dẫn'!X:X)</f>
        <v>Necklace</v>
      </c>
    </row>
    <row r="1004" spans="1:2">
      <c r="A1004" t="s">
        <v>2684</v>
      </c>
      <c r="B1004" t="str">
        <f>_xlfn.XLOOKUP(A1004,'Hướng dẫn'!AA:AA,'Hướng dẫn'!X:X)</f>
        <v>Card Holder</v>
      </c>
    </row>
    <row r="1005" spans="1:2">
      <c r="A1005" t="s">
        <v>2078</v>
      </c>
      <c r="B1005" t="str">
        <f>_xlfn.XLOOKUP(A1005,'Hướng dẫn'!AA:AA,'Hướng dẫn'!X:X)</f>
        <v>Crew neck classic</v>
      </c>
    </row>
    <row r="1006" spans="1:2">
      <c r="A1006" t="s">
        <v>2078</v>
      </c>
      <c r="B1006" t="str">
        <f>_xlfn.XLOOKUP(A1006,'Hướng dẫn'!AA:AA,'Hướng dẫn'!X:X)</f>
        <v>Crew neck classic</v>
      </c>
    </row>
    <row r="1007" spans="1:2">
      <c r="A1007" t="s">
        <v>2138</v>
      </c>
      <c r="B1007" t="str">
        <f>_xlfn.XLOOKUP(A1007,'Hướng dẫn'!AA:AA,'Hướng dẫn'!X:X)</f>
        <v>Boat Neck</v>
      </c>
    </row>
    <row r="1008" spans="1:2">
      <c r="A1008" t="s">
        <v>2048</v>
      </c>
      <c r="B1008" t="str">
        <f>_xlfn.XLOOKUP(A1008,'Hướng dẫn'!AA:AA,'Hướng dẫn'!X:X)</f>
        <v>Button-down Collar</v>
      </c>
    </row>
    <row r="1009" spans="1:2">
      <c r="A1009" t="s">
        <v>2138</v>
      </c>
      <c r="B1009" t="str">
        <f>_xlfn.XLOOKUP(A1009,'Hướng dẫn'!AA:AA,'Hướng dẫn'!X:X)</f>
        <v>Boat Neck</v>
      </c>
    </row>
    <row r="1010" spans="1:2">
      <c r="A1010" t="s">
        <v>2078</v>
      </c>
      <c r="B1010" t="str">
        <f>_xlfn.XLOOKUP(A1010,'Hướng dẫn'!AA:AA,'Hướng dẫn'!X:X)</f>
        <v>Crew neck classic</v>
      </c>
    </row>
    <row r="1011" spans="1:2">
      <c r="A1011" t="s">
        <v>2694</v>
      </c>
      <c r="B1011" t="str">
        <f>_xlfn.XLOOKUP(A1011,'Hướng dẫn'!AA:AA,'Hướng dẫn'!X:X)</f>
        <v>Clutch</v>
      </c>
    </row>
    <row r="1012" spans="1:2">
      <c r="A1012" t="s">
        <v>2442</v>
      </c>
      <c r="B1012" t="str">
        <f>_xlfn.XLOOKUP(A1012,'Hướng dẫn'!AA:AA,'Hướng dẫn'!X:X)</f>
        <v>Leather Shoes</v>
      </c>
    </row>
    <row r="1013" spans="1:2">
      <c r="A1013" t="s">
        <v>2977</v>
      </c>
      <c r="B1013" t="str">
        <f>_xlfn.XLOOKUP(A1013,'Hướng dẫn'!AA:AA,'Hướng dẫn'!X:X)</f>
        <v>Decorative Items</v>
      </c>
    </row>
    <row r="1014" spans="1:2">
      <c r="A1014" t="s">
        <v>3081</v>
      </c>
      <c r="B1014" t="str">
        <f>_xlfn.XLOOKUP(A1014,'Hướng dẫn'!AA:AA,'Hướng dẫn'!X:X)</f>
        <v>Letter Rack</v>
      </c>
    </row>
    <row r="1015" spans="1:2">
      <c r="A1015" t="s">
        <v>3110</v>
      </c>
      <c r="B1015" t="str">
        <f>_xlfn.XLOOKUP(A1015,'Hướng dẫn'!AA:AA,'Hướng dẫn'!X:X)</f>
        <v>Soap</v>
      </c>
    </row>
    <row r="1016" spans="1:2">
      <c r="A1016" t="s">
        <v>2694</v>
      </c>
      <c r="B1016" t="str">
        <f>_xlfn.XLOOKUP(A1016,'Hướng dẫn'!AA:AA,'Hướng dẫn'!X:X)</f>
        <v>Clutch</v>
      </c>
    </row>
    <row r="1017" spans="1:2">
      <c r="A1017" t="s">
        <v>2092</v>
      </c>
      <c r="B1017" t="str">
        <f>_xlfn.XLOOKUP(A1017,'Hướng dẫn'!AA:AA,'Hướng dẫn'!X:X)</f>
        <v>High crew neck classic</v>
      </c>
    </row>
    <row r="1018" spans="1:2">
      <c r="A1018" t="s">
        <v>2943</v>
      </c>
      <c r="B1018" t="str">
        <f>_xlfn.XLOOKUP(A1018,'Hướng dẫn'!AA:AA,'Hướng dẫn'!X:X)</f>
        <v>Notebook Saddle Stitched</v>
      </c>
    </row>
    <row r="1019" spans="1:2">
      <c r="A1019" t="s">
        <v>2078</v>
      </c>
      <c r="B1019" t="str">
        <f>_xlfn.XLOOKUP(A1019,'Hướng dẫn'!AA:AA,'Hướng dẫn'!X:X)</f>
        <v>Crew neck classic</v>
      </c>
    </row>
    <row r="1020" spans="1:2">
      <c r="A1020" t="s">
        <v>2617</v>
      </c>
      <c r="B1020" t="str">
        <f>_xlfn.XLOOKUP(A1020,'Hướng dẫn'!AA:AA,'Hướng dẫn'!X:X)</f>
        <v>Crossbody bag</v>
      </c>
    </row>
    <row r="1021" spans="1:2">
      <c r="A1021" t="s">
        <v>3168</v>
      </c>
      <c r="B1021" t="str">
        <f>_xlfn.XLOOKUP(A1021,'Hướng dẫn'!AA:AA,'Hướng dẫn'!X:X)</f>
        <v>Coffee Bean</v>
      </c>
    </row>
    <row r="1022" spans="1:2">
      <c r="A1022" t="s">
        <v>3127</v>
      </c>
      <c r="B1022" t="str">
        <f>_xlfn.XLOOKUP(A1022,'Hướng dẫn'!AA:AA,'Hướng dẫn'!X:X)</f>
        <v>Bath &amp; Body</v>
      </c>
    </row>
    <row r="1023" spans="1:2">
      <c r="A1023" t="s">
        <v>2705</v>
      </c>
      <c r="B1023" t="str">
        <f>_xlfn.XLOOKUP(A1023,'Hướng dẫn'!AA:AA,'Hướng dẫn'!X:X)</f>
        <v>Wallet</v>
      </c>
    </row>
    <row r="1024" spans="1:2">
      <c r="A1024" t="s">
        <v>2516</v>
      </c>
      <c r="B1024" t="str">
        <f>_xlfn.XLOOKUP(A1024,'Hướng dẫn'!AA:AA,'Hướng dẫn'!X:X)</f>
        <v>Scarf Satin Double Side Print</v>
      </c>
    </row>
    <row r="1025" spans="1:2">
      <c r="A1025" t="s">
        <v>2233</v>
      </c>
      <c r="B1025" t="str">
        <f>_xlfn.XLOOKUP(A1025,'Hướng dẫn'!AA:AA,'Hướng dẫn'!X:X)</f>
        <v>Flat-Front</v>
      </c>
    </row>
    <row r="1026" spans="1:2">
      <c r="A1026" t="s">
        <v>2442</v>
      </c>
      <c r="B1026" t="str">
        <f>_xlfn.XLOOKUP(A1026,'Hướng dẫn'!AA:AA,'Hướng dẫn'!X:X)</f>
        <v>Leather Shoes</v>
      </c>
    </row>
    <row r="1027" spans="1:2">
      <c r="A1027" t="s">
        <v>2516</v>
      </c>
      <c r="B1027" t="str">
        <f>_xlfn.XLOOKUP(A1027,'Hướng dẫn'!AA:AA,'Hướng dẫn'!X:X)</f>
        <v>Scarf Satin Double Side Print</v>
      </c>
    </row>
    <row r="1028" spans="1:2">
      <c r="A1028" t="s">
        <v>2025</v>
      </c>
      <c r="B1028" t="str">
        <f>_xlfn.XLOOKUP(A1028,'Hướng dẫn'!AA:AA,'Hướng dẫn'!X:X)</f>
        <v>Classic Collar</v>
      </c>
    </row>
    <row r="1029" spans="1:2">
      <c r="A1029" t="s">
        <v>2425</v>
      </c>
      <c r="B1029" t="str">
        <f>_xlfn.XLOOKUP(A1029,'Hướng dẫn'!AA:AA,'Hướng dẫn'!X:X)</f>
        <v>Flats</v>
      </c>
    </row>
    <row r="1030" spans="1:2">
      <c r="A1030" t="s">
        <v>2138</v>
      </c>
      <c r="B1030" t="str">
        <f>_xlfn.XLOOKUP(A1030,'Hướng dẫn'!AA:AA,'Hướng dẫn'!X:X)</f>
        <v>Boat Neck</v>
      </c>
    </row>
    <row r="1031" spans="1:2">
      <c r="A1031" t="s">
        <v>2500</v>
      </c>
      <c r="B1031" t="str">
        <f>_xlfn.XLOOKUP(A1031,'Hướng dẫn'!AA:AA,'Hướng dẫn'!X:X)</f>
        <v>Scarf Satin Single-Sided</v>
      </c>
    </row>
    <row r="1032" spans="1:2">
      <c r="A1032" t="s">
        <v>2779</v>
      </c>
      <c r="B1032" t="str">
        <f>_xlfn.XLOOKUP(A1032,'Hướng dẫn'!AA:AA,'Hướng dẫn'!X:X)</f>
        <v>Necklace</v>
      </c>
    </row>
    <row r="1033" spans="1:2">
      <c r="A1033" t="s">
        <v>2078</v>
      </c>
      <c r="B1033" t="str">
        <f>_xlfn.XLOOKUP(A1033,'Hướng dẫn'!AA:AA,'Hướng dẫn'!X:X)</f>
        <v>Crew neck classic</v>
      </c>
    </row>
    <row r="1034" spans="1:2">
      <c r="A1034" t="s">
        <v>2705</v>
      </c>
      <c r="B1034" t="str">
        <f>_xlfn.XLOOKUP(A1034,'Hướng dẫn'!AA:AA,'Hướng dẫn'!X:X)</f>
        <v>Wallet</v>
      </c>
    </row>
    <row r="1035" spans="1:2">
      <c r="A1035" t="s">
        <v>2779</v>
      </c>
      <c r="B1035" t="str">
        <f>_xlfn.XLOOKUP(A1035,'Hướng dẫn'!AA:AA,'Hướng dẫn'!X:X)</f>
        <v>Necklace</v>
      </c>
    </row>
    <row r="1036" spans="1:2">
      <c r="A1036" t="s">
        <v>2601</v>
      </c>
      <c r="B1036" t="str">
        <f>_xlfn.XLOOKUP(A1036,'Hướng dẫn'!AA:AA,'Hướng dẫn'!X:X)</f>
        <v>Handbag</v>
      </c>
    </row>
    <row r="1037" spans="1:2">
      <c r="A1037" t="s">
        <v>2779</v>
      </c>
      <c r="B1037" t="str">
        <f>_xlfn.XLOOKUP(A1037,'Hướng dẫn'!AA:AA,'Hướng dẫn'!X:X)</f>
        <v>Necklace</v>
      </c>
    </row>
    <row r="1038" spans="1:2">
      <c r="A1038" t="s">
        <v>2516</v>
      </c>
      <c r="B1038" t="str">
        <f>_xlfn.XLOOKUP(A1038,'Hướng dẫn'!AA:AA,'Hướng dẫn'!X:X)</f>
        <v>Scarf Satin Double Side Print</v>
      </c>
    </row>
    <row r="1039" spans="1:2">
      <c r="A1039" t="s">
        <v>2601</v>
      </c>
      <c r="B1039" t="str">
        <f>_xlfn.XLOOKUP(A1039,'Hướng dẫn'!AA:AA,'Hướng dẫn'!X:X)</f>
        <v>Handbag</v>
      </c>
    </row>
    <row r="1040" spans="1:2">
      <c r="A1040" t="s">
        <v>2442</v>
      </c>
      <c r="B1040" t="str">
        <f>_xlfn.XLOOKUP(A1040,'Hướng dẫn'!AA:AA,'Hướng dẫn'!X:X)</f>
        <v>Leather Shoes</v>
      </c>
    </row>
    <row r="1041" spans="1:2">
      <c r="A1041" t="s">
        <v>2559</v>
      </c>
      <c r="B1041" t="str">
        <f>_xlfn.XLOOKUP(A1041,'Hướng dẫn'!AA:AA,'Hướng dẫn'!X:X)</f>
        <v>Ethnic Bag</v>
      </c>
    </row>
    <row r="1042" spans="1:2">
      <c r="A1042" t="s">
        <v>3159</v>
      </c>
      <c r="B1042" t="str">
        <f>_xlfn.XLOOKUP(A1042,'Hướng dẫn'!AA:AA,'Hướng dẫn'!X:X)</f>
        <v>Coffee Powder</v>
      </c>
    </row>
    <row r="1043" spans="1:2">
      <c r="A1043" t="s">
        <v>2078</v>
      </c>
      <c r="B1043" t="str">
        <f>_xlfn.XLOOKUP(A1043,'Hướng dẫn'!AA:AA,'Hướng dẫn'!X:X)</f>
        <v>Crew neck classic</v>
      </c>
    </row>
    <row r="1044" spans="1:2">
      <c r="A1044" t="s">
        <v>2694</v>
      </c>
      <c r="B1044" t="str">
        <f>_xlfn.XLOOKUP(A1044,'Hướng dẫn'!AA:AA,'Hướng dẫn'!X:X)</f>
        <v>Clutch</v>
      </c>
    </row>
    <row r="1045" spans="1:2">
      <c r="A1045" t="s">
        <v>2694</v>
      </c>
      <c r="B1045" t="str">
        <f>_xlfn.XLOOKUP(A1045,'Hướng dẫn'!AA:AA,'Hướng dẫn'!X:X)</f>
        <v>Clutch</v>
      </c>
    </row>
    <row r="1046" spans="1:2">
      <c r="A1046" t="s">
        <v>3016</v>
      </c>
      <c r="B1046" t="str">
        <f>_xlfn.XLOOKUP(A1046,'Hướng dẫn'!AA:AA,'Hướng dẫn'!X:X)</f>
        <v>Cushion Cover</v>
      </c>
    </row>
    <row r="1047" spans="1:2">
      <c r="A1047" t="s">
        <v>3177</v>
      </c>
      <c r="B1047" t="str">
        <f>_xlfn.XLOOKUP(A1047,'Hướng dẫn'!AA:AA,'Hướng dẫn'!X:X)</f>
        <v>Drip Bag Coffee</v>
      </c>
    </row>
    <row r="1048" spans="1:2">
      <c r="A1048" t="s">
        <v>2063</v>
      </c>
      <c r="B1048" t="str">
        <f>_xlfn.XLOOKUP(A1048,'Hướng dẫn'!AA:AA,'Hướng dẫn'!X:X)</f>
        <v>Ribban</v>
      </c>
    </row>
    <row r="1049" spans="1:2">
      <c r="A1049" t="s">
        <v>2078</v>
      </c>
      <c r="B1049" t="str">
        <f>_xlfn.XLOOKUP(A1049,'Hướng dẫn'!AA:AA,'Hướng dẫn'!X:X)</f>
        <v>Crew neck classic</v>
      </c>
    </row>
    <row r="1050" spans="1:2">
      <c r="A1050" t="s">
        <v>3016</v>
      </c>
      <c r="B1050" t="str">
        <f>_xlfn.XLOOKUP(A1050,'Hướng dẫn'!AA:AA,'Hướng dẫn'!X:X)</f>
        <v>Cushion Cover</v>
      </c>
    </row>
    <row r="1051" spans="1:2">
      <c r="A1051" t="s">
        <v>2779</v>
      </c>
      <c r="B1051" t="str">
        <f>_xlfn.XLOOKUP(A1051,'Hướng dẫn'!AA:AA,'Hướng dẫn'!X:X)</f>
        <v>Necklace</v>
      </c>
    </row>
    <row r="1052" spans="1:2">
      <c r="A1052" t="s">
        <v>2779</v>
      </c>
      <c r="B1052" t="str">
        <f>_xlfn.XLOOKUP(A1052,'Hướng dẫn'!AA:AA,'Hướng dẫn'!X:X)</f>
        <v>Necklace</v>
      </c>
    </row>
    <row r="1053" spans="1:2">
      <c r="A1053" t="s">
        <v>2138</v>
      </c>
      <c r="B1053" t="str">
        <f>_xlfn.XLOOKUP(A1053,'Hướng dẫn'!AA:AA,'Hướng dẫn'!X:X)</f>
        <v>Boat Neck</v>
      </c>
    </row>
    <row r="1054" spans="1:2">
      <c r="A1054" t="s">
        <v>3081</v>
      </c>
      <c r="B1054" t="str">
        <f>_xlfn.XLOOKUP(A1054,'Hướng dẫn'!AA:AA,'Hướng dẫn'!X:X)</f>
        <v>Letter Rack</v>
      </c>
    </row>
    <row r="1055" spans="1:2">
      <c r="A1055" t="s">
        <v>2924</v>
      </c>
      <c r="B1055" t="str">
        <f>_xlfn.XLOOKUP(A1055,'Hướng dẫn'!AA:AA,'Hướng dẫn'!X:X)</f>
        <v>Cosmetics</v>
      </c>
    </row>
    <row r="1056" spans="1:2">
      <c r="A1056" t="s">
        <v>2901</v>
      </c>
      <c r="B1056" t="str">
        <f>_xlfn.XLOOKUP(A1056,'Hướng dẫn'!AA:AA,'Hướng dẫn'!X:X)</f>
        <v>ART</v>
      </c>
    </row>
    <row r="1057" spans="1:2">
      <c r="A1057" t="s">
        <v>2138</v>
      </c>
      <c r="B1057" t="str">
        <f>_xlfn.XLOOKUP(A1057,'Hướng dẫn'!AA:AA,'Hướng dẫn'!X:X)</f>
        <v>Boat Neck</v>
      </c>
    </row>
    <row r="1058" spans="1:2">
      <c r="A1058" t="s">
        <v>2001</v>
      </c>
      <c r="B1058" t="str">
        <f>_xlfn.XLOOKUP(A1058,'Hướng dẫn'!AA:AA,'Hướng dẫn'!X:X)</f>
        <v>Mandarin Collar</v>
      </c>
    </row>
    <row r="1059" spans="1:2">
      <c r="A1059" t="s">
        <v>2078</v>
      </c>
      <c r="B1059" t="str">
        <f>_xlfn.XLOOKUP(A1059,'Hướng dẫn'!AA:AA,'Hướng dẫn'!X:X)</f>
        <v>Crew neck classic</v>
      </c>
    </row>
    <row r="1060" spans="1:2">
      <c r="A1060" t="s">
        <v>2048</v>
      </c>
      <c r="B1060" t="str">
        <f>_xlfn.XLOOKUP(A1060,'Hướng dẫn'!AA:AA,'Hướng dẫn'!X:X)</f>
        <v>Button-down Collar</v>
      </c>
    </row>
    <row r="1061" spans="1:2">
      <c r="A1061" t="s">
        <v>2601</v>
      </c>
      <c r="B1061" t="str">
        <f>_xlfn.XLOOKUP(A1061,'Hướng dẫn'!AA:AA,'Hướng dẫn'!X:X)</f>
        <v>Handbag</v>
      </c>
    </row>
    <row r="1062" spans="1:2">
      <c r="A1062" t="s">
        <v>2394</v>
      </c>
      <c r="B1062" t="str">
        <f>_xlfn.XLOOKUP(A1062,'Hướng dẫn'!AA:AA,'Hướng dẫn'!X:X)</f>
        <v>Sneaker</v>
      </c>
    </row>
    <row r="1063" spans="1:2">
      <c r="A1063" t="s">
        <v>2901</v>
      </c>
      <c r="B1063" t="str">
        <f>_xlfn.XLOOKUP(A1063,'Hướng dẫn'!AA:AA,'Hướng dẫn'!X:X)</f>
        <v>ART</v>
      </c>
    </row>
    <row r="1064" spans="1:2">
      <c r="A1064" t="s">
        <v>2516</v>
      </c>
      <c r="B1064" t="str">
        <f>_xlfn.XLOOKUP(A1064,'Hướng dẫn'!AA:AA,'Hướng dẫn'!X:X)</f>
        <v>Scarf Satin Double Side Print</v>
      </c>
    </row>
    <row r="1065" spans="1:2">
      <c r="A1065" t="s">
        <v>2078</v>
      </c>
      <c r="B1065" t="str">
        <f>_xlfn.XLOOKUP(A1065,'Hướng dẫn'!AA:AA,'Hướng dẫn'!X:X)</f>
        <v>Crew neck classic</v>
      </c>
    </row>
    <row r="1066" spans="1:2">
      <c r="A1066" t="s">
        <v>2379</v>
      </c>
      <c r="B1066" t="str">
        <f>_xlfn.XLOOKUP(A1066,'Hướng dẫn'!AA:AA,'Hướng dẫn'!X:X)</f>
        <v>Slippers</v>
      </c>
    </row>
    <row r="1067" spans="1:2">
      <c r="A1067" t="s">
        <v>2218</v>
      </c>
      <c r="B1067" t="str">
        <f>_xlfn.XLOOKUP(A1067,'Hướng dẫn'!AA:AA,'Hướng dẫn'!X:X)</f>
        <v>Elastic Waist</v>
      </c>
    </row>
    <row r="1068" spans="1:2">
      <c r="A1068" t="s">
        <v>2442</v>
      </c>
      <c r="B1068" t="str">
        <f>_xlfn.XLOOKUP(A1068,'Hướng dẫn'!AA:AA,'Hướng dẫn'!X:X)</f>
        <v>Leather Shoes</v>
      </c>
    </row>
    <row r="1069" spans="1:2">
      <c r="A1069" t="s">
        <v>2025</v>
      </c>
      <c r="B1069" t="str">
        <f>_xlfn.XLOOKUP(A1069,'Hướng dẫn'!AA:AA,'Hướng dẫn'!X:X)</f>
        <v>Classic Collar</v>
      </c>
    </row>
    <row r="1070" spans="1:2">
      <c r="A1070" t="s">
        <v>2705</v>
      </c>
      <c r="B1070" t="str">
        <f>_xlfn.XLOOKUP(A1070,'Hướng dẫn'!AA:AA,'Hướng dẫn'!X:X)</f>
        <v>Wallet</v>
      </c>
    </row>
    <row r="1071" spans="1:2">
      <c r="A1071" t="s">
        <v>2516</v>
      </c>
      <c r="B1071" t="str">
        <f>_xlfn.XLOOKUP(A1071,'Hướng dẫn'!AA:AA,'Hướng dẫn'!X:X)</f>
        <v>Scarf Satin Double Side Print</v>
      </c>
    </row>
    <row r="1072" spans="1:2">
      <c r="A1072" t="s">
        <v>2901</v>
      </c>
      <c r="B1072" t="str">
        <f>_xlfn.XLOOKUP(A1072,'Hướng dẫn'!AA:AA,'Hướng dẫn'!X:X)</f>
        <v>ART</v>
      </c>
    </row>
    <row r="1073" spans="1:2">
      <c r="A1073" t="s">
        <v>2779</v>
      </c>
      <c r="B1073" t="str">
        <f>_xlfn.XLOOKUP(A1073,'Hướng dẫn'!AA:AA,'Hướng dẫn'!X:X)</f>
        <v>Necklace</v>
      </c>
    </row>
    <row r="1074" spans="1:2">
      <c r="A1074" t="s">
        <v>2601</v>
      </c>
      <c r="B1074" t="str">
        <f>_xlfn.XLOOKUP(A1074,'Hướng dẫn'!AA:AA,'Hướng dẫn'!X:X)</f>
        <v>Handbag</v>
      </c>
    </row>
    <row r="1075" spans="1:2">
      <c r="A1075" t="s">
        <v>2394</v>
      </c>
      <c r="B1075" t="str">
        <f>_xlfn.XLOOKUP(A1075,'Hướng dẫn'!AA:AA,'Hướng dẫn'!X:X)</f>
        <v>Sneaker</v>
      </c>
    </row>
    <row r="1076" spans="1:2">
      <c r="A1076" t="s">
        <v>2779</v>
      </c>
      <c r="B1076" t="str">
        <f>_xlfn.XLOOKUP(A1076,'Hướng dẫn'!AA:AA,'Hướng dẫn'!X:X)</f>
        <v>Necklace</v>
      </c>
    </row>
    <row r="1077" spans="1:2">
      <c r="A1077" t="s">
        <v>2779</v>
      </c>
      <c r="B1077" t="str">
        <f>_xlfn.XLOOKUP(A1077,'Hướng dẫn'!AA:AA,'Hướng dẫn'!X:X)</f>
        <v>Necklace</v>
      </c>
    </row>
    <row r="1078" spans="1:2">
      <c r="A1078" t="s">
        <v>2218</v>
      </c>
      <c r="B1078" t="str">
        <f>_xlfn.XLOOKUP(A1078,'Hướng dẫn'!AA:AA,'Hướng dẫn'!X:X)</f>
        <v>Elastic Waist</v>
      </c>
    </row>
    <row r="1079" spans="1:2">
      <c r="A1079" t="s">
        <v>2078</v>
      </c>
      <c r="B1079" t="str">
        <f>_xlfn.XLOOKUP(A1079,'Hướng dẫn'!AA:AA,'Hướng dẫn'!X:X)</f>
        <v>Crew neck classic</v>
      </c>
    </row>
    <row r="1080" spans="1:2">
      <c r="A1080" t="s">
        <v>2779</v>
      </c>
      <c r="B1080" t="str">
        <f>_xlfn.XLOOKUP(A1080,'Hướng dẫn'!AA:AA,'Hướng dẫn'!X:X)</f>
        <v>Necklace</v>
      </c>
    </row>
    <row r="1081" spans="1:2">
      <c r="A1081" t="s">
        <v>2779</v>
      </c>
      <c r="B1081" t="str">
        <f>_xlfn.XLOOKUP(A1081,'Hướng dẫn'!AA:AA,'Hướng dẫn'!X:X)</f>
        <v>Necklace</v>
      </c>
    </row>
    <row r="1082" spans="1:2">
      <c r="A1082" t="s">
        <v>2748</v>
      </c>
      <c r="B1082" t="str">
        <f>_xlfn.XLOOKUP(A1082,'Hướng dẫn'!AA:AA,'Hướng dẫn'!X:X)</f>
        <v>Cosmetic Bag</v>
      </c>
    </row>
    <row r="1083" spans="1:2">
      <c r="A1083" t="s">
        <v>2601</v>
      </c>
      <c r="B1083" t="str">
        <f>_xlfn.XLOOKUP(A1083,'Hướng dẫn'!AA:AA,'Hướng dẫn'!X:X)</f>
        <v>Handbag</v>
      </c>
    </row>
    <row r="1084" spans="1:2">
      <c r="A1084" t="s">
        <v>2078</v>
      </c>
      <c r="B1084" t="str">
        <f>_xlfn.XLOOKUP(A1084,'Hướng dẫn'!AA:AA,'Hướng dẫn'!X:X)</f>
        <v>Crew neck classic</v>
      </c>
    </row>
    <row r="1085" spans="1:2">
      <c r="A1085" t="s">
        <v>2124</v>
      </c>
      <c r="B1085" t="str">
        <f>_xlfn.XLOOKUP(A1085,'Hướng dẫn'!AA:AA,'Hướng dẫn'!X:X)</f>
        <v>V-neck</v>
      </c>
    </row>
    <row r="1086" spans="1:2">
      <c r="A1086" t="s">
        <v>2684</v>
      </c>
      <c r="B1086" t="str">
        <f>_xlfn.XLOOKUP(A1086,'Hướng dẫn'!AA:AA,'Hướng dẫn'!X:X)</f>
        <v>Card Holder</v>
      </c>
    </row>
    <row r="1087" spans="1:2">
      <c r="A1087" t="s">
        <v>2684</v>
      </c>
      <c r="B1087" t="str">
        <f>_xlfn.XLOOKUP(A1087,'Hướng dẫn'!AA:AA,'Hướng dẫn'!X:X)</f>
        <v>Card Holder</v>
      </c>
    </row>
    <row r="1088" spans="1:2">
      <c r="A1088" t="s">
        <v>2694</v>
      </c>
      <c r="B1088" t="str">
        <f>_xlfn.XLOOKUP(A1088,'Hướng dẫn'!AA:AA,'Hướng dẫn'!X:X)</f>
        <v>Clutch</v>
      </c>
    </row>
    <row r="1089" spans="1:2">
      <c r="A1089" t="s">
        <v>2078</v>
      </c>
      <c r="B1089" t="str">
        <f>_xlfn.XLOOKUP(A1089,'Hướng dẫn'!AA:AA,'Hướng dẫn'!X:X)</f>
        <v>Crew neck classic</v>
      </c>
    </row>
    <row r="1090" spans="1:2">
      <c r="A1090" t="s">
        <v>2078</v>
      </c>
      <c r="B1090" t="str">
        <f>_xlfn.XLOOKUP(A1090,'Hướng dẫn'!AA:AA,'Hướng dẫn'!X:X)</f>
        <v>Crew neck classic</v>
      </c>
    </row>
    <row r="1091" spans="1:2">
      <c r="A1091" t="s">
        <v>2937</v>
      </c>
      <c r="B1091" t="str">
        <f>_xlfn.XLOOKUP(A1091,'Hướng dẫn'!AA:AA,'Hướng dẫn'!X:X)</f>
        <v>Mug</v>
      </c>
    </row>
    <row r="1092" spans="1:2">
      <c r="A1092" t="s">
        <v>2379</v>
      </c>
      <c r="B1092" t="str">
        <f>_xlfn.XLOOKUP(A1092,'Hướng dẫn'!AA:AA,'Hướng dẫn'!X:X)</f>
        <v>Slippers</v>
      </c>
    </row>
    <row r="1093" spans="1:2">
      <c r="A1093" t="s">
        <v>2078</v>
      </c>
      <c r="B1093" t="str">
        <f>_xlfn.XLOOKUP(A1093,'Hướng dẫn'!AA:AA,'Hướng dẫn'!X:X)</f>
        <v>Crew neck classic</v>
      </c>
    </row>
    <row r="1094" spans="1:2">
      <c r="A1094" t="s">
        <v>2078</v>
      </c>
      <c r="B1094" t="str">
        <f>_xlfn.XLOOKUP(A1094,'Hướng dẫn'!AA:AA,'Hướng dẫn'!X:X)</f>
        <v>Crew neck classic</v>
      </c>
    </row>
    <row r="1095" spans="1:2">
      <c r="A1095" t="s">
        <v>2078</v>
      </c>
      <c r="B1095" t="str">
        <f>_xlfn.XLOOKUP(A1095,'Hướng dẫn'!AA:AA,'Hướng dẫn'!X:X)</f>
        <v>Crew neck classic</v>
      </c>
    </row>
    <row r="1096" spans="1:2">
      <c r="A1096" t="s">
        <v>2138</v>
      </c>
      <c r="B1096" t="str">
        <f>_xlfn.XLOOKUP(A1096,'Hướng dẫn'!AA:AA,'Hướng dẫn'!X:X)</f>
        <v>Boat Neck</v>
      </c>
    </row>
    <row r="1097" spans="1:2">
      <c r="A1097" t="s">
        <v>2949</v>
      </c>
      <c r="B1097" t="str">
        <f>_xlfn.XLOOKUP(A1097,'Hướng dẫn'!AA:AA,'Hướng dẫn'!X:X)</f>
        <v>Notebook Spiral Bound</v>
      </c>
    </row>
    <row r="1098" spans="1:2">
      <c r="A1098" t="s">
        <v>2394</v>
      </c>
      <c r="B1098" t="str">
        <f>_xlfn.XLOOKUP(A1098,'Hướng dẫn'!AA:AA,'Hướng dẫn'!X:X)</f>
        <v>Sneaker</v>
      </c>
    </row>
    <row r="1099" spans="1:2">
      <c r="A1099" t="s">
        <v>2078</v>
      </c>
      <c r="B1099" t="str">
        <f>_xlfn.XLOOKUP(A1099,'Hướng dẫn'!AA:AA,'Hướng dẫn'!X:X)</f>
        <v>Crew neck classic</v>
      </c>
    </row>
    <row r="1100" spans="1:2">
      <c r="A1100" t="s">
        <v>2138</v>
      </c>
      <c r="B1100" t="str">
        <f>_xlfn.XLOOKUP(A1100,'Hướng dẫn'!AA:AA,'Hướng dẫn'!X:X)</f>
        <v>Boat Neck</v>
      </c>
    </row>
    <row r="1101" spans="1:2">
      <c r="A1101" t="s">
        <v>2684</v>
      </c>
      <c r="B1101" t="str">
        <f>_xlfn.XLOOKUP(A1101,'Hướng dẫn'!AA:AA,'Hướng dẫn'!X:X)</f>
        <v>Card Holder</v>
      </c>
    </row>
    <row r="1102" spans="1:2">
      <c r="A1102" t="s">
        <v>2943</v>
      </c>
      <c r="B1102" t="str">
        <f>_xlfn.XLOOKUP(A1102,'Hướng dẫn'!AA:AA,'Hướng dẫn'!X:X)</f>
        <v>Notebook Saddle Stitched</v>
      </c>
    </row>
    <row r="1103" spans="1:2">
      <c r="A1103" t="s">
        <v>2124</v>
      </c>
      <c r="B1103" t="str">
        <f>_xlfn.XLOOKUP(A1103,'Hướng dẫn'!AA:AA,'Hướng dẫn'!X:X)</f>
        <v>V-neck</v>
      </c>
    </row>
    <row r="1104" spans="1:2">
      <c r="A1104" t="s">
        <v>2779</v>
      </c>
      <c r="B1104" t="str">
        <f>_xlfn.XLOOKUP(A1104,'Hướng dẫn'!AA:AA,'Hướng dẫn'!X:X)</f>
        <v>Necklace</v>
      </c>
    </row>
    <row r="1105" spans="1:2">
      <c r="A1105" t="s">
        <v>2779</v>
      </c>
      <c r="B1105" t="str">
        <f>_xlfn.XLOOKUP(A1105,'Hướng dẫn'!AA:AA,'Hướng dẫn'!X:X)</f>
        <v>Necklace</v>
      </c>
    </row>
    <row r="1106" spans="1:2">
      <c r="A1106" t="s">
        <v>2790</v>
      </c>
      <c r="B1106" t="str">
        <f>_xlfn.XLOOKUP(A1106,'Hướng dẫn'!AA:AA,'Hướng dẫn'!X:X)</f>
        <v>Bracelet</v>
      </c>
    </row>
    <row r="1107" spans="1:2">
      <c r="A1107" t="s">
        <v>2282</v>
      </c>
      <c r="B1107" t="str">
        <f>_xlfn.XLOOKUP(A1107,'Hướng dẫn'!AA:AA,'Hướng dẫn'!X:X)</f>
        <v>Gin</v>
      </c>
    </row>
    <row r="1108" spans="1:2">
      <c r="A1108" t="s">
        <v>2078</v>
      </c>
      <c r="B1108" t="str">
        <f>_xlfn.XLOOKUP(A1108,'Hướng dẫn'!AA:AA,'Hướng dẫn'!X:X)</f>
        <v>Crew neck classic</v>
      </c>
    </row>
    <row r="1109" spans="1:2">
      <c r="A1109" t="s">
        <v>2617</v>
      </c>
      <c r="B1109" t="str">
        <f>_xlfn.XLOOKUP(A1109,'Hướng dẫn'!AA:AA,'Hướng dẫn'!X:X)</f>
        <v>Crossbody bag</v>
      </c>
    </row>
    <row r="1110" spans="1:2">
      <c r="A1110" t="s">
        <v>2078</v>
      </c>
      <c r="B1110" t="str">
        <f>_xlfn.XLOOKUP(A1110,'Hướng dẫn'!AA:AA,'Hướng dẫn'!X:X)</f>
        <v>Crew neck classic</v>
      </c>
    </row>
    <row r="1111" spans="1:2">
      <c r="A1111" t="s">
        <v>2264</v>
      </c>
      <c r="B1111" t="str">
        <f>_xlfn.XLOOKUP(A1111,'Hướng dẫn'!AA:AA,'Hướng dẫn'!X:X)</f>
        <v>Bow Scrunchie</v>
      </c>
    </row>
    <row r="1112" spans="1:2">
      <c r="A1112" t="s">
        <v>2290</v>
      </c>
      <c r="B1112" t="str">
        <f>_xlfn.XLOOKUP(A1112,'Hướng dẫn'!AA:AA,'Hướng dẫn'!X:X)</f>
        <v>Caps</v>
      </c>
    </row>
    <row r="1113" spans="1:2">
      <c r="A1113" t="s">
        <v>2078</v>
      </c>
      <c r="B1113" t="str">
        <f>_xlfn.XLOOKUP(A1113,'Hướng dẫn'!AA:AA,'Hướng dẫn'!X:X)</f>
        <v>Crew neck classic</v>
      </c>
    </row>
    <row r="1114" spans="1:2">
      <c r="A1114" t="s">
        <v>2078</v>
      </c>
      <c r="B1114" t="str">
        <f>_xlfn.XLOOKUP(A1114,'Hướng dẫn'!AA:AA,'Hướng dẫn'!X:X)</f>
        <v>Crew neck classic</v>
      </c>
    </row>
    <row r="1115" spans="1:2">
      <c r="A1115" t="s">
        <v>2092</v>
      </c>
      <c r="B1115" t="str">
        <f>_xlfn.XLOOKUP(A1115,'Hướng dẫn'!AA:AA,'Hướng dẫn'!X:X)</f>
        <v>High crew neck classic</v>
      </c>
    </row>
    <row r="1116" spans="1:2">
      <c r="A1116" t="s">
        <v>2078</v>
      </c>
      <c r="B1116" t="str">
        <f>_xlfn.XLOOKUP(A1116,'Hướng dẫn'!AA:AA,'Hướng dẫn'!X:X)</f>
        <v>Crew neck classic</v>
      </c>
    </row>
    <row r="1117" spans="1:2">
      <c r="A1117" t="s">
        <v>3168</v>
      </c>
      <c r="B1117" t="str">
        <f>_xlfn.XLOOKUP(A1117,'Hướng dẫn'!AA:AA,'Hướng dẫn'!X:X)</f>
        <v>Coffee Bean</v>
      </c>
    </row>
    <row r="1118" spans="1:2">
      <c r="A1118" t="s">
        <v>2078</v>
      </c>
      <c r="B1118" t="str">
        <f>_xlfn.XLOOKUP(A1118,'Hướng dẫn'!AA:AA,'Hướng dẫn'!X:X)</f>
        <v>Crew neck classic</v>
      </c>
    </row>
    <row r="1119" spans="1:2">
      <c r="A1119" t="s">
        <v>2684</v>
      </c>
      <c r="B1119" t="str">
        <f>_xlfn.XLOOKUP(A1119,'Hướng dẫn'!AA:AA,'Hướng dẫn'!X:X)</f>
        <v>Card Holder</v>
      </c>
    </row>
    <row r="1120" spans="1:2">
      <c r="A1120" t="s">
        <v>2977</v>
      </c>
      <c r="B1120" t="str">
        <f>_xlfn.XLOOKUP(A1120,'Hướng dẫn'!AA:AA,'Hướng dẫn'!X:X)</f>
        <v>Decorative Items</v>
      </c>
    </row>
    <row r="1121" spans="1:2">
      <c r="A1121" t="s">
        <v>2078</v>
      </c>
      <c r="B1121" t="str">
        <f>_xlfn.XLOOKUP(A1121,'Hướng dẫn'!AA:AA,'Hướng dẫn'!X:X)</f>
        <v>Crew neck classic</v>
      </c>
    </row>
    <row r="1122" spans="1:2">
      <c r="A1122" t="s">
        <v>2950</v>
      </c>
      <c r="B1122" t="str">
        <f>_xlfn.XLOOKUP(A1122,'Hướng dẫn'!AA:AA,'Hướng dẫn'!X:X)</f>
        <v>Notebook Perfect Bound</v>
      </c>
    </row>
    <row r="1123" spans="1:2">
      <c r="A1123" t="s">
        <v>2078</v>
      </c>
      <c r="B1123" t="str">
        <f>_xlfn.XLOOKUP(A1123,'Hướng dẫn'!AA:AA,'Hướng dẫn'!X:X)</f>
        <v>Crew neck classic</v>
      </c>
    </row>
    <row r="1124" spans="1:2">
      <c r="A1124" t="s">
        <v>2643</v>
      </c>
      <c r="B1124" t="str">
        <f>_xlfn.XLOOKUP(A1124,'Hướng dẫn'!AA:AA,'Hướng dẫn'!X:X)</f>
        <v>Shoulder bag</v>
      </c>
    </row>
    <row r="1125" spans="1:2">
      <c r="A1125" t="s">
        <v>2078</v>
      </c>
      <c r="B1125" t="str">
        <f>_xlfn.XLOOKUP(A1125,'Hướng dẫn'!AA:AA,'Hướng dẫn'!X:X)</f>
        <v>Crew neck classic</v>
      </c>
    </row>
    <row r="1126" spans="1:2">
      <c r="A1126" t="s">
        <v>2842</v>
      </c>
      <c r="B1126" t="str">
        <f>_xlfn.XLOOKUP(A1126,'Hướng dẫn'!AA:AA,'Hướng dẫn'!X:X)</f>
        <v>Keychains</v>
      </c>
    </row>
    <row r="1127" spans="1:2">
      <c r="A1127" t="s">
        <v>2694</v>
      </c>
      <c r="B1127" t="str">
        <f>_xlfn.XLOOKUP(A1127,'Hướng dẫn'!AA:AA,'Hướng dẫn'!X:X)</f>
        <v>Clutch</v>
      </c>
    </row>
    <row r="1128" spans="1:2">
      <c r="A1128" t="s">
        <v>2394</v>
      </c>
      <c r="B1128" t="str">
        <f>_xlfn.XLOOKUP(A1128,'Hướng dẫn'!AA:AA,'Hướng dẫn'!X:X)</f>
        <v>Sneaker</v>
      </c>
    </row>
    <row r="1129" spans="1:2">
      <c r="A1129" t="s">
        <v>2516</v>
      </c>
      <c r="B1129" t="str">
        <f>_xlfn.XLOOKUP(A1129,'Hướng dẫn'!AA:AA,'Hướng dẫn'!X:X)</f>
        <v>Scarf Satin Double Side Print</v>
      </c>
    </row>
    <row r="1130" spans="1:2">
      <c r="A1130" t="s">
        <v>2516</v>
      </c>
      <c r="B1130" t="str">
        <f>_xlfn.XLOOKUP(A1130,'Hướng dẫn'!AA:AA,'Hướng dẫn'!X:X)</f>
        <v>Scarf Satin Double Side Print</v>
      </c>
    </row>
    <row r="1131" spans="1:2">
      <c r="A1131" t="s">
        <v>2078</v>
      </c>
      <c r="B1131" t="str">
        <f>_xlfn.XLOOKUP(A1131,'Hướng dẫn'!AA:AA,'Hướng dẫn'!X:X)</f>
        <v>Crew neck classic</v>
      </c>
    </row>
    <row r="1132" spans="1:2">
      <c r="A1132" t="s">
        <v>2442</v>
      </c>
      <c r="B1132" t="str">
        <f>_xlfn.XLOOKUP(A1132,'Hướng dẫn'!AA:AA,'Hướng dẫn'!X:X)</f>
        <v>Leather Shoes</v>
      </c>
    </row>
    <row r="1133" spans="1:2">
      <c r="A1133" t="s">
        <v>2138</v>
      </c>
      <c r="B1133" t="str">
        <f>_xlfn.XLOOKUP(A1133,'Hướng dẫn'!AA:AA,'Hướng dẫn'!X:X)</f>
        <v>Boat Neck</v>
      </c>
    </row>
    <row r="1134" spans="1:2">
      <c r="A1134" t="s">
        <v>2442</v>
      </c>
      <c r="B1134" t="str">
        <f>_xlfn.XLOOKUP(A1134,'Hướng dẫn'!AA:AA,'Hướng dẫn'!X:X)</f>
        <v>Leather Shoes</v>
      </c>
    </row>
    <row r="1135" spans="1:2">
      <c r="A1135" t="s">
        <v>2078</v>
      </c>
      <c r="B1135" t="str">
        <f>_xlfn.XLOOKUP(A1135,'Hướng dẫn'!AA:AA,'Hướng dẫn'!X:X)</f>
        <v>Crew neck classic</v>
      </c>
    </row>
    <row r="1136" spans="1:2">
      <c r="A1136" t="s">
        <v>2078</v>
      </c>
      <c r="B1136" t="str">
        <f>_xlfn.XLOOKUP(A1136,'Hướng dẫn'!AA:AA,'Hướng dẫn'!X:X)</f>
        <v>Crew neck classic</v>
      </c>
    </row>
    <row r="1137" spans="1:2">
      <c r="A1137" t="s">
        <v>2263</v>
      </c>
      <c r="B1137" t="str">
        <f>_xlfn.XLOOKUP(A1137,'Hướng dẫn'!AA:AA,'Hướng dẫn'!X:X)</f>
        <v>Button Waist</v>
      </c>
    </row>
    <row r="1138" spans="1:2">
      <c r="A1138" t="s">
        <v>2078</v>
      </c>
      <c r="B1138" t="str">
        <f>_xlfn.XLOOKUP(A1138,'Hướng dẫn'!AA:AA,'Hướng dẫn'!X:X)</f>
        <v>Crew neck classic</v>
      </c>
    </row>
    <row r="1139" spans="1:2">
      <c r="A1139" t="s">
        <v>2694</v>
      </c>
      <c r="B1139" t="str">
        <f>_xlfn.XLOOKUP(A1139,'Hướng dẫn'!AA:AA,'Hướng dẫn'!X:X)</f>
        <v>Clutch</v>
      </c>
    </row>
    <row r="1140" spans="1:2">
      <c r="A1140" t="s">
        <v>2610</v>
      </c>
      <c r="B1140" t="str">
        <f>_xlfn.XLOOKUP(A1140,'Hướng dẫn'!AA:AA,'Hướng dẫn'!X:X)</f>
        <v>Other bag</v>
      </c>
    </row>
    <row r="1141" spans="1:2">
      <c r="A1141" t="s">
        <v>2950</v>
      </c>
      <c r="B1141" t="str">
        <f>_xlfn.XLOOKUP(A1141,'Hướng dẫn'!AA:AA,'Hướng dẫn'!X:X)</f>
        <v>Notebook Perfect Bound</v>
      </c>
    </row>
    <row r="1142" spans="1:2">
      <c r="A1142" t="s">
        <v>2442</v>
      </c>
      <c r="B1142" t="str">
        <f>_xlfn.XLOOKUP(A1142,'Hướng dẫn'!AA:AA,'Hướng dẫn'!X:X)</f>
        <v>Leather Shoes</v>
      </c>
    </row>
    <row r="1143" spans="1:2">
      <c r="A1143" t="s">
        <v>2138</v>
      </c>
      <c r="B1143" t="str">
        <f>_xlfn.XLOOKUP(A1143,'Hướng dẫn'!AA:AA,'Hướng dẫn'!X:X)</f>
        <v>Boat Neck</v>
      </c>
    </row>
    <row r="1144" spans="1:2">
      <c r="A1144" t="s">
        <v>2379</v>
      </c>
      <c r="B1144" t="str">
        <f>_xlfn.XLOOKUP(A1144,'Hướng dẫn'!AA:AA,'Hướng dẫn'!X:X)</f>
        <v>Slippers</v>
      </c>
    </row>
    <row r="1145" spans="1:2">
      <c r="A1145" t="s">
        <v>2218</v>
      </c>
      <c r="B1145" t="str">
        <f>_xlfn.XLOOKUP(A1145,'Hướng dẫn'!AA:AA,'Hướng dẫn'!X:X)</f>
        <v>Elastic Waist</v>
      </c>
    </row>
    <row r="1146" spans="1:2">
      <c r="A1146" t="s">
        <v>2779</v>
      </c>
      <c r="B1146" t="str">
        <f>_xlfn.XLOOKUP(A1146,'Hướng dẫn'!AA:AA,'Hướng dẫn'!X:X)</f>
        <v>Necklace</v>
      </c>
    </row>
    <row r="1147" spans="1:2">
      <c r="A1147" t="s">
        <v>2601</v>
      </c>
      <c r="B1147" t="str">
        <f>_xlfn.XLOOKUP(A1147,'Hướng dẫn'!AA:AA,'Hướng dẫn'!X:X)</f>
        <v>Handbag</v>
      </c>
    </row>
    <row r="1148" spans="1:2">
      <c r="A1148" t="s">
        <v>2425</v>
      </c>
      <c r="B1148" t="str">
        <f>_xlfn.XLOOKUP(A1148,'Hướng dẫn'!AA:AA,'Hướng dẫn'!X:X)</f>
        <v>Flats</v>
      </c>
    </row>
    <row r="1149" spans="1:2">
      <c r="A1149" t="s">
        <v>2078</v>
      </c>
      <c r="B1149" t="str">
        <f>_xlfn.XLOOKUP(A1149,'Hướng dẫn'!AA:AA,'Hướng dẫn'!X:X)</f>
        <v>Crew neck classic</v>
      </c>
    </row>
    <row r="1150" spans="1:2">
      <c r="A1150" t="s">
        <v>2078</v>
      </c>
      <c r="B1150" t="str">
        <f>_xlfn.XLOOKUP(A1150,'Hướng dẫn'!AA:AA,'Hướng dẫn'!X:X)</f>
        <v>Crew neck classic</v>
      </c>
    </row>
    <row r="1151" spans="1:2">
      <c r="A1151" t="s">
        <v>2263</v>
      </c>
      <c r="B1151" t="str">
        <f>_xlfn.XLOOKUP(A1151,'Hướng dẫn'!AA:AA,'Hướng dẫn'!X:X)</f>
        <v>Button Waist</v>
      </c>
    </row>
    <row r="1152" spans="1:2">
      <c r="A1152" t="s">
        <v>2001</v>
      </c>
      <c r="B1152" t="str">
        <f>_xlfn.XLOOKUP(A1152,'Hướng dẫn'!AA:AA,'Hướng dẫn'!X:X)</f>
        <v>Mandarin Collar</v>
      </c>
    </row>
    <row r="1153" spans="1:2">
      <c r="A1153" t="s">
        <v>2442</v>
      </c>
      <c r="B1153" t="str">
        <f>_xlfn.XLOOKUP(A1153,'Hướng dẫn'!AA:AA,'Hướng dẫn'!X:X)</f>
        <v>Leather Shoes</v>
      </c>
    </row>
    <row r="1154" spans="1:2">
      <c r="A1154" t="s">
        <v>2779</v>
      </c>
      <c r="B1154" t="str">
        <f>_xlfn.XLOOKUP(A1154,'Hướng dẫn'!AA:AA,'Hướng dẫn'!X:X)</f>
        <v>Necklace</v>
      </c>
    </row>
    <row r="1155" spans="1:2">
      <c r="A1155" t="s">
        <v>2078</v>
      </c>
      <c r="B1155" t="str">
        <f>_xlfn.XLOOKUP(A1155,'Hướng dẫn'!AA:AA,'Hướng dẫn'!X:X)</f>
        <v>Crew neck classic</v>
      </c>
    </row>
    <row r="1156" spans="1:2">
      <c r="A1156" t="s">
        <v>2643</v>
      </c>
      <c r="B1156" t="str">
        <f>_xlfn.XLOOKUP(A1156,'Hướng dẫn'!AA:AA,'Hướng dẫn'!X:X)</f>
        <v>Shoulder bag</v>
      </c>
    </row>
    <row r="1157" spans="1:2">
      <c r="A1157" t="s">
        <v>2779</v>
      </c>
      <c r="B1157" t="str">
        <f>_xlfn.XLOOKUP(A1157,'Hướng dẫn'!AA:AA,'Hướng dẫn'!X:X)</f>
        <v>Necklace</v>
      </c>
    </row>
    <row r="1158" spans="1:2">
      <c r="A1158" t="s">
        <v>2516</v>
      </c>
      <c r="B1158" t="str">
        <f>_xlfn.XLOOKUP(A1158,'Hướng dẫn'!AA:AA,'Hướng dẫn'!X:X)</f>
        <v>Scarf Satin Double Side Print</v>
      </c>
    </row>
    <row r="1159" spans="1:2">
      <c r="A1159" t="s">
        <v>2001</v>
      </c>
      <c r="B1159" t="str">
        <f>_xlfn.XLOOKUP(A1159,'Hướng dẫn'!AA:AA,'Hướng dẫn'!X:X)</f>
        <v>Mandarin Collar</v>
      </c>
    </row>
    <row r="1160" spans="1:2">
      <c r="A1160" t="s">
        <v>2516</v>
      </c>
      <c r="B1160" t="str">
        <f>_xlfn.XLOOKUP(A1160,'Hướng dẫn'!AA:AA,'Hướng dẫn'!X:X)</f>
        <v>Scarf Satin Double Side Print</v>
      </c>
    </row>
    <row r="1161" spans="1:2">
      <c r="A1161" t="s">
        <v>2717</v>
      </c>
      <c r="B1161" t="str">
        <f>_xlfn.XLOOKUP(A1161,'Hướng dẫn'!AA:AA,'Hướng dẫn'!X:X)</f>
        <v>Pen Case</v>
      </c>
    </row>
    <row r="1162" spans="1:2">
      <c r="A1162" t="s">
        <v>3138</v>
      </c>
      <c r="B1162" t="str">
        <f>_xlfn.XLOOKUP(A1162,'Hướng dẫn'!AA:AA,'Hướng dẫn'!X:X)</f>
        <v>Salt</v>
      </c>
    </row>
    <row r="1163" spans="1:2">
      <c r="A1163" t="s">
        <v>2078</v>
      </c>
      <c r="B1163" t="str">
        <f>_xlfn.XLOOKUP(A1163,'Hướng dẫn'!AA:AA,'Hướng dẫn'!X:X)</f>
        <v>Crew neck classic</v>
      </c>
    </row>
    <row r="1164" spans="1:2">
      <c r="A1164" t="s">
        <v>2996</v>
      </c>
      <c r="B1164" t="str">
        <f>_xlfn.XLOOKUP(A1164,'Hướng dẫn'!AA:AA,'Hướng dẫn'!X:X)</f>
        <v>Small Accessories</v>
      </c>
    </row>
    <row r="1165" spans="1:2">
      <c r="A1165" t="s">
        <v>2705</v>
      </c>
      <c r="B1165" t="str">
        <f>_xlfn.XLOOKUP(A1165,'Hướng dẫn'!AA:AA,'Hướng dẫn'!X:X)</f>
        <v>Wallet</v>
      </c>
    </row>
    <row r="1166" spans="1:2">
      <c r="A1166" t="s">
        <v>2092</v>
      </c>
      <c r="B1166" t="str">
        <f>_xlfn.XLOOKUP(A1166,'Hướng dẫn'!AA:AA,'Hướng dẫn'!X:X)</f>
        <v>High crew neck classic</v>
      </c>
    </row>
    <row r="1167" spans="1:2">
      <c r="A1167" t="s">
        <v>2001</v>
      </c>
      <c r="B1167" t="str">
        <f>_xlfn.XLOOKUP(A1167,'Hướng dẫn'!AA:AA,'Hướng dẫn'!X:X)</f>
        <v>Mandarin Collar</v>
      </c>
    </row>
    <row r="1168" spans="1:2">
      <c r="A1168" t="s">
        <v>2601</v>
      </c>
      <c r="B1168" t="str">
        <f>_xlfn.XLOOKUP(A1168,'Hướng dẫn'!AA:AA,'Hướng dẫn'!X:X)</f>
        <v>Handbag</v>
      </c>
    </row>
    <row r="1169" spans="1:2">
      <c r="A1169" t="s">
        <v>2218</v>
      </c>
      <c r="B1169" t="str">
        <f>_xlfn.XLOOKUP(A1169,'Hướng dẫn'!AA:AA,'Hướng dẫn'!X:X)</f>
        <v>Elastic Waist</v>
      </c>
    </row>
    <row r="1170" spans="1:2">
      <c r="A1170" t="s">
        <v>2025</v>
      </c>
      <c r="B1170" t="str">
        <f>_xlfn.XLOOKUP(A1170,'Hướng dẫn'!AA:AA,'Hướng dẫn'!X:X)</f>
        <v>Classic Collar</v>
      </c>
    </row>
    <row r="1171" spans="1:2">
      <c r="A1171" t="s">
        <v>2001</v>
      </c>
      <c r="B1171" t="str">
        <f>_xlfn.XLOOKUP(A1171,'Hướng dẫn'!AA:AA,'Hướng dẫn'!X:X)</f>
        <v>Mandarin Collar</v>
      </c>
    </row>
    <row r="1172" spans="1:2">
      <c r="A1172" t="s">
        <v>2516</v>
      </c>
      <c r="B1172" t="str">
        <f>_xlfn.XLOOKUP(A1172,'Hướng dẫn'!AA:AA,'Hướng dẫn'!X:X)</f>
        <v>Scarf Satin Double Side Print</v>
      </c>
    </row>
    <row r="1173" spans="1:2">
      <c r="A1173" t="s">
        <v>2078</v>
      </c>
      <c r="B1173" t="str">
        <f>_xlfn.XLOOKUP(A1173,'Hướng dẫn'!AA:AA,'Hướng dẫn'!X:X)</f>
        <v>Crew neck classic</v>
      </c>
    </row>
    <row r="1174" spans="1:2">
      <c r="A1174" t="s">
        <v>2694</v>
      </c>
      <c r="B1174" t="str">
        <f>_xlfn.XLOOKUP(A1174,'Hướng dẫn'!AA:AA,'Hướng dẫn'!X:X)</f>
        <v>Clutch</v>
      </c>
    </row>
    <row r="1175" spans="1:2">
      <c r="A1175" t="s">
        <v>2694</v>
      </c>
      <c r="B1175" t="str">
        <f>_xlfn.XLOOKUP(A1175,'Hướng dẫn'!AA:AA,'Hướng dẫn'!X:X)</f>
        <v>Clutch</v>
      </c>
    </row>
    <row r="1176" spans="1:2">
      <c r="A1176" t="s">
        <v>2078</v>
      </c>
      <c r="B1176" t="str">
        <f>_xlfn.XLOOKUP(A1176,'Hướng dẫn'!AA:AA,'Hướng dẫn'!X:X)</f>
        <v>Crew neck classic</v>
      </c>
    </row>
    <row r="1177" spans="1:2">
      <c r="A1177" t="s">
        <v>2970</v>
      </c>
      <c r="B1177" t="str">
        <f>_xlfn.XLOOKUP(A1177,'Hướng dẫn'!AA:AA,'Hướng dẫn'!X:X)</f>
        <v>Games</v>
      </c>
    </row>
    <row r="1178" spans="1:2">
      <c r="A1178" t="s">
        <v>2078</v>
      </c>
      <c r="B1178" t="str">
        <f>_xlfn.XLOOKUP(A1178,'Hướng dẫn'!AA:AA,'Hướng dẫn'!X:X)</f>
        <v>Crew neck classic</v>
      </c>
    </row>
    <row r="1179" spans="1:2">
      <c r="A1179" t="s">
        <v>2078</v>
      </c>
      <c r="B1179" t="str">
        <f>_xlfn.XLOOKUP(A1179,'Hướng dẫn'!AA:AA,'Hướng dẫn'!X:X)</f>
        <v>Crew neck classic</v>
      </c>
    </row>
    <row r="1180" spans="1:2">
      <c r="A1180" t="s">
        <v>2078</v>
      </c>
      <c r="B1180" t="str">
        <f>_xlfn.XLOOKUP(A1180,'Hướng dẫn'!AA:AA,'Hướng dẫn'!X:X)</f>
        <v>Crew neck classic</v>
      </c>
    </row>
    <row r="1181" spans="1:2">
      <c r="A1181" t="s">
        <v>2078</v>
      </c>
      <c r="B1181" t="str">
        <f>_xlfn.XLOOKUP(A1181,'Hướng dẫn'!AA:AA,'Hướng dẫn'!X:X)</f>
        <v>Crew neck classic</v>
      </c>
    </row>
    <row r="1182" spans="1:2">
      <c r="A1182" t="s">
        <v>2779</v>
      </c>
      <c r="B1182" t="str">
        <f>_xlfn.XLOOKUP(A1182,'Hướng dẫn'!AA:AA,'Hướng dẫn'!X:X)</f>
        <v>Necklace</v>
      </c>
    </row>
    <row r="1183" spans="1:2">
      <c r="A1183" t="s">
        <v>2516</v>
      </c>
      <c r="B1183" t="str">
        <f>_xlfn.XLOOKUP(A1183,'Hướng dẫn'!AA:AA,'Hướng dẫn'!X:X)</f>
        <v>Scarf Satin Double Side Print</v>
      </c>
    </row>
    <row r="1184" spans="1:2">
      <c r="A1184" t="s">
        <v>2290</v>
      </c>
      <c r="B1184" t="str">
        <f>_xlfn.XLOOKUP(A1184,'Hướng dẫn'!AA:AA,'Hướng dẫn'!X:X)</f>
        <v>Caps</v>
      </c>
    </row>
    <row r="1185" spans="1:2">
      <c r="A1185" t="s">
        <v>2442</v>
      </c>
      <c r="B1185" t="str">
        <f>_xlfn.XLOOKUP(A1185,'Hướng dẫn'!AA:AA,'Hướng dẫn'!X:X)</f>
        <v>Leather Shoes</v>
      </c>
    </row>
    <row r="1186" spans="1:2">
      <c r="A1186" t="s">
        <v>2779</v>
      </c>
      <c r="B1186" t="str">
        <f>_xlfn.XLOOKUP(A1186,'Hướng dẫn'!AA:AA,'Hướng dẫn'!X:X)</f>
        <v>Necklace</v>
      </c>
    </row>
    <row r="1187" spans="1:2">
      <c r="A1187" t="s">
        <v>2138</v>
      </c>
      <c r="B1187" t="str">
        <f>_xlfn.XLOOKUP(A1187,'Hướng dẫn'!AA:AA,'Hướng dẫn'!X:X)</f>
        <v>Boat Neck</v>
      </c>
    </row>
    <row r="1188" spans="1:2">
      <c r="A1188" t="s">
        <v>2601</v>
      </c>
      <c r="B1188" t="str">
        <f>_xlfn.XLOOKUP(A1188,'Hướng dẫn'!AA:AA,'Hướng dẫn'!X:X)</f>
        <v>Handbag</v>
      </c>
    </row>
    <row r="1189" spans="1:2">
      <c r="A1189" t="s">
        <v>3177</v>
      </c>
      <c r="B1189" t="str">
        <f>_xlfn.XLOOKUP(A1189,'Hướng dẫn'!AA:AA,'Hướng dẫn'!X:X)</f>
        <v>Drip Bag Coffee</v>
      </c>
    </row>
    <row r="1190" spans="1:2">
      <c r="A1190" t="s">
        <v>2218</v>
      </c>
      <c r="B1190" t="str">
        <f>_xlfn.XLOOKUP(A1190,'Hướng dẫn'!AA:AA,'Hướng dẫn'!X:X)</f>
        <v>Elastic Waist</v>
      </c>
    </row>
    <row r="1191" spans="1:2">
      <c r="A1191" t="s">
        <v>3043</v>
      </c>
      <c r="B1191" t="str">
        <f>_xlfn.XLOOKUP(A1191,'Hướng dẫn'!AA:AA,'Hướng dẫn'!X:X)</f>
        <v>Tray</v>
      </c>
    </row>
    <row r="1192" spans="1:2">
      <c r="A1192" t="s">
        <v>2078</v>
      </c>
      <c r="B1192" t="str">
        <f>_xlfn.XLOOKUP(A1192,'Hướng dẫn'!AA:AA,'Hướng dẫn'!X:X)</f>
        <v>Crew neck classic</v>
      </c>
    </row>
    <row r="1193" spans="1:2">
      <c r="A1193" t="s">
        <v>2779</v>
      </c>
      <c r="B1193" t="str">
        <f>_xlfn.XLOOKUP(A1193,'Hướng dẫn'!AA:AA,'Hướng dẫn'!X:X)</f>
        <v>Necklace</v>
      </c>
    </row>
    <row r="1194" spans="1:2">
      <c r="A1194" t="s">
        <v>2901</v>
      </c>
      <c r="B1194" t="str">
        <f>_xlfn.XLOOKUP(A1194,'Hướng dẫn'!AA:AA,'Hướng dẫn'!X:X)</f>
        <v>ART</v>
      </c>
    </row>
    <row r="1195" spans="1:2">
      <c r="A1195" t="s">
        <v>2078</v>
      </c>
      <c r="B1195" t="str">
        <f>_xlfn.XLOOKUP(A1195,'Hướng dẫn'!AA:AA,'Hướng dẫn'!X:X)</f>
        <v>Crew neck classic</v>
      </c>
    </row>
    <row r="1196" spans="1:2">
      <c r="A1196" t="s">
        <v>2078</v>
      </c>
      <c r="B1196" t="str">
        <f>_xlfn.XLOOKUP(A1196,'Hướng dẫn'!AA:AA,'Hướng dẫn'!X:X)</f>
        <v>Crew neck classic</v>
      </c>
    </row>
    <row r="1197" spans="1:2">
      <c r="A1197" t="s">
        <v>2832</v>
      </c>
      <c r="B1197" t="str">
        <f>_xlfn.XLOOKUP(A1197,'Hướng dẫn'!AA:AA,'Hướng dẫn'!X:X)</f>
        <v>Belt</v>
      </c>
    </row>
    <row r="1198" spans="1:2">
      <c r="A1198" t="s">
        <v>2001</v>
      </c>
      <c r="B1198" t="str">
        <f>_xlfn.XLOOKUP(A1198,'Hướng dẫn'!AA:AA,'Hướng dẫn'!X:X)</f>
        <v>Mandarin Collar</v>
      </c>
    </row>
    <row r="1199" spans="1:2">
      <c r="A1199" t="s">
        <v>2970</v>
      </c>
      <c r="B1199" t="str">
        <f>_xlfn.XLOOKUP(A1199,'Hướng dẫn'!AA:AA,'Hướng dẫn'!X:X)</f>
        <v>Games</v>
      </c>
    </row>
    <row r="1200" spans="1:2">
      <c r="A1200" t="s">
        <v>2078</v>
      </c>
      <c r="B1200" t="str">
        <f>_xlfn.XLOOKUP(A1200,'Hướng dẫn'!AA:AA,'Hướng dẫn'!X:X)</f>
        <v>Crew neck classic</v>
      </c>
    </row>
    <row r="1201" spans="1:2">
      <c r="A1201" t="s">
        <v>2329</v>
      </c>
      <c r="B1201" t="str">
        <f>_xlfn.XLOOKUP(A1201,'Hướng dẫn'!AA:AA,'Hướng dẫn'!X:X)</f>
        <v>Tote bag</v>
      </c>
    </row>
    <row r="1202" spans="1:2">
      <c r="A1202" t="s">
        <v>3138</v>
      </c>
      <c r="B1202" t="str">
        <f>_xlfn.XLOOKUP(A1202,'Hướng dẫn'!AA:AA,'Hướng dẫn'!X:X)</f>
        <v>Salt</v>
      </c>
    </row>
    <row r="1203" spans="1:2">
      <c r="A1203" t="s">
        <v>2394</v>
      </c>
      <c r="B1203" t="str">
        <f>_xlfn.XLOOKUP(A1203,'Hướng dẫn'!AA:AA,'Hướng dẫn'!X:X)</f>
        <v>Sneaker</v>
      </c>
    </row>
    <row r="1204" spans="1:2">
      <c r="A1204" t="s">
        <v>2001</v>
      </c>
      <c r="B1204" t="str">
        <f>_xlfn.XLOOKUP(A1204,'Hướng dẫn'!AA:AA,'Hướng dẫn'!X:X)</f>
        <v>Mandarin Collar</v>
      </c>
    </row>
    <row r="1205" spans="1:2">
      <c r="A1205" t="s">
        <v>2663</v>
      </c>
      <c r="B1205" t="str">
        <f>_xlfn.XLOOKUP(A1205,'Hướng dẫn'!AA:AA,'Hướng dẫn'!X:X)</f>
        <v>Cigar cover</v>
      </c>
    </row>
    <row r="1206" spans="1:2">
      <c r="A1206" t="s">
        <v>2078</v>
      </c>
      <c r="B1206" t="str">
        <f>_xlfn.XLOOKUP(A1206,'Hướng dẫn'!AA:AA,'Hướng dẫn'!X:X)</f>
        <v>Crew neck classic</v>
      </c>
    </row>
    <row r="1207" spans="1:2">
      <c r="A1207" t="s">
        <v>2078</v>
      </c>
      <c r="B1207" t="str">
        <f>_xlfn.XLOOKUP(A1207,'Hướng dẫn'!AA:AA,'Hướng dẫn'!X:X)</f>
        <v>Crew neck classic</v>
      </c>
    </row>
    <row r="1208" spans="1:2">
      <c r="A1208" t="s">
        <v>2901</v>
      </c>
      <c r="B1208" t="str">
        <f>_xlfn.XLOOKUP(A1208,'Hướng dẫn'!AA:AA,'Hướng dẫn'!X:X)</f>
        <v>ART</v>
      </c>
    </row>
    <row r="1209" spans="1:2">
      <c r="A1209" t="s">
        <v>2705</v>
      </c>
      <c r="B1209" t="str">
        <f>_xlfn.XLOOKUP(A1209,'Hướng dẫn'!AA:AA,'Hướng dẫn'!X:X)</f>
        <v>Wallet</v>
      </c>
    </row>
    <row r="1210" spans="1:2">
      <c r="A1210" t="s">
        <v>2078</v>
      </c>
      <c r="B1210" t="str">
        <f>_xlfn.XLOOKUP(A1210,'Hướng dẫn'!AA:AA,'Hướng dẫn'!X:X)</f>
        <v>Crew neck classic</v>
      </c>
    </row>
    <row r="1211" spans="1:2">
      <c r="A1211" t="s">
        <v>2078</v>
      </c>
      <c r="B1211" t="str">
        <f>_xlfn.XLOOKUP(A1211,'Hướng dẫn'!AA:AA,'Hướng dẫn'!X:X)</f>
        <v>Crew neck classic</v>
      </c>
    </row>
    <row r="1212" spans="1:2">
      <c r="A1212" t="s">
        <v>2138</v>
      </c>
      <c r="B1212" t="str">
        <f>_xlfn.XLOOKUP(A1212,'Hướng dẫn'!AA:AA,'Hướng dẫn'!X:X)</f>
        <v>Boat Neck</v>
      </c>
    </row>
    <row r="1213" spans="1:2">
      <c r="A1213" t="s">
        <v>2001</v>
      </c>
      <c r="B1213" t="str">
        <f>_xlfn.XLOOKUP(A1213,'Hướng dẫn'!AA:AA,'Hướng dẫn'!X:X)</f>
        <v>Mandarin Collar</v>
      </c>
    </row>
    <row r="1214" spans="1:2">
      <c r="A1214" t="s">
        <v>2559</v>
      </c>
      <c r="B1214" t="str">
        <f>_xlfn.XLOOKUP(A1214,'Hướng dẫn'!AA:AA,'Hướng dẫn'!X:X)</f>
        <v>Ethnic Bag</v>
      </c>
    </row>
    <row r="1215" spans="1:2">
      <c r="A1215" t="s">
        <v>2779</v>
      </c>
      <c r="B1215" t="str">
        <f>_xlfn.XLOOKUP(A1215,'Hướng dẫn'!AA:AA,'Hướng dẫn'!X:X)</f>
        <v>Necklace</v>
      </c>
    </row>
    <row r="1216" spans="1:2">
      <c r="A1216" t="s">
        <v>2977</v>
      </c>
      <c r="B1216" t="str">
        <f>_xlfn.XLOOKUP(A1216,'Hướng dẫn'!AA:AA,'Hướng dẫn'!X:X)</f>
        <v>Decorative Items</v>
      </c>
    </row>
    <row r="1217" spans="1:2">
      <c r="A1217" t="s">
        <v>2717</v>
      </c>
      <c r="B1217" t="str">
        <f>_xlfn.XLOOKUP(A1217,'Hướng dẫn'!AA:AA,'Hướng dẫn'!X:X)</f>
        <v>Pen Case</v>
      </c>
    </row>
    <row r="1218" spans="1:2">
      <c r="A1218" t="s">
        <v>2779</v>
      </c>
      <c r="B1218" t="str">
        <f>_xlfn.XLOOKUP(A1218,'Hướng dẫn'!AA:AA,'Hướng dẫn'!X:X)</f>
        <v>Necklace</v>
      </c>
    </row>
    <row r="1219" spans="1:2">
      <c r="A1219" t="s">
        <v>2078</v>
      </c>
      <c r="B1219" t="str">
        <f>_xlfn.XLOOKUP(A1219,'Hướng dẫn'!AA:AA,'Hướng dẫn'!X:X)</f>
        <v>Crew neck classic</v>
      </c>
    </row>
    <row r="1220" spans="1:2">
      <c r="A1220" t="s">
        <v>2063</v>
      </c>
      <c r="B1220" t="str">
        <f>_xlfn.XLOOKUP(A1220,'Hướng dẫn'!AA:AA,'Hướng dẫn'!X:X)</f>
        <v>Ribban</v>
      </c>
    </row>
    <row r="1221" spans="1:2">
      <c r="A1221" t="s">
        <v>2078</v>
      </c>
      <c r="B1221" t="str">
        <f>_xlfn.XLOOKUP(A1221,'Hướng dẫn'!AA:AA,'Hướng dẫn'!X:X)</f>
        <v>Crew neck classic</v>
      </c>
    </row>
    <row r="1222" spans="1:2">
      <c r="A1222" t="s">
        <v>2078</v>
      </c>
      <c r="B1222" t="str">
        <f>_xlfn.XLOOKUP(A1222,'Hướng dẫn'!AA:AA,'Hướng dẫn'!X:X)</f>
        <v>Crew neck classic</v>
      </c>
    </row>
    <row r="1223" spans="1:2">
      <c r="A1223" t="s">
        <v>2779</v>
      </c>
      <c r="B1223" t="str">
        <f>_xlfn.XLOOKUP(A1223,'Hướng dẫn'!AA:AA,'Hướng dẫn'!X:X)</f>
        <v>Necklace</v>
      </c>
    </row>
    <row r="1224" spans="1:2">
      <c r="A1224" t="s">
        <v>2078</v>
      </c>
      <c r="B1224" t="str">
        <f>_xlfn.XLOOKUP(A1224,'Hướng dẫn'!AA:AA,'Hướng dẫn'!X:X)</f>
        <v>Crew neck classic</v>
      </c>
    </row>
    <row r="1225" spans="1:2">
      <c r="A1225" t="s">
        <v>2329</v>
      </c>
      <c r="B1225" t="str">
        <f>_xlfn.XLOOKUP(A1225,'Hướng dẫn'!AA:AA,'Hướng dẫn'!X:X)</f>
        <v>Tote bag</v>
      </c>
    </row>
    <row r="1226" spans="1:2">
      <c r="A1226" t="s">
        <v>2779</v>
      </c>
      <c r="B1226" t="str">
        <f>_xlfn.XLOOKUP(A1226,'Hướng dẫn'!AA:AA,'Hướng dẫn'!X:X)</f>
        <v>Necklace</v>
      </c>
    </row>
    <row r="1227" spans="1:2">
      <c r="A1227" t="s">
        <v>2779</v>
      </c>
      <c r="B1227" t="str">
        <f>_xlfn.XLOOKUP(A1227,'Hướng dẫn'!AA:AA,'Hướng dẫn'!X:X)</f>
        <v>Necklace</v>
      </c>
    </row>
    <row r="1228" spans="1:2">
      <c r="A1228" t="s">
        <v>2516</v>
      </c>
      <c r="B1228" t="str">
        <f>_xlfn.XLOOKUP(A1228,'Hướng dẫn'!AA:AA,'Hướng dẫn'!X:X)</f>
        <v>Scarf Satin Double Side Print</v>
      </c>
    </row>
    <row r="1229" spans="1:2">
      <c r="A1229" t="s">
        <v>2901</v>
      </c>
      <c r="B1229" t="str">
        <f>_xlfn.XLOOKUP(A1229,'Hướng dẫn'!AA:AA,'Hướng dẫn'!X:X)</f>
        <v>ART</v>
      </c>
    </row>
    <row r="1230" spans="1:2">
      <c r="A1230" t="s">
        <v>2442</v>
      </c>
      <c r="B1230" t="str">
        <f>_xlfn.XLOOKUP(A1230,'Hướng dẫn'!AA:AA,'Hướng dẫn'!X:X)</f>
        <v>Leather Shoes</v>
      </c>
    </row>
    <row r="1231" spans="1:2">
      <c r="A1231" t="s">
        <v>2078</v>
      </c>
      <c r="B1231" t="str">
        <f>_xlfn.XLOOKUP(A1231,'Hướng dẫn'!AA:AA,'Hướng dẫn'!X:X)</f>
        <v>Crew neck classic</v>
      </c>
    </row>
    <row r="1232" spans="1:2">
      <c r="A1232" t="s">
        <v>2516</v>
      </c>
      <c r="B1232" t="str">
        <f>_xlfn.XLOOKUP(A1232,'Hướng dẫn'!AA:AA,'Hướng dẫn'!X:X)</f>
        <v>Scarf Satin Double Side Print</v>
      </c>
    </row>
    <row r="1233" spans="1:2">
      <c r="A1233" t="s">
        <v>2943</v>
      </c>
      <c r="B1233" t="str">
        <f>_xlfn.XLOOKUP(A1233,'Hướng dẫn'!AA:AA,'Hướng dẫn'!X:X)</f>
        <v>Notebook Saddle Stitched</v>
      </c>
    </row>
    <row r="1234" spans="1:2">
      <c r="A1234" t="s">
        <v>2078</v>
      </c>
      <c r="B1234" t="str">
        <f>_xlfn.XLOOKUP(A1234,'Hướng dẫn'!AA:AA,'Hướng dẫn'!X:X)</f>
        <v>Crew neck classic</v>
      </c>
    </row>
    <row r="1235" spans="1:2">
      <c r="A1235" t="s">
        <v>2970</v>
      </c>
      <c r="B1235" t="str">
        <f>_xlfn.XLOOKUP(A1235,'Hướng dẫn'!AA:AA,'Hướng dẫn'!X:X)</f>
        <v>Games</v>
      </c>
    </row>
    <row r="1236" spans="1:2">
      <c r="A1236" t="s">
        <v>2516</v>
      </c>
      <c r="B1236" t="str">
        <f>_xlfn.XLOOKUP(A1236,'Hướng dẫn'!AA:AA,'Hướng dẫn'!X:X)</f>
        <v>Scarf Satin Double Side Print</v>
      </c>
    </row>
    <row r="1237" spans="1:2">
      <c r="A1237" t="s">
        <v>2078</v>
      </c>
      <c r="B1237" t="str">
        <f>_xlfn.XLOOKUP(A1237,'Hướng dẫn'!AA:AA,'Hướng dẫn'!X:X)</f>
        <v>Crew neck classic</v>
      </c>
    </row>
    <row r="1238" spans="1:2">
      <c r="A1238" t="s">
        <v>3110</v>
      </c>
      <c r="B1238" t="str">
        <f>_xlfn.XLOOKUP(A1238,'Hướng dẫn'!AA:AA,'Hướng dẫn'!X:X)</f>
        <v>Soap</v>
      </c>
    </row>
    <row r="1239" spans="1:2">
      <c r="A1239" t="s">
        <v>2442</v>
      </c>
      <c r="B1239" t="str">
        <f>_xlfn.XLOOKUP(A1239,'Hướng dẫn'!AA:AA,'Hướng dẫn'!X:X)</f>
        <v>Leather Shoes</v>
      </c>
    </row>
    <row r="1240" spans="1:2">
      <c r="A1240" t="s">
        <v>2078</v>
      </c>
      <c r="B1240" t="str">
        <f>_xlfn.XLOOKUP(A1240,'Hướng dẫn'!AA:AA,'Hướng dẫn'!X:X)</f>
        <v>Crew neck classic</v>
      </c>
    </row>
    <row r="1241" spans="1:2">
      <c r="A1241" t="s">
        <v>2078</v>
      </c>
      <c r="B1241" t="str">
        <f>_xlfn.XLOOKUP(A1241,'Hướng dẫn'!AA:AA,'Hướng dẫn'!X:X)</f>
        <v>Crew neck classic</v>
      </c>
    </row>
    <row r="1242" spans="1:2">
      <c r="A1242" t="s">
        <v>2078</v>
      </c>
      <c r="B1242" t="str">
        <f>_xlfn.XLOOKUP(A1242,'Hướng dẫn'!AA:AA,'Hướng dẫn'!X:X)</f>
        <v>Crew neck classic</v>
      </c>
    </row>
    <row r="1243" spans="1:2">
      <c r="A1243" t="s">
        <v>2516</v>
      </c>
      <c r="B1243" t="str">
        <f>_xlfn.XLOOKUP(A1243,'Hướng dẫn'!AA:AA,'Hướng dẫn'!X:X)</f>
        <v>Scarf Satin Double Side Print</v>
      </c>
    </row>
    <row r="1244" spans="1:2">
      <c r="A1244" t="s">
        <v>2001</v>
      </c>
      <c r="B1244" t="str">
        <f>_xlfn.XLOOKUP(A1244,'Hướng dẫn'!AA:AA,'Hướng dẫn'!X:X)</f>
        <v>Mandarin Collar</v>
      </c>
    </row>
    <row r="1245" spans="1:2">
      <c r="A1245" t="s">
        <v>2500</v>
      </c>
      <c r="B1245" t="str">
        <f>_xlfn.XLOOKUP(A1245,'Hướng dẫn'!AA:AA,'Hướng dẫn'!X:X)</f>
        <v>Scarf Satin Single-Sided</v>
      </c>
    </row>
    <row r="1246" spans="1:2">
      <c r="A1246" t="s">
        <v>2078</v>
      </c>
      <c r="B1246" t="str">
        <f>_xlfn.XLOOKUP(A1246,'Hướng dẫn'!AA:AA,'Hướng dẫn'!X:X)</f>
        <v>Crew neck classic</v>
      </c>
    </row>
    <row r="1247" spans="1:2">
      <c r="A1247" t="s">
        <v>2078</v>
      </c>
      <c r="B1247" t="str">
        <f>_xlfn.XLOOKUP(A1247,'Hướng dẫn'!AA:AA,'Hướng dẫn'!X:X)</f>
        <v>Crew neck classic</v>
      </c>
    </row>
    <row r="1248" spans="1:2">
      <c r="A1248" t="s">
        <v>2442</v>
      </c>
      <c r="B1248" t="str">
        <f>_xlfn.XLOOKUP(A1248,'Hướng dẫn'!AA:AA,'Hướng dẫn'!X:X)</f>
        <v>Leather Shoes</v>
      </c>
    </row>
    <row r="1249" spans="1:2">
      <c r="A1249" t="s">
        <v>2694</v>
      </c>
      <c r="B1249" t="str">
        <f>_xlfn.XLOOKUP(A1249,'Hướng dẫn'!AA:AA,'Hướng dẫn'!X:X)</f>
        <v>Clutch</v>
      </c>
    </row>
    <row r="1250" spans="1:2">
      <c r="A1250" t="s">
        <v>2977</v>
      </c>
      <c r="B1250" t="str">
        <f>_xlfn.XLOOKUP(A1250,'Hướng dẫn'!AA:AA,'Hướng dẫn'!X:X)</f>
        <v>Decorative Items</v>
      </c>
    </row>
    <row r="1251" spans="1:2">
      <c r="A1251" t="s">
        <v>2078</v>
      </c>
      <c r="B1251" t="str">
        <f>_xlfn.XLOOKUP(A1251,'Hướng dẫn'!AA:AA,'Hướng dẫn'!X:X)</f>
        <v>Crew neck classic</v>
      </c>
    </row>
    <row r="1252" spans="1:2">
      <c r="A1252" t="s">
        <v>2601</v>
      </c>
      <c r="B1252" t="str">
        <f>_xlfn.XLOOKUP(A1252,'Hướng dẫn'!AA:AA,'Hướng dẫn'!X:X)</f>
        <v>Handbag</v>
      </c>
    </row>
    <row r="1253" spans="1:2">
      <c r="A1253" t="s">
        <v>2379</v>
      </c>
      <c r="B1253" t="str">
        <f>_xlfn.XLOOKUP(A1253,'Hướng dẫn'!AA:AA,'Hướng dẫn'!X:X)</f>
        <v>Slippers</v>
      </c>
    </row>
    <row r="1254" spans="1:2">
      <c r="A1254" t="s">
        <v>2601</v>
      </c>
      <c r="B1254" t="str">
        <f>_xlfn.XLOOKUP(A1254,'Hướng dẫn'!AA:AA,'Hướng dẫn'!X:X)</f>
        <v>Handbag</v>
      </c>
    </row>
    <row r="1255" spans="1:2">
      <c r="A1255" t="s">
        <v>2078</v>
      </c>
      <c r="B1255" t="str">
        <f>_xlfn.XLOOKUP(A1255,'Hướng dẫn'!AA:AA,'Hướng dẫn'!X:X)</f>
        <v>Crew neck classic</v>
      </c>
    </row>
    <row r="1256" spans="1:2">
      <c r="A1256" t="s">
        <v>2917</v>
      </c>
      <c r="B1256" t="str">
        <f>_xlfn.XLOOKUP(A1256,'Hướng dẫn'!AA:AA,'Hướng dẫn'!X:X)</f>
        <v>Luggage tag</v>
      </c>
    </row>
    <row r="1257" spans="1:2">
      <c r="A1257" t="s">
        <v>2442</v>
      </c>
      <c r="B1257" t="str">
        <f>_xlfn.XLOOKUP(A1257,'Hướng dẫn'!AA:AA,'Hướng dẫn'!X:X)</f>
        <v>Leather Shoes</v>
      </c>
    </row>
    <row r="1258" spans="1:2">
      <c r="A1258" t="s">
        <v>2329</v>
      </c>
      <c r="B1258" t="str">
        <f>_xlfn.XLOOKUP(A1258,'Hướng dẫn'!AA:AA,'Hướng dẫn'!X:X)</f>
        <v>Tote bag</v>
      </c>
    </row>
    <row r="1259" spans="1:2">
      <c r="A1259" t="s">
        <v>3016</v>
      </c>
      <c r="B1259" t="str">
        <f>_xlfn.XLOOKUP(A1259,'Hướng dẫn'!AA:AA,'Hướng dẫn'!X:X)</f>
        <v>Cushion Cover</v>
      </c>
    </row>
    <row r="1260" spans="1:2">
      <c r="A1260" t="s">
        <v>2442</v>
      </c>
      <c r="B1260" t="str">
        <f>_xlfn.XLOOKUP(A1260,'Hướng dẫn'!AA:AA,'Hướng dẫn'!X:X)</f>
        <v>Leather Shoes</v>
      </c>
    </row>
    <row r="1261" spans="1:2">
      <c r="A1261" t="s">
        <v>2379</v>
      </c>
      <c r="B1261" t="str">
        <f>_xlfn.XLOOKUP(A1261,'Hướng dẫn'!AA:AA,'Hướng dẫn'!X:X)</f>
        <v>Slippers</v>
      </c>
    </row>
    <row r="1262" spans="1:2">
      <c r="A1262" t="s">
        <v>2516</v>
      </c>
      <c r="B1262" t="str">
        <f>_xlfn.XLOOKUP(A1262,'Hướng dẫn'!AA:AA,'Hướng dẫn'!X:X)</f>
        <v>Scarf Satin Double Side Print</v>
      </c>
    </row>
    <row r="1263" spans="1:2">
      <c r="A1263" t="s">
        <v>3033</v>
      </c>
      <c r="B1263" t="str">
        <f>_xlfn.XLOOKUP(A1263,'Hướng dẫn'!AA:AA,'Hướng dẫn'!X:X)</f>
        <v>Stainless Steel</v>
      </c>
    </row>
    <row r="1264" spans="1:2">
      <c r="A1264" t="s">
        <v>2790</v>
      </c>
      <c r="B1264" t="str">
        <f>_xlfn.XLOOKUP(A1264,'Hướng dẫn'!AA:AA,'Hướng dẫn'!X:X)</f>
        <v>Bracelet</v>
      </c>
    </row>
    <row r="1265" spans="1:2">
      <c r="A1265" t="s">
        <v>2078</v>
      </c>
      <c r="B1265" t="str">
        <f>_xlfn.XLOOKUP(A1265,'Hướng dẫn'!AA:AA,'Hướng dẫn'!X:X)</f>
        <v>Crew neck classic</v>
      </c>
    </row>
    <row r="1266" spans="1:2">
      <c r="A1266" t="s">
        <v>2617</v>
      </c>
      <c r="B1266" t="str">
        <f>_xlfn.XLOOKUP(A1266,'Hướng dẫn'!AA:AA,'Hướng dẫn'!X:X)</f>
        <v>Crossbody bag</v>
      </c>
    </row>
    <row r="1267" spans="1:2">
      <c r="A1267" t="s">
        <v>2078</v>
      </c>
      <c r="B1267" t="str">
        <f>_xlfn.XLOOKUP(A1267,'Hướng dẫn'!AA:AA,'Hướng dẫn'!X:X)</f>
        <v>Crew neck classic</v>
      </c>
    </row>
    <row r="1268" spans="1:2">
      <c r="A1268" t="s">
        <v>2078</v>
      </c>
      <c r="B1268" t="str">
        <f>_xlfn.XLOOKUP(A1268,'Hướng dẫn'!AA:AA,'Hướng dẫn'!X:X)</f>
        <v>Crew neck classic</v>
      </c>
    </row>
    <row r="1269" spans="1:2">
      <c r="A1269" t="s">
        <v>2063</v>
      </c>
      <c r="B1269" t="str">
        <f>_xlfn.XLOOKUP(A1269,'Hướng dẫn'!AA:AA,'Hướng dẫn'!X:X)</f>
        <v>Ribban</v>
      </c>
    </row>
    <row r="1270" spans="1:2">
      <c r="A1270" t="s">
        <v>2078</v>
      </c>
      <c r="B1270" t="str">
        <f>_xlfn.XLOOKUP(A1270,'Hướng dẫn'!AA:AA,'Hướng dẫn'!X:X)</f>
        <v>Crew neck classic</v>
      </c>
    </row>
    <row r="1271" spans="1:2">
      <c r="A1271" t="s">
        <v>2779</v>
      </c>
      <c r="B1271" t="str">
        <f>_xlfn.XLOOKUP(A1271,'Hướng dẫn'!AA:AA,'Hướng dẫn'!X:X)</f>
        <v>Necklace</v>
      </c>
    </row>
    <row r="1272" spans="1:2">
      <c r="A1272" t="s">
        <v>2779</v>
      </c>
      <c r="B1272" t="str">
        <f>_xlfn.XLOOKUP(A1272,'Hướng dẫn'!AA:AA,'Hướng dẫn'!X:X)</f>
        <v>Necklace</v>
      </c>
    </row>
    <row r="1273" spans="1:2">
      <c r="A1273" t="s">
        <v>2574</v>
      </c>
      <c r="B1273" t="str">
        <f>_xlfn.XLOOKUP(A1273,'Hướng dẫn'!AA:AA,'Hướng dẫn'!X:X)</f>
        <v>Drawstring bag</v>
      </c>
    </row>
    <row r="1274" spans="1:2">
      <c r="A1274" t="s">
        <v>2078</v>
      </c>
      <c r="B1274" t="str">
        <f>_xlfn.XLOOKUP(A1274,'Hướng dẫn'!AA:AA,'Hướng dẫn'!X:X)</f>
        <v>Crew neck classic</v>
      </c>
    </row>
    <row r="1275" spans="1:2">
      <c r="A1275" t="s">
        <v>2705</v>
      </c>
      <c r="B1275" t="str">
        <f>_xlfn.XLOOKUP(A1275,'Hướng dẫn'!AA:AA,'Hướng dẫn'!X:X)</f>
        <v>Wallet</v>
      </c>
    </row>
    <row r="1276" spans="1:2">
      <c r="A1276" t="s">
        <v>2705</v>
      </c>
      <c r="B1276" t="str">
        <f>_xlfn.XLOOKUP(A1276,'Hướng dẫn'!AA:AA,'Hướng dẫn'!X:X)</f>
        <v>Wallet</v>
      </c>
    </row>
    <row r="1277" spans="1:2">
      <c r="A1277" t="s">
        <v>2282</v>
      </c>
      <c r="B1277" t="str">
        <f>_xlfn.XLOOKUP(A1277,'Hướng dẫn'!AA:AA,'Hướng dẫn'!X:X)</f>
        <v>Gin</v>
      </c>
    </row>
    <row r="1278" spans="1:2">
      <c r="A1278" t="s">
        <v>2078</v>
      </c>
      <c r="B1278" t="str">
        <f>_xlfn.XLOOKUP(A1278,'Hướng dẫn'!AA:AA,'Hướng dẫn'!X:X)</f>
        <v>Crew neck classic</v>
      </c>
    </row>
    <row r="1279" spans="1:2">
      <c r="A1279" t="s">
        <v>2001</v>
      </c>
      <c r="B1279" t="str">
        <f>_xlfn.XLOOKUP(A1279,'Hướng dẫn'!AA:AA,'Hướng dẫn'!X:X)</f>
        <v>Mandarin Collar</v>
      </c>
    </row>
    <row r="1280" spans="1:2">
      <c r="A1280" t="s">
        <v>2901</v>
      </c>
      <c r="B1280" t="str">
        <f>_xlfn.XLOOKUP(A1280,'Hướng dẫn'!AA:AA,'Hướng dẫn'!X:X)</f>
        <v>ART</v>
      </c>
    </row>
    <row r="1281" spans="1:2">
      <c r="A1281" t="s">
        <v>2442</v>
      </c>
      <c r="B1281" t="str">
        <f>_xlfn.XLOOKUP(A1281,'Hướng dẫn'!AA:AA,'Hướng dẫn'!X:X)</f>
        <v>Leather Shoes</v>
      </c>
    </row>
    <row r="1282" spans="1:2">
      <c r="A1282" t="s">
        <v>2078</v>
      </c>
      <c r="B1282" t="str">
        <f>_xlfn.XLOOKUP(A1282,'Hướng dẫn'!AA:AA,'Hướng dẫn'!X:X)</f>
        <v>Crew neck classic</v>
      </c>
    </row>
    <row r="1283" spans="1:2">
      <c r="A1283" t="s">
        <v>2779</v>
      </c>
      <c r="B1283" t="str">
        <f>_xlfn.XLOOKUP(A1283,'Hướng dẫn'!AA:AA,'Hướng dẫn'!X:X)</f>
        <v>Necklace</v>
      </c>
    </row>
    <row r="1284" spans="1:2">
      <c r="A1284" t="s">
        <v>2516</v>
      </c>
      <c r="B1284" t="str">
        <f>_xlfn.XLOOKUP(A1284,'Hướng dẫn'!AA:AA,'Hướng dẫn'!X:X)</f>
        <v>Scarf Satin Double Side Print</v>
      </c>
    </row>
    <row r="1285" spans="1:2">
      <c r="A1285" t="s">
        <v>2790</v>
      </c>
      <c r="B1285" t="str">
        <f>_xlfn.XLOOKUP(A1285,'Hướng dẫn'!AA:AA,'Hướng dẫn'!X:X)</f>
        <v>Bracelet</v>
      </c>
    </row>
    <row r="1286" spans="1:2">
      <c r="A1286" t="s">
        <v>2516</v>
      </c>
      <c r="B1286" t="str">
        <f>_xlfn.XLOOKUP(A1286,'Hướng dẫn'!AA:AA,'Hướng dẫn'!X:X)</f>
        <v>Scarf Satin Double Side Print</v>
      </c>
    </row>
    <row r="1287" spans="1:2">
      <c r="A1287" t="s">
        <v>3159</v>
      </c>
      <c r="B1287" t="str">
        <f>_xlfn.XLOOKUP(A1287,'Hướng dẫn'!AA:AA,'Hướng dẫn'!X:X)</f>
        <v>Coffee Powder</v>
      </c>
    </row>
    <row r="1288" spans="1:2">
      <c r="A1288" t="s">
        <v>2138</v>
      </c>
      <c r="B1288" t="str">
        <f>_xlfn.XLOOKUP(A1288,'Hướng dẫn'!AA:AA,'Hướng dẫn'!X:X)</f>
        <v>Boat Neck</v>
      </c>
    </row>
    <row r="1289" spans="1:2">
      <c r="A1289" t="s">
        <v>2078</v>
      </c>
      <c r="B1289" t="str">
        <f>_xlfn.XLOOKUP(A1289,'Hướng dẫn'!AA:AA,'Hướng dẫn'!X:X)</f>
        <v>Crew neck classic</v>
      </c>
    </row>
    <row r="1290" spans="1:2">
      <c r="A1290" t="s">
        <v>2970</v>
      </c>
      <c r="B1290" t="str">
        <f>_xlfn.XLOOKUP(A1290,'Hướng dẫn'!AA:AA,'Hướng dẫn'!X:X)</f>
        <v>Games</v>
      </c>
    </row>
    <row r="1291" spans="1:2">
      <c r="A1291" t="s">
        <v>2442</v>
      </c>
      <c r="B1291" t="str">
        <f>_xlfn.XLOOKUP(A1291,'Hướng dẫn'!AA:AA,'Hướng dẫn'!X:X)</f>
        <v>Leather Shoes</v>
      </c>
    </row>
    <row r="1292" spans="1:2">
      <c r="A1292" t="s">
        <v>3043</v>
      </c>
      <c r="B1292" t="str">
        <f>_xlfn.XLOOKUP(A1292,'Hướng dẫn'!AA:AA,'Hướng dẫn'!X:X)</f>
        <v>Tray</v>
      </c>
    </row>
    <row r="1293" spans="1:2">
      <c r="A1293" t="s">
        <v>2138</v>
      </c>
      <c r="B1293" t="str">
        <f>_xlfn.XLOOKUP(A1293,'Hướng dẫn'!AA:AA,'Hướng dẫn'!X:X)</f>
        <v>Boat Neck</v>
      </c>
    </row>
    <row r="1294" spans="1:2">
      <c r="A1294" t="s">
        <v>2996</v>
      </c>
      <c r="B1294" t="str">
        <f>_xlfn.XLOOKUP(A1294,'Hướng dẫn'!AA:AA,'Hướng dẫn'!X:X)</f>
        <v>Small Accessories</v>
      </c>
    </row>
    <row r="1295" spans="1:2">
      <c r="A1295" t="s">
        <v>2800</v>
      </c>
      <c r="B1295" t="str">
        <f>_xlfn.XLOOKUP(A1295,'Hướng dẫn'!AA:AA,'Hướng dẫn'!X:X)</f>
        <v>Earrings</v>
      </c>
    </row>
    <row r="1296" spans="1:2">
      <c r="A1296" t="s">
        <v>3067</v>
      </c>
      <c r="B1296" t="str">
        <f>_xlfn.XLOOKUP(A1296,'Hướng dẫn'!AA:AA,'Hướng dẫn'!X:X)</f>
        <v>Table cloth</v>
      </c>
    </row>
    <row r="1297" spans="1:2">
      <c r="A1297" t="s">
        <v>3159</v>
      </c>
      <c r="B1297" t="str">
        <f>_xlfn.XLOOKUP(A1297,'Hướng dẫn'!AA:AA,'Hướng dẫn'!X:X)</f>
        <v>Coffee Powder</v>
      </c>
    </row>
    <row r="1298" spans="1:2">
      <c r="A1298" t="s">
        <v>2684</v>
      </c>
      <c r="B1298" t="str">
        <f>_xlfn.XLOOKUP(A1298,'Hướng dẫn'!AA:AA,'Hướng dẫn'!X:X)</f>
        <v>Card Holder</v>
      </c>
    </row>
    <row r="1299" spans="1:2">
      <c r="A1299" t="s">
        <v>2138</v>
      </c>
      <c r="B1299" t="str">
        <f>_xlfn.XLOOKUP(A1299,'Hướng dẫn'!AA:AA,'Hướng dẫn'!X:X)</f>
        <v>Boat Neck</v>
      </c>
    </row>
    <row r="1300" spans="1:2">
      <c r="A1300" t="s">
        <v>3063</v>
      </c>
      <c r="B1300" t="str">
        <f>_xlfn.XLOOKUP(A1300,'Hướng dẫn'!AA:AA,'Hướng dẫn'!X:X)</f>
        <v>Lacquer Box</v>
      </c>
    </row>
    <row r="1301" spans="1:2">
      <c r="A1301" t="s">
        <v>3159</v>
      </c>
      <c r="B1301" t="str">
        <f>_xlfn.XLOOKUP(A1301,'Hướng dẫn'!AA:AA,'Hướng dẫn'!X:X)</f>
        <v>Coffee Powder</v>
      </c>
    </row>
    <row r="1302" spans="1:2">
      <c r="A1302" t="s">
        <v>2124</v>
      </c>
      <c r="B1302" t="str">
        <f>_xlfn.XLOOKUP(A1302,'Hướng dẫn'!AA:AA,'Hướng dẫn'!X:X)</f>
        <v>V-neck</v>
      </c>
    </row>
    <row r="1303" spans="1:2">
      <c r="A1303" t="s">
        <v>2078</v>
      </c>
      <c r="B1303" t="str">
        <f>_xlfn.XLOOKUP(A1303,'Hướng dẫn'!AA:AA,'Hướng dẫn'!X:X)</f>
        <v>Crew neck classic</v>
      </c>
    </row>
    <row r="1304" spans="1:2">
      <c r="A1304" t="s">
        <v>2684</v>
      </c>
      <c r="B1304" t="str">
        <f>_xlfn.XLOOKUP(A1304,'Hướng dẫn'!AA:AA,'Hướng dẫn'!X:X)</f>
        <v>Card Holder</v>
      </c>
    </row>
    <row r="1305" spans="1:2">
      <c r="A1305" t="s">
        <v>2684</v>
      </c>
      <c r="B1305" t="str">
        <f>_xlfn.XLOOKUP(A1305,'Hướng dẫn'!AA:AA,'Hướng dẫn'!X:X)</f>
        <v>Card Holder</v>
      </c>
    </row>
    <row r="1306" spans="1:2">
      <c r="A1306" t="s">
        <v>2694</v>
      </c>
      <c r="B1306" t="str">
        <f>_xlfn.XLOOKUP(A1306,'Hướng dẫn'!AA:AA,'Hướng dẫn'!X:X)</f>
        <v>Clutch</v>
      </c>
    </row>
    <row r="1307" spans="1:2">
      <c r="A1307" t="s">
        <v>2138</v>
      </c>
      <c r="B1307" t="str">
        <f>_xlfn.XLOOKUP(A1307,'Hướng dẫn'!AA:AA,'Hướng dẫn'!X:X)</f>
        <v>Boat Neck</v>
      </c>
    </row>
    <row r="1308" spans="1:2">
      <c r="A1308" t="s">
        <v>2078</v>
      </c>
      <c r="B1308" t="str">
        <f>_xlfn.XLOOKUP(A1308,'Hướng dẫn'!AA:AA,'Hướng dẫn'!X:X)</f>
        <v>Crew neck classic</v>
      </c>
    </row>
    <row r="1309" spans="1:2">
      <c r="A1309" t="s">
        <v>2078</v>
      </c>
      <c r="B1309" t="str">
        <f>_xlfn.XLOOKUP(A1309,'Hướng dẫn'!AA:AA,'Hướng dẫn'!X:X)</f>
        <v>Crew neck classic</v>
      </c>
    </row>
    <row r="1310" spans="1:2">
      <c r="A1310" t="s">
        <v>2601</v>
      </c>
      <c r="B1310" t="str">
        <f>_xlfn.XLOOKUP(A1310,'Hướng dẫn'!AA:AA,'Hướng dẫn'!X:X)</f>
        <v>Handbag</v>
      </c>
    </row>
    <row r="1311" spans="1:2">
      <c r="A1311" t="s">
        <v>2078</v>
      </c>
      <c r="B1311" t="str">
        <f>_xlfn.XLOOKUP(A1311,'Hướng dẫn'!AA:AA,'Hướng dẫn'!X:X)</f>
        <v>Crew neck classic</v>
      </c>
    </row>
    <row r="1312" spans="1:2">
      <c r="A1312" t="s">
        <v>2442</v>
      </c>
      <c r="B1312" t="str">
        <f>_xlfn.XLOOKUP(A1312,'Hướng dẫn'!AA:AA,'Hướng dẫn'!X:X)</f>
        <v>Leather Shoes</v>
      </c>
    </row>
    <row r="1313" spans="1:2">
      <c r="A1313" t="s">
        <v>2078</v>
      </c>
      <c r="B1313" t="str">
        <f>_xlfn.XLOOKUP(A1313,'Hướng dẫn'!AA:AA,'Hướng dẫn'!X:X)</f>
        <v>Crew neck classic</v>
      </c>
    </row>
    <row r="1314" spans="1:2">
      <c r="A1314" t="s">
        <v>2901</v>
      </c>
      <c r="B1314" t="str">
        <f>_xlfn.XLOOKUP(A1314,'Hướng dẫn'!AA:AA,'Hướng dẫn'!X:X)</f>
        <v>ART</v>
      </c>
    </row>
    <row r="1315" spans="1:2">
      <c r="A1315" t="s">
        <v>2901</v>
      </c>
      <c r="B1315" t="str">
        <f>_xlfn.XLOOKUP(A1315,'Hướng dẫn'!AA:AA,'Hướng dẫn'!X:X)</f>
        <v>ART</v>
      </c>
    </row>
    <row r="1316" spans="1:2">
      <c r="A1316" t="s">
        <v>2442</v>
      </c>
      <c r="B1316" t="str">
        <f>_xlfn.XLOOKUP(A1316,'Hướng dẫn'!AA:AA,'Hướng dẫn'!X:X)</f>
        <v>Leather Shoes</v>
      </c>
    </row>
    <row r="1317" spans="1:2">
      <c r="A1317" t="s">
        <v>2078</v>
      </c>
      <c r="B1317" t="str">
        <f>_xlfn.XLOOKUP(A1317,'Hướng dẫn'!AA:AA,'Hướng dẫn'!X:X)</f>
        <v>Crew neck classic</v>
      </c>
    </row>
    <row r="1318" spans="1:2">
      <c r="A1318" t="s">
        <v>3123</v>
      </c>
      <c r="B1318" t="str">
        <f>_xlfn.XLOOKUP(A1318,'Hướng dẫn'!AA:AA,'Hướng dẫn'!X:X)</f>
        <v>Body care</v>
      </c>
    </row>
    <row r="1319" spans="1:2">
      <c r="A1319" t="s">
        <v>2663</v>
      </c>
      <c r="B1319" t="str">
        <f>_xlfn.XLOOKUP(A1319,'Hướng dẫn'!AA:AA,'Hướng dẫn'!X:X)</f>
        <v>Cigar cover</v>
      </c>
    </row>
    <row r="1320" spans="1:2">
      <c r="A1320" t="s">
        <v>2779</v>
      </c>
      <c r="B1320" t="str">
        <f>_xlfn.XLOOKUP(A1320,'Hướng dẫn'!AA:AA,'Hướng dẫn'!X:X)</f>
        <v>Necklace</v>
      </c>
    </row>
    <row r="1321" spans="1:2">
      <c r="A1321" t="s">
        <v>2705</v>
      </c>
      <c r="B1321" t="str">
        <f>_xlfn.XLOOKUP(A1321,'Hướng dẫn'!AA:AA,'Hướng dẫn'!X:X)</f>
        <v>Wallet</v>
      </c>
    </row>
    <row r="1322" spans="1:2">
      <c r="A1322" t="s">
        <v>3043</v>
      </c>
      <c r="B1322" t="str">
        <f>_xlfn.XLOOKUP(A1322,'Hướng dẫn'!AA:AA,'Hướng dẫn'!X:X)</f>
        <v>Tray</v>
      </c>
    </row>
    <row r="1323" spans="1:2">
      <c r="A1323" t="s">
        <v>2282</v>
      </c>
      <c r="B1323" t="str">
        <f>_xlfn.XLOOKUP(A1323,'Hướng dẫn'!AA:AA,'Hướng dẫn'!X:X)</f>
        <v>Gin</v>
      </c>
    </row>
    <row r="1324" spans="1:2">
      <c r="A1324" t="s">
        <v>2078</v>
      </c>
      <c r="B1324" t="str">
        <f>_xlfn.XLOOKUP(A1324,'Hướng dẫn'!AA:AA,'Hướng dẫn'!X:X)</f>
        <v>Crew neck classic</v>
      </c>
    </row>
    <row r="1325" spans="1:2">
      <c r="A1325" t="s">
        <v>2078</v>
      </c>
      <c r="B1325" t="str">
        <f>_xlfn.XLOOKUP(A1325,'Hướng dẫn'!AA:AA,'Hướng dẫn'!X:X)</f>
        <v>Crew neck classic</v>
      </c>
    </row>
    <row r="1326" spans="1:2">
      <c r="A1326" t="s">
        <v>3151</v>
      </c>
      <c r="B1326" t="str">
        <f>_xlfn.XLOOKUP(A1326,'Hướng dẫn'!AA:AA,'Hướng dẫn'!X:X)</f>
        <v>Sake</v>
      </c>
    </row>
    <row r="1327" spans="1:2">
      <c r="A1327" t="s">
        <v>2078</v>
      </c>
      <c r="B1327" t="str">
        <f>_xlfn.XLOOKUP(A1327,'Hướng dẫn'!AA:AA,'Hướng dẫn'!X:X)</f>
        <v>Crew neck classic</v>
      </c>
    </row>
    <row r="1328" spans="1:2">
      <c r="A1328" t="s">
        <v>2977</v>
      </c>
      <c r="B1328" t="str">
        <f>_xlfn.XLOOKUP(A1328,'Hướng dẫn'!AA:AA,'Hướng dẫn'!X:X)</f>
        <v>Decorative Items</v>
      </c>
    </row>
    <row r="1329" spans="1:2">
      <c r="A1329" t="s">
        <v>3186</v>
      </c>
      <c r="B1329" t="str">
        <f>_xlfn.XLOOKUP(A1329,'Hướng dẫn'!AA:AA,'Hướng dẫn'!X:X)</f>
        <v>Coffee order</v>
      </c>
    </row>
    <row r="1330" spans="1:2">
      <c r="A1330" t="s">
        <v>2078</v>
      </c>
      <c r="B1330" t="str">
        <f>_xlfn.XLOOKUP(A1330,'Hướng dẫn'!AA:AA,'Hướng dẫn'!X:X)</f>
        <v>Crew neck classic</v>
      </c>
    </row>
    <row r="1331" spans="1:2">
      <c r="A1331" t="s">
        <v>3090</v>
      </c>
      <c r="B1331" t="str">
        <f>_xlfn.XLOOKUP(A1331,'Hướng dẫn'!AA:AA,'Hướng dẫn'!X:X)</f>
        <v>F&amp;B Accessories</v>
      </c>
    </row>
    <row r="1332" spans="1:2">
      <c r="A1332" t="s">
        <v>2901</v>
      </c>
      <c r="B1332" t="str">
        <f>_xlfn.XLOOKUP(A1332,'Hướng dẫn'!AA:AA,'Hướng dẫn'!X:X)</f>
        <v>ART</v>
      </c>
    </row>
    <row r="1333" spans="1:2">
      <c r="A1333" t="s">
        <v>2705</v>
      </c>
      <c r="B1333" t="str">
        <f>_xlfn.XLOOKUP(A1333,'Hướng dẫn'!AA:AA,'Hướng dẫn'!X:X)</f>
        <v>Wallet</v>
      </c>
    </row>
    <row r="1334" spans="1:2">
      <c r="A1334" t="s">
        <v>2442</v>
      </c>
      <c r="B1334" t="str">
        <f>_xlfn.XLOOKUP(A1334,'Hướng dẫn'!AA:AA,'Hướng dẫn'!X:X)</f>
        <v>Leather Shoes</v>
      </c>
    </row>
    <row r="1335" spans="1:2">
      <c r="A1335" t="s">
        <v>2078</v>
      </c>
      <c r="B1335" t="str">
        <f>_xlfn.XLOOKUP(A1335,'Hướng dẫn'!AA:AA,'Hướng dẫn'!X:X)</f>
        <v>Crew neck classic</v>
      </c>
    </row>
    <row r="1336" spans="1:2">
      <c r="A1336" t="s">
        <v>2442</v>
      </c>
      <c r="B1336" t="str">
        <f>_xlfn.XLOOKUP(A1336,'Hướng dẫn'!AA:AA,'Hướng dẫn'!X:X)</f>
        <v>Leather Shoes</v>
      </c>
    </row>
    <row r="1337" spans="1:2">
      <c r="A1337" t="s">
        <v>2078</v>
      </c>
      <c r="B1337" t="str">
        <f>_xlfn.XLOOKUP(A1337,'Hướng dẫn'!AA:AA,'Hướng dẫn'!X:X)</f>
        <v>Crew neck classic</v>
      </c>
    </row>
    <row r="1338" spans="1:2">
      <c r="A1338" t="s">
        <v>2779</v>
      </c>
      <c r="B1338" t="str">
        <f>_xlfn.XLOOKUP(A1338,'Hướng dẫn'!AA:AA,'Hướng dẫn'!X:X)</f>
        <v>Necklace</v>
      </c>
    </row>
    <row r="1339" spans="1:2">
      <c r="A1339" t="s">
        <v>2078</v>
      </c>
      <c r="B1339" t="str">
        <f>_xlfn.XLOOKUP(A1339,'Hướng dẫn'!AA:AA,'Hướng dẫn'!X:X)</f>
        <v>Crew neck classic</v>
      </c>
    </row>
    <row r="1340" spans="1:2">
      <c r="A1340" t="s">
        <v>2950</v>
      </c>
      <c r="B1340" t="str">
        <f>_xlfn.XLOOKUP(A1340,'Hướng dẫn'!AA:AA,'Hướng dẫn'!X:X)</f>
        <v>Notebook Perfect Bound</v>
      </c>
    </row>
    <row r="1341" spans="1:2">
      <c r="A1341" t="s">
        <v>2901</v>
      </c>
      <c r="B1341" t="str">
        <f>_xlfn.XLOOKUP(A1341,'Hướng dẫn'!AA:AA,'Hướng dẫn'!X:X)</f>
        <v>ART</v>
      </c>
    </row>
    <row r="1342" spans="1:2">
      <c r="A1342" t="s">
        <v>2078</v>
      </c>
      <c r="B1342" t="str">
        <f>_xlfn.XLOOKUP(A1342,'Hướng dẫn'!AA:AA,'Hướng dẫn'!X:X)</f>
        <v>Crew neck classic</v>
      </c>
    </row>
    <row r="1343" spans="1:2">
      <c r="A1343" t="s">
        <v>2977</v>
      </c>
      <c r="B1343" t="str">
        <f>_xlfn.XLOOKUP(A1343,'Hướng dẫn'!AA:AA,'Hướng dẫn'!X:X)</f>
        <v>Decorative Items</v>
      </c>
    </row>
    <row r="1344" spans="1:2">
      <c r="A1344" t="s">
        <v>2078</v>
      </c>
      <c r="B1344" t="str">
        <f>_xlfn.XLOOKUP(A1344,'Hướng dẫn'!AA:AA,'Hướng dẫn'!X:X)</f>
        <v>Crew neck classic</v>
      </c>
    </row>
    <row r="1345" spans="1:2">
      <c r="A1345" t="s">
        <v>2078</v>
      </c>
      <c r="B1345" t="str">
        <f>_xlfn.XLOOKUP(A1345,'Hướng dẫn'!AA:AA,'Hướng dẫn'!X:X)</f>
        <v>Crew neck classic</v>
      </c>
    </row>
    <row r="1346" spans="1:2">
      <c r="A1346" t="s">
        <v>2779</v>
      </c>
      <c r="B1346" t="str">
        <f>_xlfn.XLOOKUP(A1346,'Hướng dẫn'!AA:AA,'Hướng dẫn'!X:X)</f>
        <v>Necklace</v>
      </c>
    </row>
    <row r="1347" spans="1:2">
      <c r="A1347" t="s">
        <v>2442</v>
      </c>
      <c r="B1347" t="str">
        <f>_xlfn.XLOOKUP(A1347,'Hướng dẫn'!AA:AA,'Hướng dẫn'!X:X)</f>
        <v>Leather Shoes</v>
      </c>
    </row>
    <row r="1348" spans="1:2">
      <c r="A1348" t="s">
        <v>2442</v>
      </c>
      <c r="B1348" t="str">
        <f>_xlfn.XLOOKUP(A1348,'Hướng dẫn'!AA:AA,'Hướng dẫn'!X:X)</f>
        <v>Leather Shoes</v>
      </c>
    </row>
    <row r="1349" spans="1:2">
      <c r="A1349" t="s">
        <v>2138</v>
      </c>
      <c r="B1349" t="str">
        <f>_xlfn.XLOOKUP(A1349,'Hướng dẫn'!AA:AA,'Hướng dẫn'!X:X)</f>
        <v>Boat Neck</v>
      </c>
    </row>
    <row r="1350" spans="1:2">
      <c r="A1350" t="s">
        <v>2263</v>
      </c>
      <c r="B1350" t="str">
        <f>_xlfn.XLOOKUP(A1350,'Hướng dẫn'!AA:AA,'Hướng dẫn'!X:X)</f>
        <v>Button Waist</v>
      </c>
    </row>
    <row r="1351" spans="1:2">
      <c r="A1351" t="s">
        <v>2001</v>
      </c>
      <c r="B1351" t="str">
        <f>_xlfn.XLOOKUP(A1351,'Hướng dẫn'!AA:AA,'Hướng dẫn'!X:X)</f>
        <v>Mandarin Collar</v>
      </c>
    </row>
    <row r="1352" spans="1:2">
      <c r="A1352" t="s">
        <v>2233</v>
      </c>
      <c r="B1352" t="str">
        <f>_xlfn.XLOOKUP(A1352,'Hướng dẫn'!AA:AA,'Hướng dẫn'!X:X)</f>
        <v>Flat-Front</v>
      </c>
    </row>
    <row r="1353" spans="1:2">
      <c r="A1353" t="s">
        <v>2078</v>
      </c>
      <c r="B1353" t="str">
        <f>_xlfn.XLOOKUP(A1353,'Hướng dẫn'!AA:AA,'Hướng dẫn'!X:X)</f>
        <v>Crew neck classic</v>
      </c>
    </row>
    <row r="1354" spans="1:2">
      <c r="A1354" t="s">
        <v>3020</v>
      </c>
      <c r="B1354" t="str">
        <f>_xlfn.XLOOKUP(A1354,'Hướng dẫn'!AA:AA,'Hướng dẫn'!X:X)</f>
        <v>Coaster</v>
      </c>
    </row>
    <row r="1355" spans="1:2">
      <c r="A1355" t="s">
        <v>2078</v>
      </c>
      <c r="B1355" t="str">
        <f>_xlfn.XLOOKUP(A1355,'Hướng dẫn'!AA:AA,'Hướng dẫn'!X:X)</f>
        <v>Crew neck classic</v>
      </c>
    </row>
    <row r="1356" spans="1:2">
      <c r="A1356" t="s">
        <v>3168</v>
      </c>
      <c r="B1356" t="str">
        <f>_xlfn.XLOOKUP(A1356,'Hướng dẫn'!AA:AA,'Hướng dẫn'!X:X)</f>
        <v>Coffee Bean</v>
      </c>
    </row>
    <row r="1357" spans="1:2">
      <c r="A1357" t="s">
        <v>2078</v>
      </c>
      <c r="B1357" t="str">
        <f>_xlfn.XLOOKUP(A1357,'Hướng dẫn'!AA:AA,'Hướng dẫn'!X:X)</f>
        <v>Crew neck classic</v>
      </c>
    </row>
    <row r="1358" spans="1:2">
      <c r="A1358" t="s">
        <v>2705</v>
      </c>
      <c r="B1358" t="str">
        <f>_xlfn.XLOOKUP(A1358,'Hướng dẫn'!AA:AA,'Hướng dẫn'!X:X)</f>
        <v>Wallet</v>
      </c>
    </row>
    <row r="1359" spans="1:2">
      <c r="A1359" t="s">
        <v>2001</v>
      </c>
      <c r="B1359" t="str">
        <f>_xlfn.XLOOKUP(A1359,'Hướng dẫn'!AA:AA,'Hướng dẫn'!X:X)</f>
        <v>Mandarin Collar</v>
      </c>
    </row>
    <row r="1360" spans="1:2">
      <c r="A1360" t="s">
        <v>2001</v>
      </c>
      <c r="B1360" t="str">
        <f>_xlfn.XLOOKUP(A1360,'Hướng dẫn'!AA:AA,'Hướng dẫn'!X:X)</f>
        <v>Mandarin Collar</v>
      </c>
    </row>
    <row r="1361" spans="1:2">
      <c r="A1361" t="s">
        <v>2694</v>
      </c>
      <c r="B1361" t="str">
        <f>_xlfn.XLOOKUP(A1361,'Hướng dẫn'!AA:AA,'Hướng dẫn'!X:X)</f>
        <v>Clutch</v>
      </c>
    </row>
    <row r="1362" spans="1:2">
      <c r="A1362" t="s">
        <v>2717</v>
      </c>
      <c r="B1362" t="str">
        <f>_xlfn.XLOOKUP(A1362,'Hướng dẫn'!AA:AA,'Hướng dẫn'!X:X)</f>
        <v>Pen Case</v>
      </c>
    </row>
    <row r="1363" spans="1:2">
      <c r="A1363" t="s">
        <v>2901</v>
      </c>
      <c r="B1363" t="str">
        <f>_xlfn.XLOOKUP(A1363,'Hướng dẫn'!AA:AA,'Hướng dẫn'!X:X)</f>
        <v>ART</v>
      </c>
    </row>
    <row r="1364" spans="1:2">
      <c r="A1364" t="s">
        <v>2078</v>
      </c>
      <c r="B1364" t="str">
        <f>_xlfn.XLOOKUP(A1364,'Hướng dẫn'!AA:AA,'Hướng dẫn'!X:X)</f>
        <v>Crew neck classic</v>
      </c>
    </row>
    <row r="1365" spans="1:2">
      <c r="A1365" t="s">
        <v>2078</v>
      </c>
      <c r="B1365" t="str">
        <f>_xlfn.XLOOKUP(A1365,'Hướng dẫn'!AA:AA,'Hướng dẫn'!X:X)</f>
        <v>Crew neck classic</v>
      </c>
    </row>
    <row r="1366" spans="1:2">
      <c r="A1366" t="s">
        <v>2078</v>
      </c>
      <c r="B1366" t="str">
        <f>_xlfn.XLOOKUP(A1366,'Hướng dẫn'!AA:AA,'Hướng dẫn'!X:X)</f>
        <v>Crew neck classic</v>
      </c>
    </row>
    <row r="1367" spans="1:2">
      <c r="A1367" t="s">
        <v>2516</v>
      </c>
      <c r="B1367" t="str">
        <f>_xlfn.XLOOKUP(A1367,'Hướng dẫn'!AA:AA,'Hướng dẫn'!X:X)</f>
        <v>Scarf Satin Double Side Print</v>
      </c>
    </row>
    <row r="1368" spans="1:2">
      <c r="A1368" t="s">
        <v>2684</v>
      </c>
      <c r="B1368" t="str">
        <f>_xlfn.XLOOKUP(A1368,'Hướng dẫn'!AA:AA,'Hướng dẫn'!X:X)</f>
        <v>Card Holder</v>
      </c>
    </row>
    <row r="1369" spans="1:2">
      <c r="A1369" t="s">
        <v>2779</v>
      </c>
      <c r="B1369" t="str">
        <f>_xlfn.XLOOKUP(A1369,'Hướng dẫn'!AA:AA,'Hướng dẫn'!X:X)</f>
        <v>Necklace</v>
      </c>
    </row>
    <row r="1370" spans="1:2">
      <c r="A1370" t="s">
        <v>2779</v>
      </c>
      <c r="B1370" t="str">
        <f>_xlfn.XLOOKUP(A1370,'Hướng dẫn'!AA:AA,'Hướng dẫn'!X:X)</f>
        <v>Necklace</v>
      </c>
    </row>
    <row r="1371" spans="1:2">
      <c r="A1371" t="s">
        <v>3159</v>
      </c>
      <c r="B1371" t="str">
        <f>_xlfn.XLOOKUP(A1371,'Hướng dẫn'!AA:AA,'Hướng dẫn'!X:X)</f>
        <v>Coffee Powder</v>
      </c>
    </row>
    <row r="1372" spans="1:2">
      <c r="A1372" t="s">
        <v>2516</v>
      </c>
      <c r="B1372" t="str">
        <f>_xlfn.XLOOKUP(A1372,'Hướng dẫn'!AA:AA,'Hướng dẫn'!X:X)</f>
        <v>Scarf Satin Double Side Print</v>
      </c>
    </row>
    <row r="1373" spans="1:2">
      <c r="A1373" t="s">
        <v>2516</v>
      </c>
      <c r="B1373" t="str">
        <f>_xlfn.XLOOKUP(A1373,'Hướng dẫn'!AA:AA,'Hướng dẫn'!X:X)</f>
        <v>Scarf Satin Double Side Print</v>
      </c>
    </row>
    <row r="1374" spans="1:2">
      <c r="A1374" t="s">
        <v>2078</v>
      </c>
      <c r="B1374" t="str">
        <f>_xlfn.XLOOKUP(A1374,'Hướng dẫn'!AA:AA,'Hướng dẫn'!X:X)</f>
        <v>Crew neck classic</v>
      </c>
    </row>
    <row r="1375" spans="1:2">
      <c r="A1375" t="s">
        <v>2500</v>
      </c>
      <c r="B1375" t="str">
        <f>_xlfn.XLOOKUP(A1375,'Hướng dẫn'!AA:AA,'Hướng dẫn'!X:X)</f>
        <v>Scarf Satin Single-Sided</v>
      </c>
    </row>
    <row r="1376" spans="1:2">
      <c r="A1376" t="s">
        <v>2977</v>
      </c>
      <c r="B1376" t="str">
        <f>_xlfn.XLOOKUP(A1376,'Hướng dẫn'!AA:AA,'Hướng dẫn'!X:X)</f>
        <v>Decorative Items</v>
      </c>
    </row>
    <row r="1377" spans="1:2">
      <c r="A1377" t="s">
        <v>2078</v>
      </c>
      <c r="B1377" t="str">
        <f>_xlfn.XLOOKUP(A1377,'Hướng dẫn'!AA:AA,'Hướng dẫn'!X:X)</f>
        <v>Crew neck classic</v>
      </c>
    </row>
    <row r="1378" spans="1:2">
      <c r="A1378" t="s">
        <v>2970</v>
      </c>
      <c r="B1378" t="str">
        <f>_xlfn.XLOOKUP(A1378,'Hướng dẫn'!AA:AA,'Hướng dẫn'!X:X)</f>
        <v>Games</v>
      </c>
    </row>
    <row r="1379" spans="1:2">
      <c r="A1379" t="s">
        <v>2800</v>
      </c>
      <c r="B1379" t="str">
        <f>_xlfn.XLOOKUP(A1379,'Hướng dẫn'!AA:AA,'Hướng dẫn'!X:X)</f>
        <v>Earrings</v>
      </c>
    </row>
    <row r="1380" spans="1:2">
      <c r="A1380" t="s">
        <v>2425</v>
      </c>
      <c r="B1380" t="str">
        <f>_xlfn.XLOOKUP(A1380,'Hướng dẫn'!AA:AA,'Hướng dẫn'!X:X)</f>
        <v>Flats</v>
      </c>
    </row>
    <row r="1381" spans="1:2">
      <c r="A1381" t="s">
        <v>2779</v>
      </c>
      <c r="B1381" t="str">
        <f>_xlfn.XLOOKUP(A1381,'Hướng dẫn'!AA:AA,'Hướng dẫn'!X:X)</f>
        <v>Necklace</v>
      </c>
    </row>
    <row r="1382" spans="1:2">
      <c r="A1382" t="s">
        <v>2078</v>
      </c>
      <c r="B1382" t="str">
        <f>_xlfn.XLOOKUP(A1382,'Hướng dẫn'!AA:AA,'Hướng dẫn'!X:X)</f>
        <v>Crew neck classic</v>
      </c>
    </row>
    <row r="1383" spans="1:2">
      <c r="A1383" t="s">
        <v>2078</v>
      </c>
      <c r="B1383" t="str">
        <f>_xlfn.XLOOKUP(A1383,'Hướng dẫn'!AA:AA,'Hướng dẫn'!X:X)</f>
        <v>Crew neck classic</v>
      </c>
    </row>
    <row r="1384" spans="1:2">
      <c r="A1384" t="s">
        <v>2078</v>
      </c>
      <c r="B1384" t="str">
        <f>_xlfn.XLOOKUP(A1384,'Hướng dẫn'!AA:AA,'Hướng dẫn'!X:X)</f>
        <v>Crew neck classic</v>
      </c>
    </row>
    <row r="1385" spans="1:2">
      <c r="A1385" t="s">
        <v>2078</v>
      </c>
      <c r="B1385" t="str">
        <f>_xlfn.XLOOKUP(A1385,'Hướng dẫn'!AA:AA,'Hướng dẫn'!X:X)</f>
        <v>Crew neck classic</v>
      </c>
    </row>
    <row r="1386" spans="1:2">
      <c r="A1386" t="s">
        <v>2601</v>
      </c>
      <c r="B1386" t="str">
        <f>_xlfn.XLOOKUP(A1386,'Hướng dẫn'!AA:AA,'Hướng dẫn'!X:X)</f>
        <v>Handbag</v>
      </c>
    </row>
    <row r="1387" spans="1:2">
      <c r="A1387" t="s">
        <v>2379</v>
      </c>
      <c r="B1387" t="str">
        <f>_xlfn.XLOOKUP(A1387,'Hướng dẫn'!AA:AA,'Hướng dẫn'!X:X)</f>
        <v>Slippers</v>
      </c>
    </row>
    <row r="1388" spans="1:2">
      <c r="A1388" t="s">
        <v>2617</v>
      </c>
      <c r="B1388" t="str">
        <f>_xlfn.XLOOKUP(A1388,'Hướng dẫn'!AA:AA,'Hướng dẫn'!X:X)</f>
        <v>Crossbody bag</v>
      </c>
    </row>
    <row r="1389" spans="1:2">
      <c r="A1389" t="s">
        <v>2977</v>
      </c>
      <c r="B1389" t="str">
        <f>_xlfn.XLOOKUP(A1389,'Hướng dẫn'!AA:AA,'Hướng dẫn'!X:X)</f>
        <v>Decorative Items</v>
      </c>
    </row>
    <row r="1390" spans="1:2">
      <c r="A1390" t="s">
        <v>2901</v>
      </c>
      <c r="B1390" t="str">
        <f>_xlfn.XLOOKUP(A1390,'Hướng dẫn'!AA:AA,'Hướng dẫn'!X:X)</f>
        <v>ART</v>
      </c>
    </row>
    <row r="1391" spans="1:2">
      <c r="A1391" t="s">
        <v>2078</v>
      </c>
      <c r="B1391" t="str">
        <f>_xlfn.XLOOKUP(A1391,'Hướng dẫn'!AA:AA,'Hướng dẫn'!X:X)</f>
        <v>Crew neck classic</v>
      </c>
    </row>
    <row r="1392" spans="1:2">
      <c r="A1392" t="s">
        <v>2078</v>
      </c>
      <c r="B1392" t="str">
        <f>_xlfn.XLOOKUP(A1392,'Hướng dẫn'!AA:AA,'Hướng dẫn'!X:X)</f>
        <v>Crew neck classic</v>
      </c>
    </row>
    <row r="1393" spans="1:2">
      <c r="A1393" t="s">
        <v>2078</v>
      </c>
      <c r="B1393" t="str">
        <f>_xlfn.XLOOKUP(A1393,'Hướng dẫn'!AA:AA,'Hướng dẫn'!X:X)</f>
        <v>Crew neck classic</v>
      </c>
    </row>
    <row r="1394" spans="1:2">
      <c r="A1394" t="s">
        <v>2233</v>
      </c>
      <c r="B1394" t="str">
        <f>_xlfn.XLOOKUP(A1394,'Hướng dẫn'!AA:AA,'Hướng dẫn'!X:X)</f>
        <v>Flat-Front</v>
      </c>
    </row>
    <row r="1395" spans="1:2">
      <c r="A1395" t="s">
        <v>3186</v>
      </c>
      <c r="B1395" t="str">
        <f>_xlfn.XLOOKUP(A1395,'Hướng dẫn'!AA:AA,'Hướng dẫn'!X:X)</f>
        <v>Coffee order</v>
      </c>
    </row>
    <row r="1396" spans="1:2">
      <c r="A1396" t="s">
        <v>2977</v>
      </c>
      <c r="B1396" t="str">
        <f>_xlfn.XLOOKUP(A1396,'Hướng dẫn'!AA:AA,'Hướng dẫn'!X:X)</f>
        <v>Decorative Items</v>
      </c>
    </row>
    <row r="1397" spans="1:2">
      <c r="A1397" t="s">
        <v>2901</v>
      </c>
      <c r="B1397" t="str">
        <f>_xlfn.XLOOKUP(A1397,'Hướng dẫn'!AA:AA,'Hướng dẫn'!X:X)</f>
        <v>ART</v>
      </c>
    </row>
    <row r="1398" spans="1:2">
      <c r="A1398" t="s">
        <v>3186</v>
      </c>
      <c r="B1398" t="str">
        <f>_xlfn.XLOOKUP(A1398,'Hướng dẫn'!AA:AA,'Hướng dẫn'!X:X)</f>
        <v>Coffee order</v>
      </c>
    </row>
    <row r="1399" spans="1:2">
      <c r="A1399" t="s">
        <v>2779</v>
      </c>
      <c r="B1399" t="str">
        <f>_xlfn.XLOOKUP(A1399,'Hướng dẫn'!AA:AA,'Hướng dẫn'!X:X)</f>
        <v>Necklace</v>
      </c>
    </row>
    <row r="1400" spans="1:2">
      <c r="A1400" t="s">
        <v>3043</v>
      </c>
      <c r="B1400" t="str">
        <f>_xlfn.XLOOKUP(A1400,'Hướng dẫn'!AA:AA,'Hướng dẫn'!X:X)</f>
        <v>Tray</v>
      </c>
    </row>
    <row r="1401" spans="1:2">
      <c r="A1401" t="s">
        <v>2078</v>
      </c>
      <c r="B1401" t="str">
        <f>_xlfn.XLOOKUP(A1401,'Hướng dẫn'!AA:AA,'Hướng dẫn'!X:X)</f>
        <v>Crew neck classic</v>
      </c>
    </row>
    <row r="1402" spans="1:2">
      <c r="A1402" t="s">
        <v>2078</v>
      </c>
      <c r="B1402" t="str">
        <f>_xlfn.XLOOKUP(A1402,'Hướng dẫn'!AA:AA,'Hướng dẫn'!X:X)</f>
        <v>Crew neck classic</v>
      </c>
    </row>
    <row r="1403" spans="1:2">
      <c r="A1403" t="s">
        <v>2516</v>
      </c>
      <c r="B1403" t="str">
        <f>_xlfn.XLOOKUP(A1403,'Hướng dẫn'!AA:AA,'Hướng dẫn'!X:X)</f>
        <v>Scarf Satin Double Side Print</v>
      </c>
    </row>
    <row r="1404" spans="1:2">
      <c r="A1404" t="s">
        <v>3186</v>
      </c>
      <c r="B1404" t="str">
        <f>_xlfn.XLOOKUP(A1404,'Hướng dẫn'!AA:AA,'Hướng dẫn'!X:X)</f>
        <v>Coffee order</v>
      </c>
    </row>
    <row r="1405" spans="1:2">
      <c r="A1405" t="s">
        <v>2078</v>
      </c>
      <c r="B1405" t="str">
        <f>_xlfn.XLOOKUP(A1405,'Hướng dẫn'!AA:AA,'Hướng dẫn'!X:X)</f>
        <v>Crew neck classic</v>
      </c>
    </row>
    <row r="1406" spans="1:2">
      <c r="A1406" t="s">
        <v>2694</v>
      </c>
      <c r="B1406" t="str">
        <f>_xlfn.XLOOKUP(A1406,'Hướng dẫn'!AA:AA,'Hướng dẫn'!X:X)</f>
        <v>Clutch</v>
      </c>
    </row>
    <row r="1407" spans="1:2">
      <c r="A1407" t="s">
        <v>2394</v>
      </c>
      <c r="B1407" t="str">
        <f>_xlfn.XLOOKUP(A1407,'Hướng dẫn'!AA:AA,'Hướng dẫn'!X:X)</f>
        <v>Sneaker</v>
      </c>
    </row>
    <row r="1408" spans="1:2">
      <c r="A1408" t="s">
        <v>2516</v>
      </c>
      <c r="B1408" t="str">
        <f>_xlfn.XLOOKUP(A1408,'Hướng dẫn'!AA:AA,'Hướng dẫn'!X:X)</f>
        <v>Scarf Satin Double Side Print</v>
      </c>
    </row>
    <row r="1409" spans="1:2">
      <c r="A1409" t="s">
        <v>2694</v>
      </c>
      <c r="B1409" t="str">
        <f>_xlfn.XLOOKUP(A1409,'Hướng dẫn'!AA:AA,'Hướng dẫn'!X:X)</f>
        <v>Clutch</v>
      </c>
    </row>
    <row r="1410" spans="1:2">
      <c r="A1410" t="s">
        <v>2078</v>
      </c>
      <c r="B1410" t="str">
        <f>_xlfn.XLOOKUP(A1410,'Hướng dẫn'!AA:AA,'Hướng dẫn'!X:X)</f>
        <v>Crew neck classic</v>
      </c>
    </row>
    <row r="1411" spans="1:2">
      <c r="A1411" t="s">
        <v>2442</v>
      </c>
      <c r="B1411" t="str">
        <f>_xlfn.XLOOKUP(A1411,'Hướng dẫn'!AA:AA,'Hướng dẫn'!X:X)</f>
        <v>Leather Shoes</v>
      </c>
    </row>
    <row r="1412" spans="1:2">
      <c r="A1412" t="s">
        <v>2901</v>
      </c>
      <c r="B1412" t="str">
        <f>_xlfn.XLOOKUP(A1412,'Hướng dẫn'!AA:AA,'Hướng dẫn'!X:X)</f>
        <v>ART</v>
      </c>
    </row>
    <row r="1413" spans="1:2">
      <c r="A1413" t="s">
        <v>2442</v>
      </c>
      <c r="B1413" t="str">
        <f>_xlfn.XLOOKUP(A1413,'Hướng dẫn'!AA:AA,'Hướng dẫn'!X:X)</f>
        <v>Leather Shoes</v>
      </c>
    </row>
    <row r="1414" spans="1:2">
      <c r="A1414" t="s">
        <v>2601</v>
      </c>
      <c r="B1414" t="str">
        <f>_xlfn.XLOOKUP(A1414,'Hướng dẫn'!AA:AA,'Hướng dẫn'!X:X)</f>
        <v>Handbag</v>
      </c>
    </row>
    <row r="1415" spans="1:2">
      <c r="A1415" t="s">
        <v>2078</v>
      </c>
      <c r="B1415" t="str">
        <f>_xlfn.XLOOKUP(A1415,'Hướng dẫn'!AA:AA,'Hướng dẫn'!X:X)</f>
        <v>Crew neck classic</v>
      </c>
    </row>
    <row r="1416" spans="1:2">
      <c r="A1416" t="s">
        <v>2078</v>
      </c>
      <c r="B1416" t="str">
        <f>_xlfn.XLOOKUP(A1416,'Hướng dẫn'!AA:AA,'Hướng dẫn'!X:X)</f>
        <v>Crew neck classic</v>
      </c>
    </row>
    <row r="1417" spans="1:2">
      <c r="A1417" t="s">
        <v>3168</v>
      </c>
      <c r="B1417" t="str">
        <f>_xlfn.XLOOKUP(A1417,'Hướng dẫn'!AA:AA,'Hướng dẫn'!X:X)</f>
        <v>Coffee Bean</v>
      </c>
    </row>
    <row r="1418" spans="1:2">
      <c r="A1418" t="s">
        <v>2001</v>
      </c>
      <c r="B1418" t="str">
        <f>_xlfn.XLOOKUP(A1418,'Hướng dẫn'!AA:AA,'Hướng dẫn'!X:X)</f>
        <v>Mandarin Collar</v>
      </c>
    </row>
    <row r="1419" spans="1:2">
      <c r="A1419" t="s">
        <v>2601</v>
      </c>
      <c r="B1419" t="str">
        <f>_xlfn.XLOOKUP(A1419,'Hướng dẫn'!AA:AA,'Hướng dẫn'!X:X)</f>
        <v>Handbag</v>
      </c>
    </row>
    <row r="1420" spans="1:2">
      <c r="A1420" t="s">
        <v>2394</v>
      </c>
      <c r="B1420" t="str">
        <f>_xlfn.XLOOKUP(A1420,'Hướng dẫn'!AA:AA,'Hướng dẫn'!X:X)</f>
        <v>Sneaker</v>
      </c>
    </row>
    <row r="1421" spans="1:2">
      <c r="A1421" t="s">
        <v>2977</v>
      </c>
      <c r="B1421" t="str">
        <f>_xlfn.XLOOKUP(A1421,'Hướng dẫn'!AA:AA,'Hướng dẫn'!X:X)</f>
        <v>Decorative Items</v>
      </c>
    </row>
    <row r="1422" spans="1:2">
      <c r="A1422" t="s">
        <v>2078</v>
      </c>
      <c r="B1422" t="str">
        <f>_xlfn.XLOOKUP(A1422,'Hướng dẫn'!AA:AA,'Hướng dẫn'!X:X)</f>
        <v>Crew neck classic</v>
      </c>
    </row>
    <row r="1423" spans="1:2">
      <c r="A1423" t="s">
        <v>3186</v>
      </c>
      <c r="B1423" t="str">
        <f>_xlfn.XLOOKUP(A1423,'Hướng dẫn'!AA:AA,'Hướng dẫn'!X:X)</f>
        <v>Coffee order</v>
      </c>
    </row>
    <row r="1424" spans="1:2">
      <c r="A1424" t="s">
        <v>2078</v>
      </c>
      <c r="B1424" t="str">
        <f>_xlfn.XLOOKUP(A1424,'Hướng dẫn'!AA:AA,'Hướng dẫn'!X:X)</f>
        <v>Crew neck classic</v>
      </c>
    </row>
    <row r="1425" spans="1:2">
      <c r="A1425" t="s">
        <v>2394</v>
      </c>
      <c r="B1425" t="str">
        <f>_xlfn.XLOOKUP(A1425,'Hướng dẫn'!AA:AA,'Hướng dẫn'!X:X)</f>
        <v>Sneaker</v>
      </c>
    </row>
    <row r="1426" spans="1:2">
      <c r="A1426" t="s">
        <v>2078</v>
      </c>
      <c r="B1426" t="str">
        <f>_xlfn.XLOOKUP(A1426,'Hướng dẫn'!AA:AA,'Hướng dẫn'!X:X)</f>
        <v>Crew neck classic</v>
      </c>
    </row>
    <row r="1427" spans="1:2">
      <c r="A1427" t="s">
        <v>2977</v>
      </c>
      <c r="B1427" t="str">
        <f>_xlfn.XLOOKUP(A1427,'Hướng dẫn'!AA:AA,'Hướng dẫn'!X:X)</f>
        <v>Decorative Items</v>
      </c>
    </row>
    <row r="1428" spans="1:2">
      <c r="A1428" t="s">
        <v>3016</v>
      </c>
      <c r="B1428" t="str">
        <f>_xlfn.XLOOKUP(A1428,'Hướng dẫn'!AA:AA,'Hướng dẫn'!X:X)</f>
        <v>Cushion Cover</v>
      </c>
    </row>
    <row r="1429" spans="1:2">
      <c r="A1429" t="s">
        <v>2138</v>
      </c>
      <c r="B1429" t="str">
        <f>_xlfn.XLOOKUP(A1429,'Hướng dẫn'!AA:AA,'Hướng dẫn'!X:X)</f>
        <v>Boat Neck</v>
      </c>
    </row>
    <row r="1430" spans="1:2">
      <c r="A1430" t="s">
        <v>2078</v>
      </c>
      <c r="B1430" t="str">
        <f>_xlfn.XLOOKUP(A1430,'Hướng dẫn'!AA:AA,'Hướng dẫn'!X:X)</f>
        <v>Crew neck classic</v>
      </c>
    </row>
    <row r="1431" spans="1:2">
      <c r="A1431" t="s">
        <v>2790</v>
      </c>
      <c r="B1431" t="str">
        <f>_xlfn.XLOOKUP(A1431,'Hướng dẫn'!AA:AA,'Hướng dẫn'!X:X)</f>
        <v>Bracelet</v>
      </c>
    </row>
    <row r="1432" spans="1:2">
      <c r="A1432" t="s">
        <v>2790</v>
      </c>
      <c r="B1432" t="str">
        <f>_xlfn.XLOOKUP(A1432,'Hướng dẫn'!AA:AA,'Hướng dẫn'!X:X)</f>
        <v>Bracelet</v>
      </c>
    </row>
    <row r="1433" spans="1:2">
      <c r="A1433" t="s">
        <v>2078</v>
      </c>
      <c r="B1433" t="str">
        <f>_xlfn.XLOOKUP(A1433,'Hướng dẫn'!AA:AA,'Hướng dẫn'!X:X)</f>
        <v>Crew neck classic</v>
      </c>
    </row>
    <row r="1434" spans="1:2">
      <c r="A1434" t="s">
        <v>3063</v>
      </c>
      <c r="B1434" t="str">
        <f>_xlfn.XLOOKUP(A1434,'Hướng dẫn'!AA:AA,'Hướng dẫn'!X:X)</f>
        <v>Lacquer Box</v>
      </c>
    </row>
    <row r="1435" spans="1:2">
      <c r="A1435" t="s">
        <v>2078</v>
      </c>
      <c r="B1435" t="str">
        <f>_xlfn.XLOOKUP(A1435,'Hướng dẫn'!AA:AA,'Hướng dẫn'!X:X)</f>
        <v>Crew neck classic</v>
      </c>
    </row>
    <row r="1436" spans="1:2">
      <c r="A1436" t="s">
        <v>2901</v>
      </c>
      <c r="B1436" t="str">
        <f>_xlfn.XLOOKUP(A1436,'Hướng dẫn'!AA:AA,'Hướng dẫn'!X:X)</f>
        <v>ART</v>
      </c>
    </row>
    <row r="1437" spans="1:2">
      <c r="A1437" t="s">
        <v>2078</v>
      </c>
      <c r="B1437" t="str">
        <f>_xlfn.XLOOKUP(A1437,'Hướng dẫn'!AA:AA,'Hướng dẫn'!X:X)</f>
        <v>Crew neck classic</v>
      </c>
    </row>
    <row r="1438" spans="1:2">
      <c r="A1438" t="s">
        <v>2078</v>
      </c>
      <c r="B1438" t="str">
        <f>_xlfn.XLOOKUP(A1438,'Hướng dẫn'!AA:AA,'Hướng dẫn'!X:X)</f>
        <v>Crew neck classic</v>
      </c>
    </row>
    <row r="1439" spans="1:2">
      <c r="A1439" t="s">
        <v>2779</v>
      </c>
      <c r="B1439" t="str">
        <f>_xlfn.XLOOKUP(A1439,'Hướng dẫn'!AA:AA,'Hướng dẫn'!X:X)</f>
        <v>Necklace</v>
      </c>
    </row>
    <row r="1440" spans="1:2">
      <c r="A1440" t="s">
        <v>3159</v>
      </c>
      <c r="B1440" t="str">
        <f>_xlfn.XLOOKUP(A1440,'Hướng dẫn'!AA:AA,'Hướng dẫn'!X:X)</f>
        <v>Coffee Powder</v>
      </c>
    </row>
    <row r="1441" spans="1:2">
      <c r="A1441" t="s">
        <v>3081</v>
      </c>
      <c r="B1441" t="str">
        <f>_xlfn.XLOOKUP(A1441,'Hướng dẫn'!AA:AA,'Hướng dẫn'!X:X)</f>
        <v>Letter Rack</v>
      </c>
    </row>
    <row r="1442" spans="1:2">
      <c r="A1442" t="s">
        <v>2516</v>
      </c>
      <c r="B1442" t="str">
        <f>_xlfn.XLOOKUP(A1442,'Hướng dẫn'!AA:AA,'Hướng dẫn'!X:X)</f>
        <v>Scarf Satin Double Side Print</v>
      </c>
    </row>
    <row r="1443" spans="1:2">
      <c r="A1443" t="s">
        <v>2078</v>
      </c>
      <c r="B1443" t="str">
        <f>_xlfn.XLOOKUP(A1443,'Hướng dẫn'!AA:AA,'Hướng dẫn'!X:X)</f>
        <v>Crew neck classic</v>
      </c>
    </row>
    <row r="1444" spans="1:2">
      <c r="A1444" t="s">
        <v>2078</v>
      </c>
      <c r="B1444" t="str">
        <f>_xlfn.XLOOKUP(A1444,'Hướng dẫn'!AA:AA,'Hướng dẫn'!X:X)</f>
        <v>Crew neck classic</v>
      </c>
    </row>
    <row r="1445" spans="1:2">
      <c r="A1445" t="s">
        <v>2601</v>
      </c>
      <c r="B1445" t="str">
        <f>_xlfn.XLOOKUP(A1445,'Hướng dẫn'!AA:AA,'Hướng dẫn'!X:X)</f>
        <v>Handbag</v>
      </c>
    </row>
    <row r="1446" spans="1:2">
      <c r="A1446" t="s">
        <v>2500</v>
      </c>
      <c r="B1446" t="str">
        <f>_xlfn.XLOOKUP(A1446,'Hướng dẫn'!AA:AA,'Hướng dẫn'!X:X)</f>
        <v>Scarf Satin Single-Sided</v>
      </c>
    </row>
    <row r="1447" spans="1:2">
      <c r="A1447" t="s">
        <v>2078</v>
      </c>
      <c r="B1447" t="str">
        <f>_xlfn.XLOOKUP(A1447,'Hướng dẫn'!AA:AA,'Hướng dẫn'!X:X)</f>
        <v>Crew neck classic</v>
      </c>
    </row>
    <row r="1448" spans="1:2">
      <c r="A1448" t="s">
        <v>2442</v>
      </c>
      <c r="B1448" t="str">
        <f>_xlfn.XLOOKUP(A1448,'Hướng dẫn'!AA:AA,'Hướng dẫn'!X:X)</f>
        <v>Leather Shoes</v>
      </c>
    </row>
    <row r="1449" spans="1:2">
      <c r="A1449" t="s">
        <v>2601</v>
      </c>
      <c r="B1449" t="str">
        <f>_xlfn.XLOOKUP(A1449,'Hướng dẫn'!AA:AA,'Hướng dẫn'!X:X)</f>
        <v>Handbag</v>
      </c>
    </row>
    <row r="1450" spans="1:2">
      <c r="A1450" t="s">
        <v>3016</v>
      </c>
      <c r="B1450" t="str">
        <f>_xlfn.XLOOKUP(A1450,'Hướng dẫn'!AA:AA,'Hướng dẫn'!X:X)</f>
        <v>Cushion Cover</v>
      </c>
    </row>
    <row r="1451" spans="1:2">
      <c r="A1451" t="s">
        <v>2977</v>
      </c>
      <c r="B1451" t="str">
        <f>_xlfn.XLOOKUP(A1451,'Hướng dẫn'!AA:AA,'Hướng dẫn'!X:X)</f>
        <v>Decorative Items</v>
      </c>
    </row>
    <row r="1452" spans="1:2">
      <c r="A1452" t="s">
        <v>2779</v>
      </c>
      <c r="B1452" t="str">
        <f>_xlfn.XLOOKUP(A1452,'Hướng dẫn'!AA:AA,'Hướng dẫn'!X:X)</f>
        <v>Necklace</v>
      </c>
    </row>
    <row r="1453" spans="1:2">
      <c r="A1453" t="s">
        <v>3159</v>
      </c>
      <c r="B1453" t="str">
        <f>_xlfn.XLOOKUP(A1453,'Hướng dẫn'!AA:AA,'Hướng dẫn'!X:X)</f>
        <v>Coffee Powder</v>
      </c>
    </row>
    <row r="1454" spans="1:2">
      <c r="A1454" t="s">
        <v>2078</v>
      </c>
      <c r="B1454" t="str">
        <f>_xlfn.XLOOKUP(A1454,'Hướng dẫn'!AA:AA,'Hướng dẫn'!X:X)</f>
        <v>Crew neck classic</v>
      </c>
    </row>
    <row r="1455" spans="1:2">
      <c r="A1455" t="s">
        <v>2705</v>
      </c>
      <c r="B1455" t="str">
        <f>_xlfn.XLOOKUP(A1455,'Hướng dẫn'!AA:AA,'Hướng dẫn'!X:X)</f>
        <v>Wallet</v>
      </c>
    </row>
    <row r="1456" spans="1:2">
      <c r="A1456" t="s">
        <v>2078</v>
      </c>
      <c r="B1456" t="str">
        <f>_xlfn.XLOOKUP(A1456,'Hướng dẫn'!AA:AA,'Hướng dẫn'!X:X)</f>
        <v>Crew neck classic</v>
      </c>
    </row>
    <row r="1457" spans="1:2">
      <c r="A1457" t="s">
        <v>2092</v>
      </c>
      <c r="B1457" t="str">
        <f>_xlfn.XLOOKUP(A1457,'Hướng dẫn'!AA:AA,'Hướng dẫn'!X:X)</f>
        <v>High crew neck classic</v>
      </c>
    </row>
    <row r="1458" spans="1:2">
      <c r="A1458" t="s">
        <v>2092</v>
      </c>
      <c r="B1458" t="str">
        <f>_xlfn.XLOOKUP(A1458,'Hướng dẫn'!AA:AA,'Hướng dẫn'!X:X)</f>
        <v>High crew neck classic</v>
      </c>
    </row>
    <row r="1459" spans="1:2">
      <c r="A1459" t="s">
        <v>2092</v>
      </c>
      <c r="B1459" t="str">
        <f>_xlfn.XLOOKUP(A1459,'Hướng dẫn'!AA:AA,'Hướng dẫn'!X:X)</f>
        <v>High crew neck classic</v>
      </c>
    </row>
    <row r="1460" spans="1:2">
      <c r="A1460" t="s">
        <v>2138</v>
      </c>
      <c r="B1460" t="str">
        <f>_xlfn.XLOOKUP(A1460,'Hướng dẫn'!AA:AA,'Hướng dẫn'!X:X)</f>
        <v>Boat Neck</v>
      </c>
    </row>
    <row r="1461" spans="1:2">
      <c r="A1461" t="s">
        <v>2500</v>
      </c>
      <c r="B1461" t="str">
        <f>_xlfn.XLOOKUP(A1461,'Hướng dẫn'!AA:AA,'Hướng dẫn'!X:X)</f>
        <v>Scarf Satin Single-Sided</v>
      </c>
    </row>
    <row r="1462" spans="1:2">
      <c r="A1462" t="s">
        <v>2901</v>
      </c>
      <c r="B1462" t="str">
        <f>_xlfn.XLOOKUP(A1462,'Hướng dẫn'!AA:AA,'Hướng dẫn'!X:X)</f>
        <v>ART</v>
      </c>
    </row>
    <row r="1463" spans="1:2">
      <c r="A1463" t="s">
        <v>2779</v>
      </c>
      <c r="B1463" t="str">
        <f>_xlfn.XLOOKUP(A1463,'Hướng dẫn'!AA:AA,'Hướng dẫn'!X:X)</f>
        <v>Necklace</v>
      </c>
    </row>
    <row r="1464" spans="1:2">
      <c r="A1464" t="s">
        <v>2078</v>
      </c>
      <c r="B1464" t="str">
        <f>_xlfn.XLOOKUP(A1464,'Hướng dẫn'!AA:AA,'Hướng dẫn'!X:X)</f>
        <v>Crew neck classic</v>
      </c>
    </row>
    <row r="1465" spans="1:2">
      <c r="A1465" t="s">
        <v>2977</v>
      </c>
      <c r="B1465" t="str">
        <f>_xlfn.XLOOKUP(A1465,'Hướng dẫn'!AA:AA,'Hướng dẫn'!X:X)</f>
        <v>Decorative Items</v>
      </c>
    </row>
    <row r="1466" spans="1:2">
      <c r="A1466" t="s">
        <v>3043</v>
      </c>
      <c r="B1466" t="str">
        <f>_xlfn.XLOOKUP(A1466,'Hướng dẫn'!AA:AA,'Hướng dẫn'!X:X)</f>
        <v>Tray</v>
      </c>
    </row>
    <row r="1467" spans="1:2">
      <c r="A1467" t="s">
        <v>2684</v>
      </c>
      <c r="B1467" t="str">
        <f>_xlfn.XLOOKUP(A1467,'Hướng dẫn'!AA:AA,'Hướng dẫn'!X:X)</f>
        <v>Card Holder</v>
      </c>
    </row>
    <row r="1468" spans="1:2">
      <c r="A1468" t="s">
        <v>2078</v>
      </c>
      <c r="B1468" t="str">
        <f>_xlfn.XLOOKUP(A1468,'Hướng dẫn'!AA:AA,'Hướng dẫn'!X:X)</f>
        <v>Crew neck classic</v>
      </c>
    </row>
    <row r="1469" spans="1:2">
      <c r="A1469" t="s">
        <v>2078</v>
      </c>
      <c r="B1469" t="str">
        <f>_xlfn.XLOOKUP(A1469,'Hướng dẫn'!AA:AA,'Hướng dẫn'!X:X)</f>
        <v>Crew neck classic</v>
      </c>
    </row>
    <row r="1470" spans="1:2">
      <c r="A1470" t="s">
        <v>2977</v>
      </c>
      <c r="B1470" t="str">
        <f>_xlfn.XLOOKUP(A1470,'Hướng dẫn'!AA:AA,'Hướng dẫn'!X:X)</f>
        <v>Decorative Items</v>
      </c>
    </row>
    <row r="1471" spans="1:2">
      <c r="A1471" t="s">
        <v>2078</v>
      </c>
      <c r="B1471" t="str">
        <f>_xlfn.XLOOKUP(A1471,'Hướng dẫn'!AA:AA,'Hướng dẫn'!X:X)</f>
        <v>Crew neck classic</v>
      </c>
    </row>
    <row r="1472" spans="1:2">
      <c r="A1472" t="s">
        <v>2610</v>
      </c>
      <c r="B1472" t="str">
        <f>_xlfn.XLOOKUP(A1472,'Hướng dẫn'!AA:AA,'Hướng dẫn'!X:X)</f>
        <v>Other bag</v>
      </c>
    </row>
    <row r="1473" spans="1:2">
      <c r="A1473" t="s">
        <v>2425</v>
      </c>
      <c r="B1473" t="str">
        <f>_xlfn.XLOOKUP(A1473,'Hướng dẫn'!AA:AA,'Hướng dẫn'!X:X)</f>
        <v>Flats</v>
      </c>
    </row>
    <row r="1474" spans="1:2">
      <c r="A1474" t="s">
        <v>2500</v>
      </c>
      <c r="B1474" t="str">
        <f>_xlfn.XLOOKUP(A1474,'Hướng dẫn'!AA:AA,'Hướng dẫn'!X:X)</f>
        <v>Scarf Satin Single-Sided</v>
      </c>
    </row>
    <row r="1475" spans="1:2">
      <c r="A1475" t="s">
        <v>2970</v>
      </c>
      <c r="B1475" t="str">
        <f>_xlfn.XLOOKUP(A1475,'Hướng dẫn'!AA:AA,'Hướng dẫn'!X:X)</f>
        <v>Games</v>
      </c>
    </row>
    <row r="1476" spans="1:2">
      <c r="A1476" t="s">
        <v>2694</v>
      </c>
      <c r="B1476" t="str">
        <f>_xlfn.XLOOKUP(A1476,'Hướng dẫn'!AA:AA,'Hướng dẫn'!X:X)</f>
        <v>Clutch</v>
      </c>
    </row>
    <row r="1477" spans="1:2">
      <c r="A1477" t="s">
        <v>2078</v>
      </c>
      <c r="B1477" t="str">
        <f>_xlfn.XLOOKUP(A1477,'Hướng dẫn'!AA:AA,'Hướng dẫn'!X:X)</f>
        <v>Crew neck classic</v>
      </c>
    </row>
    <row r="1478" spans="1:2">
      <c r="A1478" t="s">
        <v>2001</v>
      </c>
      <c r="B1478" t="str">
        <f>_xlfn.XLOOKUP(A1478,'Hướng dẫn'!AA:AA,'Hướng dẫn'!X:X)</f>
        <v>Mandarin Collar</v>
      </c>
    </row>
    <row r="1479" spans="1:2">
      <c r="A1479" t="s">
        <v>3186</v>
      </c>
      <c r="B1479" t="str">
        <f>_xlfn.XLOOKUP(A1479,'Hướng dẫn'!AA:AA,'Hướng dẫn'!X:X)</f>
        <v>Coffee order</v>
      </c>
    </row>
    <row r="1480" spans="1:2">
      <c r="A1480" t="s">
        <v>3138</v>
      </c>
      <c r="B1480" t="str">
        <f>_xlfn.XLOOKUP(A1480,'Hướng dẫn'!AA:AA,'Hướng dẫn'!X:X)</f>
        <v>Salt</v>
      </c>
    </row>
    <row r="1481" spans="1:2">
      <c r="A1481" t="s">
        <v>2442</v>
      </c>
      <c r="B1481" t="str">
        <f>_xlfn.XLOOKUP(A1481,'Hướng dẫn'!AA:AA,'Hướng dẫn'!X:X)</f>
        <v>Leather Shoes</v>
      </c>
    </row>
    <row r="1482" spans="1:2">
      <c r="A1482" t="s">
        <v>2001</v>
      </c>
      <c r="B1482" t="str">
        <f>_xlfn.XLOOKUP(A1482,'Hướng dẫn'!AA:AA,'Hướng dẫn'!X:X)</f>
        <v>Mandarin Collar</v>
      </c>
    </row>
    <row r="1483" spans="1:2">
      <c r="A1483" t="s">
        <v>2442</v>
      </c>
      <c r="B1483" t="str">
        <f>_xlfn.XLOOKUP(A1483,'Hướng dẫn'!AA:AA,'Hướng dẫn'!X:X)</f>
        <v>Leather Shoes</v>
      </c>
    </row>
    <row r="1484" spans="1:2">
      <c r="A1484" t="s">
        <v>2138</v>
      </c>
      <c r="B1484" t="str">
        <f>_xlfn.XLOOKUP(A1484,'Hướng dẫn'!AA:AA,'Hướng dẫn'!X:X)</f>
        <v>Boat Neck</v>
      </c>
    </row>
    <row r="1485" spans="1:2">
      <c r="A1485" t="s">
        <v>2977</v>
      </c>
      <c r="B1485" t="str">
        <f>_xlfn.XLOOKUP(A1485,'Hướng dẫn'!AA:AA,'Hướng dẫn'!X:X)</f>
        <v>Decorative Items</v>
      </c>
    </row>
    <row r="1486" spans="1:2">
      <c r="A1486" t="s">
        <v>3110</v>
      </c>
      <c r="B1486" t="str">
        <f>_xlfn.XLOOKUP(A1486,'Hướng dẫn'!AA:AA,'Hướng dẫn'!X:X)</f>
        <v>Soap</v>
      </c>
    </row>
    <row r="1487" spans="1:2">
      <c r="A1487" t="s">
        <v>2078</v>
      </c>
      <c r="B1487" t="str">
        <f>_xlfn.XLOOKUP(A1487,'Hướng dẫn'!AA:AA,'Hướng dẫn'!X:X)</f>
        <v>Crew neck classic</v>
      </c>
    </row>
    <row r="1488" spans="1:2">
      <c r="A1488" t="s">
        <v>2442</v>
      </c>
      <c r="B1488" t="str">
        <f>_xlfn.XLOOKUP(A1488,'Hướng dẫn'!AA:AA,'Hướng dẫn'!X:X)</f>
        <v>Leather Shoes</v>
      </c>
    </row>
    <row r="1489" spans="1:2">
      <c r="A1489" t="s">
        <v>2078</v>
      </c>
      <c r="B1489" t="str">
        <f>_xlfn.XLOOKUP(A1489,'Hướng dẫn'!AA:AA,'Hướng dẫn'!X:X)</f>
        <v>Crew neck classic</v>
      </c>
    </row>
    <row r="1490" spans="1:2">
      <c r="A1490" t="s">
        <v>2601</v>
      </c>
      <c r="B1490" t="str">
        <f>_xlfn.XLOOKUP(A1490,'Hướng dẫn'!AA:AA,'Hướng dẫn'!X:X)</f>
        <v>Handbag</v>
      </c>
    </row>
    <row r="1491" spans="1:2">
      <c r="A1491" t="s">
        <v>3186</v>
      </c>
      <c r="B1491" t="str">
        <f>_xlfn.XLOOKUP(A1491,'Hướng dẫn'!AA:AA,'Hướng dẫn'!X:X)</f>
        <v>Coffee order</v>
      </c>
    </row>
    <row r="1492" spans="1:2">
      <c r="A1492" t="s">
        <v>2779</v>
      </c>
      <c r="B1492" t="str">
        <f>_xlfn.XLOOKUP(A1492,'Hướng dẫn'!AA:AA,'Hướng dẫn'!X:X)</f>
        <v>Necklace</v>
      </c>
    </row>
    <row r="1493" spans="1:2">
      <c r="A1493" t="s">
        <v>2901</v>
      </c>
      <c r="B1493" t="str">
        <f>_xlfn.XLOOKUP(A1493,'Hướng dẫn'!AA:AA,'Hướng dẫn'!X:X)</f>
        <v>ART</v>
      </c>
    </row>
    <row r="1494" spans="1:2">
      <c r="A1494" t="s">
        <v>2779</v>
      </c>
      <c r="B1494" t="str">
        <f>_xlfn.XLOOKUP(A1494,'Hướng dẫn'!AA:AA,'Hướng dẫn'!X:X)</f>
        <v>Necklace</v>
      </c>
    </row>
    <row r="1495" spans="1:2">
      <c r="A1495" t="s">
        <v>2917</v>
      </c>
      <c r="B1495" t="str">
        <f>_xlfn.XLOOKUP(A1495,'Hướng dẫn'!AA:AA,'Hướng dẫn'!X:X)</f>
        <v>Luggage tag</v>
      </c>
    </row>
    <row r="1496" spans="1:2">
      <c r="A1496" t="s">
        <v>2516</v>
      </c>
      <c r="B1496" t="str">
        <f>_xlfn.XLOOKUP(A1496,'Hướng dẫn'!AA:AA,'Hướng dẫn'!X:X)</f>
        <v>Scarf Satin Double Side Print</v>
      </c>
    </row>
    <row r="1497" spans="1:2">
      <c r="A1497" t="s">
        <v>2048</v>
      </c>
      <c r="B1497" t="str">
        <f>_xlfn.XLOOKUP(A1497,'Hướng dẫn'!AA:AA,'Hướng dẫn'!X:X)</f>
        <v>Button-down Collar</v>
      </c>
    </row>
    <row r="1498" spans="1:2">
      <c r="A1498" t="s">
        <v>2684</v>
      </c>
      <c r="B1498" t="str">
        <f>_xlfn.XLOOKUP(A1498,'Hướng dẫn'!AA:AA,'Hướng dẫn'!X:X)</f>
        <v>Card Holder</v>
      </c>
    </row>
    <row r="1499" spans="1:2">
      <c r="A1499" t="s">
        <v>2048</v>
      </c>
      <c r="B1499" t="str">
        <f>_xlfn.XLOOKUP(A1499,'Hướng dẫn'!AA:AA,'Hướng dẫn'!X:X)</f>
        <v>Button-down Collar</v>
      </c>
    </row>
    <row r="1500" spans="1:2">
      <c r="A1500" t="s">
        <v>2516</v>
      </c>
      <c r="B1500" t="str">
        <f>_xlfn.XLOOKUP(A1500,'Hướng dẫn'!AA:AA,'Hướng dẫn'!X:X)</f>
        <v>Scarf Satin Double Side Print</v>
      </c>
    </row>
    <row r="1501" spans="1:2">
      <c r="A1501" t="s">
        <v>2694</v>
      </c>
      <c r="B1501" t="str">
        <f>_xlfn.XLOOKUP(A1501,'Hướng dẫn'!AA:AA,'Hướng dẫn'!X:X)</f>
        <v>Clutch</v>
      </c>
    </row>
    <row r="1502" spans="1:2">
      <c r="A1502" t="s">
        <v>2394</v>
      </c>
      <c r="B1502" t="str">
        <f>_xlfn.XLOOKUP(A1502,'Hướng dẫn'!AA:AA,'Hướng dẫn'!X:X)</f>
        <v>Sneaker</v>
      </c>
    </row>
    <row r="1503" spans="1:2">
      <c r="A1503" t="s">
        <v>2001</v>
      </c>
      <c r="B1503" t="str">
        <f>_xlfn.XLOOKUP(A1503,'Hướng dẫn'!AA:AA,'Hướng dẫn'!X:X)</f>
        <v>Mandarin Collar</v>
      </c>
    </row>
    <row r="1504" spans="1:2">
      <c r="A1504" t="s">
        <v>2078</v>
      </c>
      <c r="B1504" t="str">
        <f>_xlfn.XLOOKUP(A1504,'Hướng dẫn'!AA:AA,'Hướng dẫn'!X:X)</f>
        <v>Crew neck classic</v>
      </c>
    </row>
    <row r="1505" spans="1:2">
      <c r="A1505" t="s">
        <v>2779</v>
      </c>
      <c r="B1505" t="str">
        <f>_xlfn.XLOOKUP(A1505,'Hướng dẫn'!AA:AA,'Hướng dẫn'!X:X)</f>
        <v>Necklace</v>
      </c>
    </row>
    <row r="1506" spans="1:2">
      <c r="A1506" t="s">
        <v>3118</v>
      </c>
      <c r="B1506" t="str">
        <f>_xlfn.XLOOKUP(A1506,'Hướng dẫn'!AA:AA,'Hướng dẫn'!X:X)</f>
        <v>Face Care</v>
      </c>
    </row>
    <row r="1507" spans="1:2">
      <c r="A1507" t="s">
        <v>2996</v>
      </c>
      <c r="B1507" t="str">
        <f>_xlfn.XLOOKUP(A1507,'Hướng dẫn'!AA:AA,'Hướng dẫn'!X:X)</f>
        <v>Small Accessories</v>
      </c>
    </row>
    <row r="1508" spans="1:2">
      <c r="A1508" t="s">
        <v>2078</v>
      </c>
      <c r="B1508" t="str">
        <f>_xlfn.XLOOKUP(A1508,'Hướng dẫn'!AA:AA,'Hướng dẫn'!X:X)</f>
        <v>Crew neck classic</v>
      </c>
    </row>
    <row r="1509" spans="1:2">
      <c r="A1509" t="s">
        <v>2779</v>
      </c>
      <c r="B1509" t="str">
        <f>_xlfn.XLOOKUP(A1509,'Hướng dẫn'!AA:AA,'Hướng dẫn'!X:X)</f>
        <v>Necklace</v>
      </c>
    </row>
    <row r="1510" spans="1:2">
      <c r="A1510" t="s">
        <v>2779</v>
      </c>
      <c r="B1510" t="str">
        <f>_xlfn.XLOOKUP(A1510,'Hướng dẫn'!AA:AA,'Hướng dẫn'!X:X)</f>
        <v>Necklace</v>
      </c>
    </row>
    <row r="1511" spans="1:2">
      <c r="A1511" t="s">
        <v>2078</v>
      </c>
      <c r="B1511" t="str">
        <f>_xlfn.XLOOKUP(A1511,'Hướng dẫn'!AA:AA,'Hướng dẫn'!X:X)</f>
        <v>Crew neck classic</v>
      </c>
    </row>
    <row r="1512" spans="1:2">
      <c r="A1512" t="s">
        <v>2078</v>
      </c>
      <c r="B1512" t="str">
        <f>_xlfn.XLOOKUP(A1512,'Hướng dẫn'!AA:AA,'Hướng dẫn'!X:X)</f>
        <v>Crew neck classic</v>
      </c>
    </row>
    <row r="1513" spans="1:2">
      <c r="A1513" t="s">
        <v>2078</v>
      </c>
      <c r="B1513" t="str">
        <f>_xlfn.XLOOKUP(A1513,'Hướng dẫn'!AA:AA,'Hướng dẫn'!X:X)</f>
        <v>Crew neck classic</v>
      </c>
    </row>
    <row r="1514" spans="1:2">
      <c r="A1514" t="s">
        <v>3168</v>
      </c>
      <c r="B1514" t="str">
        <f>_xlfn.XLOOKUP(A1514,'Hướng dẫn'!AA:AA,'Hướng dẫn'!X:X)</f>
        <v>Coffee Bean</v>
      </c>
    </row>
    <row r="1515" spans="1:2">
      <c r="A1515" t="s">
        <v>2078</v>
      </c>
      <c r="B1515" t="str">
        <f>_xlfn.XLOOKUP(A1515,'Hướng dẫn'!AA:AA,'Hướng dẫn'!X:X)</f>
        <v>Crew neck classic</v>
      </c>
    </row>
    <row r="1516" spans="1:2">
      <c r="A1516" t="s">
        <v>2078</v>
      </c>
      <c r="B1516" t="str">
        <f>_xlfn.XLOOKUP(A1516,'Hướng dẫn'!AA:AA,'Hướng dẫn'!X:X)</f>
        <v>Crew neck classic</v>
      </c>
    </row>
    <row r="1517" spans="1:2">
      <c r="A1517" t="s">
        <v>2442</v>
      </c>
      <c r="B1517" t="str">
        <f>_xlfn.XLOOKUP(A1517,'Hướng dẫn'!AA:AA,'Hướng dẫn'!X:X)</f>
        <v>Leather Shoes</v>
      </c>
    </row>
    <row r="1518" spans="1:2">
      <c r="A1518" t="s">
        <v>2063</v>
      </c>
      <c r="B1518" t="str">
        <f>_xlfn.XLOOKUP(A1518,'Hướng dẫn'!AA:AA,'Hướng dẫn'!X:X)</f>
        <v>Ribban</v>
      </c>
    </row>
    <row r="1519" spans="1:2">
      <c r="A1519" t="s">
        <v>2694</v>
      </c>
      <c r="B1519" t="str">
        <f>_xlfn.XLOOKUP(A1519,'Hướng dẫn'!AA:AA,'Hướng dẫn'!X:X)</f>
        <v>Clutch</v>
      </c>
    </row>
    <row r="1520" spans="1:2">
      <c r="A1520" t="s">
        <v>2500</v>
      </c>
      <c r="B1520" t="str">
        <f>_xlfn.XLOOKUP(A1520,'Hướng dẫn'!AA:AA,'Hướng dẫn'!X:X)</f>
        <v>Scarf Satin Single-Sided</v>
      </c>
    </row>
    <row r="1521" spans="1:2">
      <c r="A1521" t="s">
        <v>2078</v>
      </c>
      <c r="B1521" t="str">
        <f>_xlfn.XLOOKUP(A1521,'Hướng dẫn'!AA:AA,'Hướng dẫn'!X:X)</f>
        <v>Crew neck classic</v>
      </c>
    </row>
    <row r="1522" spans="1:2">
      <c r="A1522" t="s">
        <v>2078</v>
      </c>
      <c r="B1522" t="str">
        <f>_xlfn.XLOOKUP(A1522,'Hướng dẫn'!AA:AA,'Hướng dẫn'!X:X)</f>
        <v>Crew neck classic</v>
      </c>
    </row>
    <row r="1523" spans="1:2">
      <c r="A1523" t="s">
        <v>2078</v>
      </c>
      <c r="B1523" t="str">
        <f>_xlfn.XLOOKUP(A1523,'Hướng dẫn'!AA:AA,'Hướng dẫn'!X:X)</f>
        <v>Crew neck classic</v>
      </c>
    </row>
    <row r="1524" spans="1:2">
      <c r="A1524" t="s">
        <v>2905</v>
      </c>
      <c r="B1524" t="str">
        <f>_xlfn.XLOOKUP(A1524,'Hướng dẫn'!AA:AA,'Hướng dẫn'!X:X)</f>
        <v>Hand Fan Satin</v>
      </c>
    </row>
    <row r="1525" spans="1:2">
      <c r="A1525" t="s">
        <v>2442</v>
      </c>
      <c r="B1525" t="str">
        <f>_xlfn.XLOOKUP(A1525,'Hướng dẫn'!AA:AA,'Hướng dẫn'!X:X)</f>
        <v>Leather Shoes</v>
      </c>
    </row>
    <row r="1526" spans="1:2">
      <c r="A1526" t="s">
        <v>3168</v>
      </c>
      <c r="B1526" t="str">
        <f>_xlfn.XLOOKUP(A1526,'Hướng dẫn'!AA:AA,'Hướng dẫn'!X:X)</f>
        <v>Coffee Bean</v>
      </c>
    </row>
    <row r="1527" spans="1:2">
      <c r="A1527" t="s">
        <v>2901</v>
      </c>
      <c r="B1527" t="str">
        <f>_xlfn.XLOOKUP(A1527,'Hướng dẫn'!AA:AA,'Hướng dẫn'!X:X)</f>
        <v>ART</v>
      </c>
    </row>
    <row r="1528" spans="1:2">
      <c r="A1528" t="s">
        <v>2425</v>
      </c>
      <c r="B1528" t="str">
        <f>_xlfn.XLOOKUP(A1528,'Hướng dẫn'!AA:AA,'Hướng dẫn'!X:X)</f>
        <v>Flats</v>
      </c>
    </row>
    <row r="1529" spans="1:2">
      <c r="A1529" t="s">
        <v>3159</v>
      </c>
      <c r="B1529" t="str">
        <f>_xlfn.XLOOKUP(A1529,'Hướng dẫn'!AA:AA,'Hướng dẫn'!X:X)</f>
        <v>Coffee Powder</v>
      </c>
    </row>
    <row r="1530" spans="1:2">
      <c r="A1530" t="s">
        <v>2078</v>
      </c>
      <c r="B1530" t="str">
        <f>_xlfn.XLOOKUP(A1530,'Hướng dẫn'!AA:AA,'Hướng dẫn'!X:X)</f>
        <v>Crew neck classic</v>
      </c>
    </row>
    <row r="1531" spans="1:2">
      <c r="A1531" t="s">
        <v>2684</v>
      </c>
      <c r="B1531" t="str">
        <f>_xlfn.XLOOKUP(A1531,'Hướng dẫn'!AA:AA,'Hướng dẫn'!X:X)</f>
        <v>Card Holder</v>
      </c>
    </row>
    <row r="1532" spans="1:2">
      <c r="A1532" t="s">
        <v>2717</v>
      </c>
      <c r="B1532" t="str">
        <f>_xlfn.XLOOKUP(A1532,'Hướng dẫn'!AA:AA,'Hướng dẫn'!X:X)</f>
        <v>Pen Case</v>
      </c>
    </row>
    <row r="1533" spans="1:2">
      <c r="A1533" t="s">
        <v>2905</v>
      </c>
      <c r="B1533" t="str">
        <f>_xlfn.XLOOKUP(A1533,'Hướng dẫn'!AA:AA,'Hướng dẫn'!X:X)</f>
        <v>Hand Fan Satin</v>
      </c>
    </row>
    <row r="1534" spans="1:2">
      <c r="A1534" t="s">
        <v>3186</v>
      </c>
      <c r="B1534" t="str">
        <f>_xlfn.XLOOKUP(A1534,'Hướng dẫn'!AA:AA,'Hướng dẫn'!X:X)</f>
        <v>Coffee order</v>
      </c>
    </row>
    <row r="1535" spans="1:2">
      <c r="A1535" t="s">
        <v>2516</v>
      </c>
      <c r="B1535" t="str">
        <f>_xlfn.XLOOKUP(A1535,'Hướng dẫn'!AA:AA,'Hướng dẫn'!X:X)</f>
        <v>Scarf Satin Double Side Print</v>
      </c>
    </row>
    <row r="1536" spans="1:2">
      <c r="A1536" t="s">
        <v>2694</v>
      </c>
      <c r="B1536" t="str">
        <f>_xlfn.XLOOKUP(A1536,'Hướng dẫn'!AA:AA,'Hướng dẫn'!X:X)</f>
        <v>Clutch</v>
      </c>
    </row>
    <row r="1537" spans="1:2">
      <c r="A1537" t="s">
        <v>2977</v>
      </c>
      <c r="B1537" t="str">
        <f>_xlfn.XLOOKUP(A1537,'Hướng dẫn'!AA:AA,'Hướng dẫn'!X:X)</f>
        <v>Decorative Items</v>
      </c>
    </row>
    <row r="1538" spans="1:2">
      <c r="A1538" t="s">
        <v>2996</v>
      </c>
      <c r="B1538" t="str">
        <f>_xlfn.XLOOKUP(A1538,'Hướng dẫn'!AA:AA,'Hướng dẫn'!X:X)</f>
        <v>Small Accessories</v>
      </c>
    </row>
    <row r="1539" spans="1:2">
      <c r="A1539" t="s">
        <v>3043</v>
      </c>
      <c r="B1539" t="str">
        <f>_xlfn.XLOOKUP(A1539,'Hướng dẫn'!AA:AA,'Hướng dẫn'!X:X)</f>
        <v>Tray</v>
      </c>
    </row>
    <row r="1540" spans="1:2">
      <c r="A1540" t="s">
        <v>2092</v>
      </c>
      <c r="B1540" t="str">
        <f>_xlfn.XLOOKUP(A1540,'Hướng dẫn'!AA:AA,'Hướng dẫn'!X:X)</f>
        <v>High crew neck classic</v>
      </c>
    </row>
    <row r="1541" spans="1:2">
      <c r="A1541" t="s">
        <v>2078</v>
      </c>
      <c r="B1541" t="str">
        <f>_xlfn.XLOOKUP(A1541,'Hướng dẫn'!AA:AA,'Hướng dẫn'!X:X)</f>
        <v>Crew neck classic</v>
      </c>
    </row>
    <row r="1542" spans="1:2">
      <c r="A1542" t="s">
        <v>2601</v>
      </c>
      <c r="B1542" t="str">
        <f>_xlfn.XLOOKUP(A1542,'Hướng dẫn'!AA:AA,'Hướng dẫn'!X:X)</f>
        <v>Handbag</v>
      </c>
    </row>
    <row r="1543" spans="1:2">
      <c r="A1543" t="s">
        <v>2078</v>
      </c>
      <c r="B1543" t="str">
        <f>_xlfn.XLOOKUP(A1543,'Hướng dẫn'!AA:AA,'Hướng dẫn'!X:X)</f>
        <v>Crew neck classic</v>
      </c>
    </row>
    <row r="1544" spans="1:2">
      <c r="A1544" t="s">
        <v>2001</v>
      </c>
      <c r="B1544" t="str">
        <f>_xlfn.XLOOKUP(A1544,'Hướng dẫn'!AA:AA,'Hướng dẫn'!X:X)</f>
        <v>Mandarin Collar</v>
      </c>
    </row>
    <row r="1545" spans="1:2">
      <c r="A1545" t="s">
        <v>2516</v>
      </c>
      <c r="B1545" t="str">
        <f>_xlfn.XLOOKUP(A1545,'Hướng dẫn'!AA:AA,'Hướng dẫn'!X:X)</f>
        <v>Scarf Satin Double Side Print</v>
      </c>
    </row>
    <row r="1546" spans="1:2">
      <c r="A1546" t="s">
        <v>2516</v>
      </c>
      <c r="B1546" t="str">
        <f>_xlfn.XLOOKUP(A1546,'Hướng dẫn'!AA:AA,'Hướng dẫn'!X:X)</f>
        <v>Scarf Satin Double Side Print</v>
      </c>
    </row>
    <row r="1547" spans="1:2">
      <c r="A1547" t="s">
        <v>2663</v>
      </c>
      <c r="B1547" t="str">
        <f>_xlfn.XLOOKUP(A1547,'Hướng dẫn'!AA:AA,'Hướng dẫn'!X:X)</f>
        <v>Cigar cover</v>
      </c>
    </row>
    <row r="1548" spans="1:2">
      <c r="A1548" t="s">
        <v>2263</v>
      </c>
      <c r="B1548" t="str">
        <f>_xlfn.XLOOKUP(A1548,'Hướng dẫn'!AA:AA,'Hướng dẫn'!X:X)</f>
        <v>Button Waist</v>
      </c>
    </row>
    <row r="1549" spans="1:2">
      <c r="A1549" t="s">
        <v>2901</v>
      </c>
      <c r="B1549" t="str">
        <f>_xlfn.XLOOKUP(A1549,'Hướng dẫn'!AA:AA,'Hướng dẫn'!X:X)</f>
        <v>ART</v>
      </c>
    </row>
    <row r="1550" spans="1:2">
      <c r="A1550" t="s">
        <v>2282</v>
      </c>
      <c r="B1550" t="str">
        <f>_xlfn.XLOOKUP(A1550,'Hướng dẫn'!AA:AA,'Hướng dẫn'!X:X)</f>
        <v>Gin</v>
      </c>
    </row>
    <row r="1551" spans="1:2">
      <c r="A1551" t="s">
        <v>2078</v>
      </c>
      <c r="B1551" t="str">
        <f>_xlfn.XLOOKUP(A1551,'Hướng dẫn'!AA:AA,'Hướng dẫn'!X:X)</f>
        <v>Crew neck classic</v>
      </c>
    </row>
    <row r="1552" spans="1:2">
      <c r="A1552" t="s">
        <v>2078</v>
      </c>
      <c r="B1552" t="str">
        <f>_xlfn.XLOOKUP(A1552,'Hướng dẫn'!AA:AA,'Hướng dẫn'!X:X)</f>
        <v>Crew neck classic</v>
      </c>
    </row>
    <row r="1553" spans="1:2">
      <c r="A1553" t="s">
        <v>2943</v>
      </c>
      <c r="B1553" t="str">
        <f>_xlfn.XLOOKUP(A1553,'Hướng dẫn'!AA:AA,'Hướng dẫn'!X:X)</f>
        <v>Notebook Saddle Stitched</v>
      </c>
    </row>
    <row r="1554" spans="1:2">
      <c r="A1554" t="s">
        <v>3151</v>
      </c>
      <c r="B1554" t="str">
        <f>_xlfn.XLOOKUP(A1554,'Hướng dẫn'!AA:AA,'Hướng dẫn'!X:X)</f>
        <v>Sake</v>
      </c>
    </row>
    <row r="1555" spans="1:2">
      <c r="A1555" t="s">
        <v>2347</v>
      </c>
      <c r="B1555" t="str">
        <f>_xlfn.XLOOKUP(A1555,'Hướng dẫn'!AA:AA,'Hướng dẫn'!X:X)</f>
        <v>Vietnamese conical hat</v>
      </c>
    </row>
    <row r="1556" spans="1:2">
      <c r="A1556" t="s">
        <v>2078</v>
      </c>
      <c r="B1556" t="str">
        <f>_xlfn.XLOOKUP(A1556,'Hướng dẫn'!AA:AA,'Hướng dẫn'!X:X)</f>
        <v>Crew neck classic</v>
      </c>
    </row>
    <row r="1557" spans="1:2">
      <c r="A1557" t="s">
        <v>2901</v>
      </c>
      <c r="B1557" t="str">
        <f>_xlfn.XLOOKUP(A1557,'Hướng dẫn'!AA:AA,'Hướng dẫn'!X:X)</f>
        <v>ART</v>
      </c>
    </row>
    <row r="1558" spans="1:2">
      <c r="A1558" t="s">
        <v>2601</v>
      </c>
      <c r="B1558" t="str">
        <f>_xlfn.XLOOKUP(A1558,'Hướng dẫn'!AA:AA,'Hướng dẫn'!X:X)</f>
        <v>Handbag</v>
      </c>
    </row>
    <row r="1559" spans="1:2">
      <c r="A1559" t="s">
        <v>2694</v>
      </c>
      <c r="B1559" t="str">
        <f>_xlfn.XLOOKUP(A1559,'Hướng dẫn'!AA:AA,'Hướng dẫn'!X:X)</f>
        <v>Clutch</v>
      </c>
    </row>
    <row r="1560" spans="1:2">
      <c r="A1560" t="s">
        <v>2078</v>
      </c>
      <c r="B1560" t="str">
        <f>_xlfn.XLOOKUP(A1560,'Hướng dẫn'!AA:AA,'Hướng dẫn'!X:X)</f>
        <v>Crew neck classic</v>
      </c>
    </row>
    <row r="1561" spans="1:2">
      <c r="A1561" t="s">
        <v>2694</v>
      </c>
      <c r="B1561" t="str">
        <f>_xlfn.XLOOKUP(A1561,'Hướng dẫn'!AA:AA,'Hướng dẫn'!X:X)</f>
        <v>Clutch</v>
      </c>
    </row>
    <row r="1562" spans="1:2">
      <c r="A1562" t="s">
        <v>2694</v>
      </c>
      <c r="B1562" t="str">
        <f>_xlfn.XLOOKUP(A1562,'Hướng dẫn'!AA:AA,'Hướng dẫn'!X:X)</f>
        <v>Clutch</v>
      </c>
    </row>
    <row r="1563" spans="1:2">
      <c r="A1563" t="s">
        <v>2996</v>
      </c>
      <c r="B1563" t="str">
        <f>_xlfn.XLOOKUP(A1563,'Hướng dẫn'!AA:AA,'Hướng dẫn'!X:X)</f>
        <v>Small Accessories</v>
      </c>
    </row>
    <row r="1564" spans="1:2">
      <c r="A1564" t="s">
        <v>2516</v>
      </c>
      <c r="B1564" t="str">
        <f>_xlfn.XLOOKUP(A1564,'Hướng dẫn'!AA:AA,'Hướng dẫn'!X:X)</f>
        <v>Scarf Satin Double Side Print</v>
      </c>
    </row>
    <row r="1565" spans="1:2">
      <c r="A1565" t="s">
        <v>2970</v>
      </c>
      <c r="B1565" t="str">
        <f>_xlfn.XLOOKUP(A1565,'Hướng dẫn'!AA:AA,'Hướng dẫn'!X:X)</f>
        <v>Games</v>
      </c>
    </row>
    <row r="1566" spans="1:2">
      <c r="A1566" t="s">
        <v>2078</v>
      </c>
      <c r="B1566" t="str">
        <f>_xlfn.XLOOKUP(A1566,'Hướng dẫn'!AA:AA,'Hướng dẫn'!X:X)</f>
        <v>Crew neck classic</v>
      </c>
    </row>
    <row r="1567" spans="1:2">
      <c r="A1567" t="s">
        <v>2078</v>
      </c>
      <c r="B1567" t="str">
        <f>_xlfn.XLOOKUP(A1567,'Hướng dẫn'!AA:AA,'Hướng dẫn'!X:X)</f>
        <v>Crew neck classic</v>
      </c>
    </row>
    <row r="1568" spans="1:2">
      <c r="A1568" t="s">
        <v>2078</v>
      </c>
      <c r="B1568" t="str">
        <f>_xlfn.XLOOKUP(A1568,'Hướng dẫn'!AA:AA,'Hướng dẫn'!X:X)</f>
        <v>Crew neck classic</v>
      </c>
    </row>
    <row r="1569" spans="1:2">
      <c r="A1569" t="s">
        <v>2078</v>
      </c>
      <c r="B1569" t="str">
        <f>_xlfn.XLOOKUP(A1569,'Hướng dẫn'!AA:AA,'Hướng dẫn'!X:X)</f>
        <v>Crew neck classic</v>
      </c>
    </row>
    <row r="1570" spans="1:2">
      <c r="A1570" t="s">
        <v>2078</v>
      </c>
      <c r="B1570" t="str">
        <f>_xlfn.XLOOKUP(A1570,'Hướng dẫn'!AA:AA,'Hướng dẫn'!X:X)</f>
        <v>Crew neck classic</v>
      </c>
    </row>
    <row r="1571" spans="1:2">
      <c r="A1571" t="s">
        <v>6514</v>
      </c>
      <c r="B1571" t="e">
        <f>_xlfn.XLOOKUP(A1571,'Hướng dẫn'!AA:AA,'Hướng dẫn'!X:X)</f>
        <v>#N/A</v>
      </c>
    </row>
    <row r="1572" spans="1:2">
      <c r="A1572" t="s">
        <v>2138</v>
      </c>
      <c r="B1572" t="str">
        <f>_xlfn.XLOOKUP(A1572,'Hướng dẫn'!AA:AA,'Hướng dẫn'!X:X)</f>
        <v>Boat Neck</v>
      </c>
    </row>
    <row r="1573" spans="1:2">
      <c r="A1573" t="s">
        <v>2138</v>
      </c>
      <c r="B1573" t="str">
        <f>_xlfn.XLOOKUP(A1573,'Hướng dẫn'!AA:AA,'Hướng dẫn'!X:X)</f>
        <v>Boat Neck</v>
      </c>
    </row>
    <row r="1574" spans="1:2">
      <c r="A1574" t="s">
        <v>2138</v>
      </c>
      <c r="B1574" t="str">
        <f>_xlfn.XLOOKUP(A1574,'Hướng dẫn'!AA:AA,'Hướng dẫn'!X:X)</f>
        <v>Boat Neck</v>
      </c>
    </row>
    <row r="1575" spans="1:2">
      <c r="A1575" t="s">
        <v>2138</v>
      </c>
      <c r="B1575" t="str">
        <f>_xlfn.XLOOKUP(A1575,'Hướng dẫn'!AA:AA,'Hướng dẫn'!X:X)</f>
        <v>Boat Neck</v>
      </c>
    </row>
    <row r="1576" spans="1:2">
      <c r="A1576" t="s">
        <v>2078</v>
      </c>
      <c r="B1576" t="str">
        <f>_xlfn.XLOOKUP(A1576,'Hướng dẫn'!AA:AA,'Hướng dẫn'!X:X)</f>
        <v>Crew neck classic</v>
      </c>
    </row>
    <row r="1577" spans="1:2">
      <c r="A1577" t="s">
        <v>2078</v>
      </c>
      <c r="B1577" t="str">
        <f>_xlfn.XLOOKUP(A1577,'Hướng dẫn'!AA:AA,'Hướng dẫn'!X:X)</f>
        <v>Crew neck classic</v>
      </c>
    </row>
    <row r="1578" spans="1:2">
      <c r="A1578" t="s">
        <v>2078</v>
      </c>
      <c r="B1578" t="str">
        <f>_xlfn.XLOOKUP(A1578,'Hướng dẫn'!AA:AA,'Hướng dẫn'!X:X)</f>
        <v>Crew neck classic</v>
      </c>
    </row>
    <row r="1579" spans="1:2">
      <c r="A1579" t="s">
        <v>2078</v>
      </c>
      <c r="B1579" t="str">
        <f>_xlfn.XLOOKUP(A1579,'Hướng dẫn'!AA:AA,'Hướng dẫn'!X:X)</f>
        <v>Crew neck classic</v>
      </c>
    </row>
    <row r="1580" spans="1:2">
      <c r="A1580" t="s">
        <v>2779</v>
      </c>
      <c r="B1580" t="str">
        <f>_xlfn.XLOOKUP(A1580,'Hướng dẫn'!AA:AA,'Hướng dẫn'!X:X)</f>
        <v>Necklace</v>
      </c>
    </row>
    <row r="1581" spans="1:2">
      <c r="A1581" t="s">
        <v>2779</v>
      </c>
      <c r="B1581" t="str">
        <f>_xlfn.XLOOKUP(A1581,'Hướng dẫn'!AA:AA,'Hướng dẫn'!X:X)</f>
        <v>Necklace</v>
      </c>
    </row>
    <row r="1582" spans="1:2">
      <c r="A1582" t="s">
        <v>2779</v>
      </c>
      <c r="B1582" t="str">
        <f>_xlfn.XLOOKUP(A1582,'Hướng dẫn'!AA:AA,'Hướng dẫn'!X:X)</f>
        <v>Necklace</v>
      </c>
    </row>
    <row r="1583" spans="1:2">
      <c r="A1583" t="s">
        <v>2779</v>
      </c>
      <c r="B1583" t="str">
        <f>_xlfn.XLOOKUP(A1583,'Hướng dẫn'!AA:AA,'Hướng dẫn'!X:X)</f>
        <v>Necklace</v>
      </c>
    </row>
    <row r="1584" spans="1:2">
      <c r="A1584" t="s">
        <v>2779</v>
      </c>
      <c r="B1584" t="str">
        <f>_xlfn.XLOOKUP(A1584,'Hướng dẫn'!AA:AA,'Hướng dẫn'!X:X)</f>
        <v>Necklace</v>
      </c>
    </row>
    <row r="1585" spans="1:2">
      <c r="A1585" t="s">
        <v>2779</v>
      </c>
      <c r="B1585" t="str">
        <f>_xlfn.XLOOKUP(A1585,'Hướng dẫn'!AA:AA,'Hướng dẫn'!X:X)</f>
        <v>Necklace</v>
      </c>
    </row>
    <row r="1586" spans="1:2">
      <c r="A1586" t="s">
        <v>2779</v>
      </c>
      <c r="B1586" t="str">
        <f>_xlfn.XLOOKUP(A1586,'Hướng dẫn'!AA:AA,'Hướng dẫn'!X:X)</f>
        <v>Necklace</v>
      </c>
    </row>
    <row r="1587" spans="1:2">
      <c r="A1587" t="s">
        <v>2779</v>
      </c>
      <c r="B1587" t="str">
        <f>_xlfn.XLOOKUP(A1587,'Hướng dẫn'!AA:AA,'Hướng dẫn'!X:X)</f>
        <v>Necklace</v>
      </c>
    </row>
    <row r="1588" spans="1:2">
      <c r="A1588" t="s">
        <v>2779</v>
      </c>
      <c r="B1588" t="str">
        <f>_xlfn.XLOOKUP(A1588,'Hướng dẫn'!AA:AA,'Hướng dẫn'!X:X)</f>
        <v>Necklace</v>
      </c>
    </row>
    <row r="1589" spans="1:2">
      <c r="A1589" t="s">
        <v>2779</v>
      </c>
      <c r="B1589" t="str">
        <f>_xlfn.XLOOKUP(A1589,'Hướng dẫn'!AA:AA,'Hướng dẫn'!X:X)</f>
        <v>Necklace</v>
      </c>
    </row>
    <row r="1590" spans="1:2">
      <c r="A1590" t="s">
        <v>2779</v>
      </c>
      <c r="B1590" t="str">
        <f>_xlfn.XLOOKUP(A1590,'Hướng dẫn'!AA:AA,'Hướng dẫn'!X:X)</f>
        <v>Necklace</v>
      </c>
    </row>
    <row r="1591" spans="1:2">
      <c r="A1591" t="s">
        <v>2779</v>
      </c>
      <c r="B1591" t="str">
        <f>_xlfn.XLOOKUP(A1591,'Hướng dẫn'!AA:AA,'Hướng dẫn'!X:X)</f>
        <v>Necklace</v>
      </c>
    </row>
    <row r="1592" spans="1:2">
      <c r="A1592" t="s">
        <v>2779</v>
      </c>
      <c r="B1592" t="str">
        <f>_xlfn.XLOOKUP(A1592,'Hướng dẫn'!AA:AA,'Hướng dẫn'!X:X)</f>
        <v>Necklace</v>
      </c>
    </row>
    <row r="1593" spans="1:2">
      <c r="A1593" t="s">
        <v>2779</v>
      </c>
      <c r="B1593" t="str">
        <f>_xlfn.XLOOKUP(A1593,'Hướng dẫn'!AA:AA,'Hướng dẫn'!X:X)</f>
        <v>Necklace</v>
      </c>
    </row>
    <row r="1594" spans="1:2">
      <c r="A1594" t="s">
        <v>2779</v>
      </c>
      <c r="B1594" t="str">
        <f>_xlfn.XLOOKUP(A1594,'Hướng dẫn'!AA:AA,'Hướng dẫn'!X:X)</f>
        <v>Necklace</v>
      </c>
    </row>
    <row r="1595" spans="1:2">
      <c r="A1595" t="s">
        <v>2779</v>
      </c>
      <c r="B1595" t="str">
        <f>_xlfn.XLOOKUP(A1595,'Hướng dẫn'!AA:AA,'Hướng dẫn'!X:X)</f>
        <v>Necklace</v>
      </c>
    </row>
    <row r="1596" spans="1:2">
      <c r="A1596" t="s">
        <v>2779</v>
      </c>
      <c r="B1596" t="str">
        <f>_xlfn.XLOOKUP(A1596,'Hướng dẫn'!AA:AA,'Hướng dẫn'!X:X)</f>
        <v>Necklace</v>
      </c>
    </row>
    <row r="1597" spans="1:2">
      <c r="A1597" t="s">
        <v>2779</v>
      </c>
      <c r="B1597" t="str">
        <f>_xlfn.XLOOKUP(A1597,'Hướng dẫn'!AA:AA,'Hướng dẫn'!X:X)</f>
        <v>Necklace</v>
      </c>
    </row>
    <row r="1598" spans="1:2">
      <c r="A1598" t="s">
        <v>2779</v>
      </c>
      <c r="B1598" t="str">
        <f>_xlfn.XLOOKUP(A1598,'Hướng dẫn'!AA:AA,'Hướng dẫn'!X:X)</f>
        <v>Necklace</v>
      </c>
    </row>
    <row r="1599" spans="1:2">
      <c r="A1599" t="s">
        <v>2779</v>
      </c>
      <c r="B1599" t="str">
        <f>_xlfn.XLOOKUP(A1599,'Hướng dẫn'!AA:AA,'Hướng dẫn'!X:X)</f>
        <v>Necklace</v>
      </c>
    </row>
    <row r="1600" spans="1:2">
      <c r="A1600" t="s">
        <v>2779</v>
      </c>
      <c r="B1600" t="str">
        <f>_xlfn.XLOOKUP(A1600,'Hướng dẫn'!AA:AA,'Hướng dẫn'!X:X)</f>
        <v>Necklace</v>
      </c>
    </row>
    <row r="1601" spans="1:2">
      <c r="A1601" t="s">
        <v>2779</v>
      </c>
      <c r="B1601" t="str">
        <f>_xlfn.XLOOKUP(A1601,'Hướng dẫn'!AA:AA,'Hướng dẫn'!X:X)</f>
        <v>Necklace</v>
      </c>
    </row>
    <row r="1602" spans="1:2">
      <c r="A1602" t="s">
        <v>2779</v>
      </c>
      <c r="B1602" t="str">
        <f>_xlfn.XLOOKUP(A1602,'Hướng dẫn'!AA:AA,'Hướng dẫn'!X:X)</f>
        <v>Necklace</v>
      </c>
    </row>
    <row r="1603" spans="1:2">
      <c r="A1603" t="s">
        <v>2779</v>
      </c>
      <c r="B1603" t="str">
        <f>_xlfn.XLOOKUP(A1603,'Hướng dẫn'!AA:AA,'Hướng dẫn'!X:X)</f>
        <v>Necklace</v>
      </c>
    </row>
    <row r="1604" spans="1:2">
      <c r="A1604" t="s">
        <v>2779</v>
      </c>
      <c r="B1604" t="str">
        <f>_xlfn.XLOOKUP(A1604,'Hướng dẫn'!AA:AA,'Hướng dẫn'!X:X)</f>
        <v>Necklace</v>
      </c>
    </row>
    <row r="1605" spans="1:2">
      <c r="A1605" t="s">
        <v>2078</v>
      </c>
      <c r="B1605" t="str">
        <f>_xlfn.XLOOKUP(A1605,'Hướng dẫn'!AA:AA,'Hướng dẫn'!X:X)</f>
        <v>Crew neck classic</v>
      </c>
    </row>
    <row r="1606" spans="1:2">
      <c r="A1606" t="s">
        <v>2078</v>
      </c>
      <c r="B1606" t="str">
        <f>_xlfn.XLOOKUP(A1606,'Hướng dẫn'!AA:AA,'Hướng dẫn'!X:X)</f>
        <v>Crew neck classic</v>
      </c>
    </row>
    <row r="1607" spans="1:2">
      <c r="A1607" t="s">
        <v>2078</v>
      </c>
      <c r="B1607" t="str">
        <f>_xlfn.XLOOKUP(A1607,'Hướng dẫn'!AA:AA,'Hướng dẫn'!X:X)</f>
        <v>Crew neck classic</v>
      </c>
    </row>
    <row r="1608" spans="1:2">
      <c r="A1608" t="s">
        <v>2078</v>
      </c>
      <c r="B1608" t="str">
        <f>_xlfn.XLOOKUP(A1608,'Hướng dẫn'!AA:AA,'Hướng dẫn'!X:X)</f>
        <v>Crew neck classic</v>
      </c>
    </row>
    <row r="1609" spans="1:2">
      <c r="A1609" t="s">
        <v>2078</v>
      </c>
      <c r="B1609" t="str">
        <f>_xlfn.XLOOKUP(A1609,'Hướng dẫn'!AA:AA,'Hướng dẫn'!X:X)</f>
        <v>Crew neck classic</v>
      </c>
    </row>
    <row r="1610" spans="1:2">
      <c r="A1610" t="s">
        <v>2078</v>
      </c>
      <c r="B1610" t="str">
        <f>_xlfn.XLOOKUP(A1610,'Hướng dẫn'!AA:AA,'Hướng dẫn'!X:X)</f>
        <v>Crew neck classic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327D6-4E89-4FB4-A76D-03D942C6B8ED}">
  <sheetPr codeName="Sheet5"/>
  <dimension ref="A1:B5"/>
  <sheetViews>
    <sheetView workbookViewId="0">
      <selection activeCell="B3" sqref="B3"/>
    </sheetView>
  </sheetViews>
  <sheetFormatPr defaultRowHeight="14"/>
  <cols>
    <col min="1" max="1" width="6.83203125" bestFit="1" customWidth="1"/>
  </cols>
  <sheetData>
    <row r="1" spans="1:2">
      <c r="A1" t="s">
        <v>1911</v>
      </c>
      <c r="B1" t="s">
        <v>6505</v>
      </c>
    </row>
    <row r="2" spans="1:2">
      <c r="A2" t="s">
        <v>1926</v>
      </c>
      <c r="B2" t="s">
        <v>1970</v>
      </c>
    </row>
    <row r="3" spans="1:2">
      <c r="A3" t="s">
        <v>1993</v>
      </c>
      <c r="B3" t="s">
        <v>1991</v>
      </c>
    </row>
    <row r="4" spans="1:2">
      <c r="A4" t="s">
        <v>2016</v>
      </c>
      <c r="B4" t="s">
        <v>2014</v>
      </c>
    </row>
    <row r="5" spans="1:2">
      <c r="A5" t="s">
        <v>2039</v>
      </c>
      <c r="B5" t="s">
        <v>2037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503AF-A9CF-42A2-BC72-DFA759D0E8EE}">
  <sheetPr codeName="Sheet6"/>
  <dimension ref="A1:B539"/>
  <sheetViews>
    <sheetView workbookViewId="0">
      <selection activeCell="B1" sqref="B1"/>
    </sheetView>
  </sheetViews>
  <sheetFormatPr defaultRowHeight="14"/>
  <sheetData>
    <row r="1" spans="1:2">
      <c r="A1" t="s">
        <v>4453</v>
      </c>
      <c r="B1" t="s">
        <v>6505</v>
      </c>
    </row>
    <row r="2" spans="1:2">
      <c r="A2" t="s">
        <v>3073</v>
      </c>
      <c r="B2" t="str">
        <f>_xlfn.XLOOKUP(A2,'Hướng dẫn'!AF:AF,'Hướng dẫn'!AD:AD)</f>
        <v>FRAME</v>
      </c>
    </row>
    <row r="3" spans="1:2">
      <c r="A3" t="s">
        <v>2802</v>
      </c>
      <c r="B3" t="str">
        <f>_xlfn.XLOOKUP(A3,'Hướng dẫn'!AF:AF,'Hướng dẫn'!AD:AD)</f>
        <v>Flying Stock</v>
      </c>
    </row>
    <row r="4" spans="1:2">
      <c r="A4" t="s">
        <v>2791</v>
      </c>
      <c r="B4" t="str">
        <f>_xlfn.XLOOKUP(A4,'Hướng dẫn'!AF:AF,'Hướng dẫn'!AD:AD)</f>
        <v>Flying Fish</v>
      </c>
    </row>
    <row r="5" spans="1:2">
      <c r="A5" t="s">
        <v>3855</v>
      </c>
      <c r="B5" t="str">
        <f>_xlfn.XLOOKUP(A5,'Hướng dẫn'!AF:AF,'Hướng dẫn'!AD:AD)</f>
        <v>Constable</v>
      </c>
    </row>
    <row r="6" spans="1:2">
      <c r="A6" t="s">
        <v>3846</v>
      </c>
      <c r="B6" t="str">
        <f>_xlfn.XLOOKUP(A6,'Hướng dẫn'!AF:AF,'Hướng dẫn'!AD:AD)</f>
        <v>Bardot</v>
      </c>
    </row>
    <row r="7" spans="1:2">
      <c r="A7" t="s">
        <v>3470</v>
      </c>
      <c r="B7" t="str">
        <f>_xlfn.XLOOKUP(A7,'Hướng dẫn'!AF:AF,'Hướng dẫn'!AD:AD)</f>
        <v>Saigon Traffic</v>
      </c>
    </row>
    <row r="8" spans="1:2">
      <c r="A8" t="s">
        <v>3698</v>
      </c>
      <c r="B8" t="str">
        <f>_xlfn.XLOOKUP(A8,'Hướng dẫn'!AF:AF,'Hướng dẫn'!AD:AD)</f>
        <v>CA PARADISE ZOOM LEFT</v>
      </c>
    </row>
    <row r="9" spans="1:2">
      <c r="A9" t="s">
        <v>3500</v>
      </c>
      <c r="B9" t="str">
        <f>_xlfn.XLOOKUP(A9,'Hướng dẫn'!AF:AF,'Hướng dẫn'!AD:AD)</f>
        <v>Star Map</v>
      </c>
    </row>
    <row r="10" spans="1:2">
      <c r="A10" t="s">
        <v>3317</v>
      </c>
      <c r="B10" t="str">
        <f>_xlfn.XLOOKUP(A10,'Hướng dẫn'!AF:AF,'Hướng dẫn'!AD:AD)</f>
        <v>Nhiều mẫu</v>
      </c>
    </row>
    <row r="11" spans="1:2">
      <c r="A11" t="s">
        <v>3602</v>
      </c>
      <c r="B11" t="str">
        <f>_xlfn.XLOOKUP(A11,'Hướng dẫn'!AF:AF,'Hướng dẫn'!AD:AD)</f>
        <v>Urban</v>
      </c>
    </row>
    <row r="12" spans="1:2">
      <c r="A12" t="s">
        <v>4246</v>
      </c>
      <c r="B12" t="str">
        <f>_xlfn.XLOOKUP(A12,'Hướng dẫn'!AF:AF,'Hướng dẫn'!AD:AD)</f>
        <v>Truyen Kieu</v>
      </c>
    </row>
    <row r="13" spans="1:2">
      <c r="A13" t="s">
        <v>2064</v>
      </c>
      <c r="B13" t="str">
        <f>_xlfn.XLOOKUP(A13,'Hướng dẫn'!AF:AF,'Hướng dẫn'!AD:AD)</f>
        <v>Autumn Lion</v>
      </c>
    </row>
    <row r="14" spans="1:2">
      <c r="A14" t="s">
        <v>3474</v>
      </c>
      <c r="B14" t="str">
        <f>_xlfn.XLOOKUP(A14,'Hướng dẫn'!AF:AF,'Hướng dẫn'!AD:AD)</f>
        <v>Shuttlecock</v>
      </c>
    </row>
    <row r="15" spans="1:2">
      <c r="A15" t="s">
        <v>2411</v>
      </c>
      <c r="B15" t="str">
        <f>_xlfn.XLOOKUP(A15,'Hướng dẫn'!AF:AF,'Hướng dẫn'!AD:AD)</f>
        <v>Damascus M390 Santoku 18cm</v>
      </c>
    </row>
    <row r="16" spans="1:2">
      <c r="A16" t="s">
        <v>3631</v>
      </c>
      <c r="B16" t="str">
        <f>_xlfn.XLOOKUP(A16,'Hướng dẫn'!AF:AF,'Hướng dẫn'!AD:AD)</f>
        <v>Vietnam Telecom</v>
      </c>
    </row>
    <row r="17" spans="1:2">
      <c r="A17" t="s">
        <v>4284</v>
      </c>
      <c r="B17" t="str">
        <f>_xlfn.XLOOKUP(A17,'Hướng dẫn'!AF:AF,'Hướng dẫn'!AD:AD)</f>
        <v>Sitting Buddha</v>
      </c>
    </row>
    <row r="18" spans="1:2">
      <c r="A18" t="s">
        <v>1934</v>
      </c>
      <c r="B18" t="str">
        <f>_xlfn.XLOOKUP(A18,'Hướng dẫn'!AF:AF,'Hướng dẫn'!AD:AD)</f>
        <v>GINKGO (Shopping BAG)</v>
      </c>
    </row>
    <row r="19" spans="1:2">
      <c r="A19" t="s">
        <v>3857</v>
      </c>
      <c r="B19" t="str">
        <f>_xlfn.XLOOKUP(A19,'Hướng dẫn'!AF:AF,'Hướng dẫn'!AD:AD)</f>
        <v>Cora I</v>
      </c>
    </row>
    <row r="20" spans="1:2">
      <c r="A20" t="s">
        <v>3548</v>
      </c>
      <c r="B20" t="str">
        <f>_xlfn.XLOOKUP(A20,'Hướng dẫn'!AF:AF,'Hướng dẫn'!AD:AD)</f>
        <v>The Eight Horses of Triumph</v>
      </c>
    </row>
    <row r="21" spans="1:2">
      <c r="A21" t="s">
        <v>2502</v>
      </c>
      <c r="B21" t="str">
        <f>_xlfn.XLOOKUP(A21,'Hướng dẫn'!AF:AF,'Hướng dẫn'!AD:AD)</f>
        <v>Di Dau</v>
      </c>
    </row>
    <row r="22" spans="1:2">
      <c r="A22" t="s">
        <v>4208</v>
      </c>
      <c r="B22" t="str">
        <f>_xlfn.XLOOKUP(A22,'Hướng dẫn'!AF:AF,'Hướng dẫn'!AD:AD)</f>
        <v>Đoàn Thị Điểm</v>
      </c>
    </row>
    <row r="23" spans="1:2">
      <c r="A23" t="s">
        <v>6515</v>
      </c>
      <c r="B23" t="e">
        <f>_xlfn.XLOOKUP(A23,'Hướng dẫn'!AF:AF,'Hướng dẫn'!AD:AD)</f>
        <v>#N/A</v>
      </c>
    </row>
    <row r="24" spans="1:2">
      <c r="A24" t="s">
        <v>2861</v>
      </c>
      <c r="B24" t="str">
        <f>_xlfn.XLOOKUP(A24,'Hướng dẫn'!AF:AF,'Hướng dẫn'!AD:AD)</f>
        <v>Gao</v>
      </c>
    </row>
    <row r="25" spans="1:2">
      <c r="A25" t="s">
        <v>3729</v>
      </c>
      <c r="B25" t="str">
        <f>_xlfn.XLOOKUP(A25,'Hướng dẫn'!AF:AF,'Hướng dẫn'!AD:AD)</f>
        <v>HER HAIR, THE LAST REFUGE</v>
      </c>
    </row>
    <row r="26" spans="1:2">
      <c r="A26" t="s">
        <v>3897</v>
      </c>
      <c r="B26" t="str">
        <f>_xlfn.XLOOKUP(A26,'Hướng dẫn'!AF:AF,'Hướng dẫn'!AD:AD)</f>
        <v>Men’s Schaeffer</v>
      </c>
    </row>
    <row r="27" spans="1:2">
      <c r="A27" t="s">
        <v>4132</v>
      </c>
      <c r="B27" t="str">
        <f>_xlfn.XLOOKUP(A27,'Hướng dẫn'!AF:AF,'Hướng dẫn'!AD:AD)</f>
        <v>CS-HN-KG-GK HA 129</v>
      </c>
    </row>
    <row r="28" spans="1:2">
      <c r="A28" t="s">
        <v>4102</v>
      </c>
      <c r="B28" t="str">
        <f>_xlfn.XLOOKUP(A28,'Hướng dẫn'!AF:AF,'Hướng dẫn'!AD:AD)</f>
        <v>CS-HN-KG-GINKGO 76</v>
      </c>
    </row>
    <row r="29" spans="1:2">
      <c r="A29" t="s">
        <v>3229</v>
      </c>
      <c r="B29" t="str">
        <f>_xlfn.XLOOKUP(A29,'Hướng dẫn'!AF:AF,'Hướng dẫn'!AD:AD)</f>
        <v>Lily Pattern</v>
      </c>
    </row>
    <row r="30" spans="1:2">
      <c r="A30" t="s">
        <v>3233</v>
      </c>
      <c r="B30" t="str">
        <f>_xlfn.XLOOKUP(A30,'Hướng dẫn'!AF:AF,'Hướng dẫn'!AD:AD)</f>
        <v>Linen Pants</v>
      </c>
    </row>
    <row r="31" spans="1:2">
      <c r="A31" t="s">
        <v>3432</v>
      </c>
      <c r="B31" t="str">
        <f>_xlfn.XLOOKUP(A31,'Hướng dẫn'!AF:AF,'Hướng dẫn'!AD:AD)</f>
        <v>Red Lantern</v>
      </c>
    </row>
    <row r="32" spans="1:2">
      <c r="A32" t="s">
        <v>3098</v>
      </c>
      <c r="B32" t="str">
        <f>_xlfn.XLOOKUP(A32,'Hướng dẫn'!AF:AF,'Hướng dẫn'!AD:AD)</f>
        <v>Hoi An</v>
      </c>
    </row>
    <row r="33" spans="1:2">
      <c r="A33" t="s">
        <v>6516</v>
      </c>
      <c r="B33" t="e">
        <f>_xlfn.XLOOKUP(A33,'Hướng dẫn'!AF:AF,'Hướng dẫn'!AD:AD)</f>
        <v>#N/A</v>
      </c>
    </row>
    <row r="34" spans="1:2">
      <c r="A34" t="s">
        <v>3662</v>
      </c>
      <c r="B34" t="str">
        <f>_xlfn.XLOOKUP(A34,'Hướng dẫn'!AF:AF,'Hướng dẫn'!AD:AD)</f>
        <v>Wolf</v>
      </c>
    </row>
    <row r="35" spans="1:2">
      <c r="A35" t="s">
        <v>2203</v>
      </c>
      <c r="B35" t="str">
        <f>_xlfn.XLOOKUP(A35,'Hướng dẫn'!AF:AF,'Hướng dẫn'!AD:AD)</f>
        <v>Ruby Plum Tea</v>
      </c>
    </row>
    <row r="36" spans="1:2">
      <c r="A36" t="s">
        <v>4384</v>
      </c>
      <c r="B36" t="str">
        <f>_xlfn.XLOOKUP(A36,'Hướng dẫn'!AF:AF,'Hướng dẫn'!AD:AD)</f>
        <v>Accessories Bag L</v>
      </c>
    </row>
    <row r="37" spans="1:2">
      <c r="A37" t="s">
        <v>3842</v>
      </c>
      <c r="B37" t="str">
        <f>_xlfn.XLOOKUP(A37,'Hướng dẫn'!AF:AF,'Hướng dẫn'!AD:AD)</f>
        <v>Aznavour I</v>
      </c>
    </row>
    <row r="38" spans="1:2">
      <c r="A38" t="s">
        <v>3848</v>
      </c>
      <c r="B38" t="str">
        <f>_xlfn.XLOOKUP(A38,'Hướng dẫn'!AF:AF,'Hướng dẫn'!AD:AD)</f>
        <v>Bertrand Loafer I</v>
      </c>
    </row>
    <row r="39" spans="1:2">
      <c r="A39" t="s">
        <v>3898</v>
      </c>
      <c r="B39" t="str">
        <f>_xlfn.XLOOKUP(A39,'Hướng dẫn'!AF:AF,'Hướng dẫn'!AD:AD)</f>
        <v>Men’s Seurat</v>
      </c>
    </row>
    <row r="40" spans="1:2">
      <c r="A40" t="s">
        <v>3092</v>
      </c>
      <c r="B40" t="str">
        <f>_xlfn.XLOOKUP(A40,'Hướng dẫn'!AF:AF,'Hướng dẫn'!AD:AD)</f>
        <v>Hoa</v>
      </c>
    </row>
    <row r="41" spans="1:2">
      <c r="A41" t="s">
        <v>3510</v>
      </c>
      <c r="B41" t="str">
        <f>_xlfn.XLOOKUP(A41,'Hướng dẫn'!AF:AF,'Hướng dẫn'!AD:AD)</f>
        <v>Street Café</v>
      </c>
    </row>
    <row r="42" spans="1:2">
      <c r="A42" t="s">
        <v>3188</v>
      </c>
      <c r="B42" t="str">
        <f>_xlfn.XLOOKUP(A42,'Hướng dẫn'!AF:AF,'Hướng dẫn'!AD:AD)</f>
        <v>Jungle</v>
      </c>
    </row>
    <row r="43" spans="1:2">
      <c r="A43" t="s">
        <v>3518</v>
      </c>
      <c r="B43" t="str">
        <f>_xlfn.XLOOKUP(A43,'Hướng dẫn'!AF:AF,'Hướng dẫn'!AD:AD)</f>
        <v>Street Vendor</v>
      </c>
    </row>
    <row r="44" spans="1:2">
      <c r="A44" t="s">
        <v>4264</v>
      </c>
      <c r="B44" t="str">
        <f>_xlfn.XLOOKUP(A44,'Hướng dẫn'!AF:AF,'Hướng dẫn'!AD:AD)</f>
        <v>SAIGON CLASSIQUE' 24</v>
      </c>
    </row>
    <row r="45" spans="1:2">
      <c r="A45" t="s">
        <v>3021</v>
      </c>
      <c r="B45" t="str">
        <f>_xlfn.XLOOKUP(A45,'Hướng dẫn'!AF:AF,'Hướng dẫn'!AD:AD)</f>
        <v>Ha Noi Conner</v>
      </c>
    </row>
    <row r="46" spans="1:2">
      <c r="A46" t="s">
        <v>4220</v>
      </c>
      <c r="B46" t="str">
        <f>_xlfn.XLOOKUP(A46,'Hướng dẫn'!AF:AF,'Hướng dẫn'!AD:AD)</f>
        <v>Hoàng hậu Nam Phương</v>
      </c>
    </row>
    <row r="47" spans="1:2">
      <c r="A47" t="s">
        <v>4253</v>
      </c>
      <c r="B47" t="str">
        <f>_xlfn.XLOOKUP(A47,'Hướng dẫn'!AF:AF,'Hướng dẫn'!AD:AD)</f>
        <v>Bộ cờ tỷ phú lumina Hà Nội</v>
      </c>
    </row>
    <row r="48" spans="1:2">
      <c r="A48" t="s">
        <v>3913</v>
      </c>
      <c r="B48" t="str">
        <f>_xlfn.XLOOKUP(A48,'Hướng dẫn'!AF:AF,'Hướng dẫn'!AD:AD)</f>
        <v>Phsar Dek</v>
      </c>
    </row>
    <row r="49" spans="1:2">
      <c r="A49" t="s">
        <v>3989</v>
      </c>
      <c r="B49" t="str">
        <f>_xlfn.XLOOKUP(A49,'Hướng dẫn'!AF:AF,'Hướng dẫn'!AD:AD)</f>
        <v>Kim</v>
      </c>
    </row>
    <row r="50" spans="1:2">
      <c r="A50" t="s">
        <v>4283</v>
      </c>
      <c r="B50" t="str">
        <f>_xlfn.XLOOKUP(A50,'Hướng dẫn'!AF:AF,'Hướng dẫn'!AD:AD)</f>
        <v>Laughing Buddha</v>
      </c>
    </row>
    <row r="51" spans="1:2">
      <c r="A51" t="s">
        <v>4040</v>
      </c>
      <c r="B51" t="str">
        <f>_xlfn.XLOOKUP(A51,'Hướng dẫn'!AF:AF,'Hướng dẫn'!AD:AD)</f>
        <v>CS-GN-LBSB-1</v>
      </c>
    </row>
    <row r="52" spans="1:2">
      <c r="A52" t="s">
        <v>3922</v>
      </c>
      <c r="B52" t="str">
        <f>_xlfn.XLOOKUP(A52,'Hướng dẫn'!AF:AF,'Hướng dẫn'!AD:AD)</f>
        <v>Sneaker
Bannister</v>
      </c>
    </row>
    <row r="53" spans="1:2">
      <c r="A53" t="s">
        <v>3586</v>
      </c>
      <c r="B53" t="str">
        <f>_xlfn.XLOOKUP(A53,'Hướng dẫn'!AF:AF,'Hướng dẫn'!AD:AD)</f>
        <v>Traffic Light</v>
      </c>
    </row>
    <row r="54" spans="1:2">
      <c r="A54" t="s">
        <v>3544</v>
      </c>
      <c r="B54" t="str">
        <f>_xlfn.XLOOKUP(A54,'Hướng dẫn'!AF:AF,'Hướng dẫn'!AD:AD)</f>
        <v>The Chairs</v>
      </c>
    </row>
    <row r="55" spans="1:2">
      <c r="A55" t="s">
        <v>3866</v>
      </c>
      <c r="B55" t="str">
        <f>_xlfn.XLOOKUP(A55,'Hướng dẫn'!AF:AF,'Hướng dẫn'!AD:AD)</f>
        <v>Gaskell I (Hard)</v>
      </c>
    </row>
    <row r="56" spans="1:2">
      <c r="A56" t="s">
        <v>3634</v>
      </c>
      <c r="B56" t="str">
        <f>_xlfn.XLOOKUP(A56,'Hướng dẫn'!AF:AF,'Hướng dẫn'!AD:AD)</f>
        <v>Vietnam waves</v>
      </c>
    </row>
    <row r="57" spans="1:2">
      <c r="A57" t="s">
        <v>4069</v>
      </c>
      <c r="B57" t="str">
        <f>_xlfn.XLOOKUP(A57,'Hướng dẫn'!AF:AF,'Hướng dẫn'!AD:AD)</f>
        <v>CS-HN-KG- EAR 32R</v>
      </c>
    </row>
    <row r="58" spans="1:2">
      <c r="A58" t="s">
        <v>3919</v>
      </c>
      <c r="B58" t="str">
        <f>_xlfn.XLOOKUP(A58,'Hướng dẫn'!AF:AF,'Hướng dẫn'!AD:AD)</f>
        <v>Slipper Neruda</v>
      </c>
    </row>
    <row r="59" spans="1:2">
      <c r="A59" t="s">
        <v>2635</v>
      </c>
      <c r="B59" t="str">
        <f>_xlfn.XLOOKUP(A59,'Hướng dẫn'!AF:AF,'Hướng dẫn'!AD:AD)</f>
        <v>Bronte</v>
      </c>
    </row>
    <row r="60" spans="1:2">
      <c r="A60" t="s">
        <v>3581</v>
      </c>
      <c r="B60" t="str">
        <f>_xlfn.XLOOKUP(A60,'Hướng dẫn'!AF:AF,'Hướng dẫn'!AD:AD)</f>
        <v>Traffic Jam</v>
      </c>
    </row>
    <row r="61" spans="1:2">
      <c r="A61" t="s">
        <v>4196</v>
      </c>
      <c r="B61" t="str">
        <f>_xlfn.XLOOKUP(A61,'Hướng dẫn'!AF:AF,'Hướng dẫn'!AD:AD)</f>
        <v>CS-HN-KG-MEN 10</v>
      </c>
    </row>
    <row r="62" spans="1:2">
      <c r="A62" t="s">
        <v>4227</v>
      </c>
      <c r="B62" t="str">
        <f>_xlfn.XLOOKUP(A62,'Hướng dẫn'!AF:AF,'Hướng dẫn'!AD:AD)</f>
        <v>Ngọc Hân - Nguyễn Huệ</v>
      </c>
    </row>
    <row r="63" spans="1:2">
      <c r="A63" t="s">
        <v>3987</v>
      </c>
      <c r="B63" t="str">
        <f>_xlfn.XLOOKUP(A63,'Hướng dẫn'!AF:AF,'Hướng dẫn'!AD:AD)</f>
        <v>Kieu</v>
      </c>
    </row>
    <row r="64" spans="1:2">
      <c r="A64" t="s">
        <v>4085</v>
      </c>
      <c r="B64" t="str">
        <f>_xlfn.XLOOKUP(A64,'Hướng dẫn'!AF:AF,'Hướng dẫn'!AD:AD)</f>
        <v>CS-HN-KG-GINKGO 110</v>
      </c>
    </row>
    <row r="65" spans="1:2">
      <c r="A65" t="s">
        <v>3827</v>
      </c>
      <c r="B65" t="str">
        <f>_xlfn.XLOOKUP(A65,'Hướng dẫn'!AF:AF,'Hướng dẫn'!AD:AD)</f>
        <v>Sơn La Blend</v>
      </c>
    </row>
    <row r="66" spans="1:2">
      <c r="A66" t="s">
        <v>4090</v>
      </c>
      <c r="B66" t="str">
        <f>_xlfn.XLOOKUP(A66,'Hướng dẫn'!AF:AF,'Hướng dẫn'!AD:AD)</f>
        <v>CS-HN-KG-GINKGO 117</v>
      </c>
    </row>
    <row r="67" spans="1:2">
      <c r="A67" t="s">
        <v>4273</v>
      </c>
      <c r="B67" t="str">
        <f>_xlfn.XLOOKUP(A67,'Hướng dẫn'!AF:AF,'Hướng dẫn'!AD:AD)</f>
        <v>KM Mint &amp; Lemon</v>
      </c>
    </row>
    <row r="68" spans="1:2">
      <c r="A68" t="s">
        <v>3045</v>
      </c>
      <c r="B68" t="str">
        <f>_xlfn.XLOOKUP(A68,'Hướng dẫn'!AF:AF,'Hướng dẫn'!AD:AD)</f>
        <v>Hang Hoa</v>
      </c>
    </row>
    <row r="69" spans="1:2">
      <c r="A69" t="s">
        <v>3851</v>
      </c>
      <c r="B69" t="str">
        <f>_xlfn.XLOOKUP(A69,'Hướng dẫn'!AF:AF,'Hướng dẫn'!AD:AD)</f>
        <v>Cezanne</v>
      </c>
    </row>
    <row r="70" spans="1:2">
      <c r="A70" t="s">
        <v>3281</v>
      </c>
      <c r="B70" t="str">
        <f>_xlfn.XLOOKUP(A70,'Hướng dẫn'!AF:AF,'Hướng dẫn'!AD:AD)</f>
        <v>Monfox</v>
      </c>
    </row>
    <row r="71" spans="1:2">
      <c r="A71" t="s">
        <v>2219</v>
      </c>
      <c r="B71" t="str">
        <f>_xlfn.XLOOKUP(A71,'Hướng dẫn'!AF:AF,'Hướng dẫn'!AD:AD)</f>
        <v>Beer Pop</v>
      </c>
    </row>
    <row r="72" spans="1:2">
      <c r="A72" t="s">
        <v>3353</v>
      </c>
      <c r="B72" t="str">
        <f>_xlfn.XLOOKUP(A72,'Hướng dẫn'!AF:AF,'Hướng dẫn'!AD:AD)</f>
        <v>Old Quarter</v>
      </c>
    </row>
    <row r="73" spans="1:2">
      <c r="A73" t="s">
        <v>3597</v>
      </c>
      <c r="B73" t="str">
        <f>_xlfn.XLOOKUP(A73,'Hướng dẫn'!AF:AF,'Hướng dẫn'!AD:AD)</f>
        <v>Tropical Night</v>
      </c>
    </row>
    <row r="74" spans="1:2">
      <c r="A74" t="s">
        <v>4065</v>
      </c>
      <c r="B74" t="str">
        <f>_xlfn.XLOOKUP(A74,'Hướng dẫn'!AF:AF,'Hướng dẫn'!AD:AD)</f>
        <v>CS-HN-HD 73</v>
      </c>
    </row>
    <row r="75" spans="1:2">
      <c r="A75" t="s">
        <v>6517</v>
      </c>
      <c r="B75" t="e">
        <f>_xlfn.XLOOKUP(A75,'Hướng dẫn'!AF:AF,'Hướng dẫn'!AD:AD)</f>
        <v>#N/A</v>
      </c>
    </row>
    <row r="76" spans="1:2">
      <c r="A76" t="s">
        <v>2214</v>
      </c>
      <c r="B76" t="str">
        <f>_xlfn.XLOOKUP(A76,'Hướng dẫn'!AF:AF,'Hướng dẫn'!AD:AD)</f>
        <v>Men's Bags Sisley</v>
      </c>
    </row>
    <row r="77" spans="1:2">
      <c r="A77" t="s">
        <v>6518</v>
      </c>
      <c r="B77" t="e">
        <f>_xlfn.XLOOKUP(A77,'Hướng dẫn'!AF:AF,'Hướng dẫn'!AD:AD)</f>
        <v>#N/A</v>
      </c>
    </row>
    <row r="78" spans="1:2">
      <c r="A78" t="s">
        <v>3865</v>
      </c>
      <c r="B78" t="str">
        <f>_xlfn.XLOOKUP(A78,'Hướng dẫn'!AF:AF,'Hướng dẫn'!AD:AD)</f>
        <v>Fouquet</v>
      </c>
    </row>
    <row r="79" spans="1:2">
      <c r="A79" t="s">
        <v>4440</v>
      </c>
      <c r="B79" t="str">
        <f>_xlfn.XLOOKUP(A79,'Hướng dẫn'!AF:AF,'Hướng dẫn'!AD:AD)</f>
        <v>Men Clutch I</v>
      </c>
    </row>
    <row r="80" spans="1:2">
      <c r="A80" t="s">
        <v>2039</v>
      </c>
      <c r="B80" t="str">
        <f>_xlfn.XLOOKUP(A80,'Hướng dẫn'!AF:AF,'Hướng dẫn'!AD:AD)</f>
        <v>Unicorn</v>
      </c>
    </row>
    <row r="81" spans="1:2">
      <c r="A81" t="s">
        <v>3891</v>
      </c>
      <c r="B81" t="str">
        <f>_xlfn.XLOOKUP(A81,'Hướng dẫn'!AF:AF,'Hướng dẫn'!AD:AD)</f>
        <v>Martial Slipper</v>
      </c>
    </row>
    <row r="82" spans="1:2">
      <c r="A82" t="s">
        <v>3834</v>
      </c>
      <c r="B82" t="str">
        <f>_xlfn.XLOOKUP(A82,'Hướng dẫn'!AF:AF,'Hướng dẫn'!AD:AD)</f>
        <v>Alex Loafer</v>
      </c>
    </row>
    <row r="83" spans="1:2">
      <c r="A83" t="s">
        <v>4004</v>
      </c>
      <c r="B83" t="str">
        <f>_xlfn.XLOOKUP(A83,'Hướng dẫn'!AF:AF,'Hướng dẫn'!AD:AD)</f>
        <v>Thu</v>
      </c>
    </row>
    <row r="84" spans="1:2">
      <c r="A84" t="s">
        <v>2049</v>
      </c>
      <c r="B84" t="str">
        <f>_xlfn.XLOOKUP(A84,'Hướng dẫn'!AF:AF,'Hướng dẫn'!AD:AD)</f>
        <v>Aphrodite</v>
      </c>
    </row>
    <row r="85" spans="1:2">
      <c r="A85" t="s">
        <v>6519</v>
      </c>
      <c r="B85" t="e">
        <f>_xlfn.XLOOKUP(A85,'Hướng dẫn'!AF:AF,'Hướng dẫn'!AD:AD)</f>
        <v>#N/A</v>
      </c>
    </row>
    <row r="86" spans="1:2">
      <c r="A86" t="s">
        <v>3995</v>
      </c>
      <c r="B86" t="str">
        <f>_xlfn.XLOOKUP(A86,'Hướng dẫn'!AF:AF,'Hướng dẫn'!AD:AD)</f>
        <v>Moc Chau</v>
      </c>
    </row>
    <row r="87" spans="1:2">
      <c r="A87" t="s">
        <v>3780</v>
      </c>
      <c r="B87" t="str">
        <f>_xlfn.XLOOKUP(A87,'Hướng dẫn'!AF:AF,'Hướng dẫn'!AD:AD)</f>
        <v>MOD0704001</v>
      </c>
    </row>
    <row r="88" spans="1:2">
      <c r="A88" t="s">
        <v>4292</v>
      </c>
      <c r="B88" t="str">
        <f>_xlfn.XLOOKUP(A88,'Hướng dẫn'!AF:AF,'Hướng dẫn'!AD:AD)</f>
        <v>Giỏ trà hoa giấy RuNam</v>
      </c>
    </row>
    <row r="89" spans="1:2">
      <c r="A89" t="s">
        <v>3301</v>
      </c>
      <c r="B89" t="str">
        <f>_xlfn.XLOOKUP(A89,'Hướng dẫn'!AF:AF,'Hướng dẫn'!AD:AD)</f>
        <v>Motor</v>
      </c>
    </row>
    <row r="90" spans="1:2">
      <c r="A90" t="s">
        <v>4059</v>
      </c>
      <c r="B90" t="str">
        <f>_xlfn.XLOOKUP(A90,'Hướng dẫn'!AF:AF,'Hướng dẫn'!AD:AD)</f>
        <v>CS-HN-HD 70</v>
      </c>
    </row>
    <row r="91" spans="1:2">
      <c r="A91" t="s">
        <v>3613</v>
      </c>
      <c r="B91" t="str">
        <f>_xlfn.XLOOKUP(A91,'Hướng dẫn'!AF:AF,'Hướng dẫn'!AD:AD)</f>
        <v>Viet Nam</v>
      </c>
    </row>
    <row r="92" spans="1:2">
      <c r="A92" t="s">
        <v>3844</v>
      </c>
      <c r="B92" t="str">
        <f>_xlfn.XLOOKUP(A92,'Hướng dẫn'!AF:AF,'Hướng dẫn'!AD:AD)</f>
        <v>Aznavour Python</v>
      </c>
    </row>
    <row r="93" spans="1:2">
      <c r="A93" t="s">
        <v>4022</v>
      </c>
      <c r="B93" t="str">
        <f>_xlfn.XLOOKUP(A93,'Hướng dẫn'!AF:AF,'Hướng dẫn'!AD:AD)</f>
        <v>Vietnamese Coconut Coffee</v>
      </c>
    </row>
    <row r="94" spans="1:2">
      <c r="A94" t="s">
        <v>3863</v>
      </c>
      <c r="B94" t="str">
        <f>_xlfn.XLOOKUP(A94,'Hướng dẫn'!AF:AF,'Hướng dẫn'!AD:AD)</f>
        <v>Easy Loafer I</v>
      </c>
    </row>
    <row r="95" spans="1:2">
      <c r="A95" t="s">
        <v>3792</v>
      </c>
      <c r="B95" t="str">
        <f>_xlfn.XLOOKUP(A95,'Hướng dẫn'!AF:AF,'Hướng dẫn'!AD:AD)</f>
        <v>MOD0704007</v>
      </c>
    </row>
    <row r="96" spans="1:2">
      <c r="A96" t="s">
        <v>2870</v>
      </c>
      <c r="B96" t="str">
        <f>_xlfn.XLOOKUP(A96,'Hướng dẫn'!AF:AF,'Hướng dẫn'!AD:AD)</f>
        <v>Gecko</v>
      </c>
    </row>
    <row r="97" spans="1:2">
      <c r="A97" t="s">
        <v>3924</v>
      </c>
      <c r="B97" t="str">
        <f>_xlfn.XLOOKUP(A97,'Hướng dẫn'!AF:AF,'Hướng dẫn'!AD:AD)</f>
        <v>Star Loafer</v>
      </c>
    </row>
    <row r="98" spans="1:2">
      <c r="A98" t="s">
        <v>2349</v>
      </c>
      <c r="B98" t="str">
        <f>_xlfn.XLOOKUP(A98,'Hướng dẫn'!AF:AF,'Hướng dẫn'!AD:AD)</f>
        <v>Chair</v>
      </c>
    </row>
    <row r="99" spans="1:2">
      <c r="A99" t="s">
        <v>2667</v>
      </c>
      <c r="B99" t="str">
        <f>_xlfn.XLOOKUP(A99,'Hướng dẫn'!AF:AF,'Hướng dẫn'!AD:AD)</f>
        <v>Boxer</v>
      </c>
    </row>
    <row r="100" spans="1:2">
      <c r="A100" t="s">
        <v>6520</v>
      </c>
      <c r="B100" t="e">
        <f>_xlfn.XLOOKUP(A100,'Hướng dẫn'!AF:AF,'Hướng dẫn'!AD:AD)</f>
        <v>#N/A</v>
      </c>
    </row>
    <row r="101" spans="1:2">
      <c r="A101" t="s">
        <v>4350</v>
      </c>
      <c r="B101" t="str">
        <f>_xlfn.XLOOKUP(A101,'Hướng dẫn'!AF:AF,'Hướng dẫn'!AD:AD)</f>
        <v>Mũ Tòhe - AHA</v>
      </c>
    </row>
    <row r="102" spans="1:2">
      <c r="A102" t="s">
        <v>3917</v>
      </c>
      <c r="B102" t="str">
        <f>_xlfn.XLOOKUP(A102,'Hướng dẫn'!AF:AF,'Hướng dẫn'!AD:AD)</f>
        <v>Shelley</v>
      </c>
    </row>
    <row r="103" spans="1:2">
      <c r="A103" t="s">
        <v>2094</v>
      </c>
      <c r="B103" t="str">
        <f>_xlfn.XLOOKUP(A103,'Hướng dẫn'!AF:AF,'Hướng dẫn'!AD:AD)</f>
        <v>Banana Leaf</v>
      </c>
    </row>
    <row r="104" spans="1:2">
      <c r="A104" t="s">
        <v>3896</v>
      </c>
      <c r="B104" t="str">
        <f>_xlfn.XLOOKUP(A104,'Hướng dẫn'!AF:AF,'Hướng dẫn'!AD:AD)</f>
        <v>Men’s Piaf</v>
      </c>
    </row>
    <row r="105" spans="1:2">
      <c r="A105" t="s">
        <v>3418</v>
      </c>
      <c r="B105" t="str">
        <f>_xlfn.XLOOKUP(A105,'Hướng dẫn'!AF:AF,'Hướng dẫn'!AD:AD)</f>
        <v>Rain forest</v>
      </c>
    </row>
    <row r="106" spans="1:2">
      <c r="A106" t="s">
        <v>2674</v>
      </c>
      <c r="B106" t="str">
        <f>_xlfn.XLOOKUP(A106,'Hướng dẫn'!AF:AF,'Hướng dẫn'!AD:AD)</f>
        <v>Duc Toc Bat Dat</v>
      </c>
    </row>
    <row r="107" spans="1:2">
      <c r="A107" t="s">
        <v>4241</v>
      </c>
      <c r="B107" t="str">
        <f>_xlfn.XLOOKUP(A107,'Hướng dẫn'!AF:AF,'Hướng dẫn'!AD:AD)</f>
        <v>Thánh Gióng</v>
      </c>
    </row>
    <row r="108" spans="1:2">
      <c r="A108" t="s">
        <v>4237</v>
      </c>
      <c r="B108" t="str">
        <f>_xlfn.XLOOKUP(A108,'Hướng dẫn'!AF:AF,'Hướng dẫn'!AD:AD)</f>
        <v>Sương Nguyệt Ánh</v>
      </c>
    </row>
    <row r="109" spans="1:2">
      <c r="A109" t="s">
        <v>3464</v>
      </c>
      <c r="B109" t="str">
        <f>_xlfn.XLOOKUP(A109,'Hướng dẫn'!AF:AF,'Hướng dẫn'!AD:AD)</f>
        <v>Saigon Motor</v>
      </c>
    </row>
    <row r="110" spans="1:2">
      <c r="A110" t="s">
        <v>3491</v>
      </c>
      <c r="B110" t="str">
        <f>_xlfn.XLOOKUP(A110,'Hướng dẫn'!AF:AF,'Hướng dẫn'!AD:AD)</f>
        <v>Star</v>
      </c>
    </row>
    <row r="111" spans="1:2">
      <c r="A111" t="s">
        <v>4422</v>
      </c>
      <c r="B111" t="str">
        <f>_xlfn.XLOOKUP(A111,'Hướng dẫn'!AF:AF,'Hướng dẫn'!AD:AD)</f>
        <v>SanMai 440C 19cm Dao Bau</v>
      </c>
    </row>
    <row r="112" spans="1:2">
      <c r="A112" t="s">
        <v>3909</v>
      </c>
      <c r="B112" t="str">
        <f>_xlfn.XLOOKUP(A112,'Hướng dẫn'!AF:AF,'Hướng dẫn'!AD:AD)</f>
        <v>Men's Bags
Millais</v>
      </c>
    </row>
    <row r="113" spans="1:2">
      <c r="A113" t="s">
        <v>3879</v>
      </c>
      <c r="B113" t="str">
        <f>_xlfn.XLOOKUP(A113,'Hướng dẫn'!AF:AF,'Hướng dẫn'!AD:AD)</f>
        <v>Lady Shoes</v>
      </c>
    </row>
    <row r="114" spans="1:2">
      <c r="A114" t="s">
        <v>4094</v>
      </c>
      <c r="B114" t="str">
        <f>_xlfn.XLOOKUP(A114,'Hướng dẫn'!AF:AF,'Hướng dẫn'!AD:AD)</f>
        <v>CS-HN-KG-GINKGO 121</v>
      </c>
    </row>
    <row r="115" spans="1:2">
      <c r="A115" t="s">
        <v>2741</v>
      </c>
      <c r="B115" t="str">
        <f>_xlfn.XLOOKUP(A115,'Hướng dẫn'!AF:AF,'Hướng dẫn'!AD:AD)</f>
        <v>Fighting Roosters</v>
      </c>
    </row>
    <row r="116" spans="1:2">
      <c r="A116" t="s">
        <v>3081</v>
      </c>
      <c r="B116" t="str">
        <f>_xlfn.XLOOKUP(A116,'Hướng dẫn'!AF:AF,'Hướng dẫn'!AD:AD)</f>
        <v>Letter Rack</v>
      </c>
    </row>
    <row r="117" spans="1:2">
      <c r="A117" t="s">
        <v>3686</v>
      </c>
      <c r="B117" t="str">
        <f>_xlfn.XLOOKUP(A117,'Hướng dẫn'!AF:AF,'Hướng dẫn'!AD:AD)</f>
        <v>Xich Lo</v>
      </c>
    </row>
    <row r="118" spans="1:2">
      <c r="A118" t="s">
        <v>4452</v>
      </c>
      <c r="B118" t="str">
        <f>_xlfn.XLOOKUP(A118,'Hướng dẫn'!AF:AF,'Hướng dẫn'!AD:AD)</f>
        <v>Ottilie Bag</v>
      </c>
    </row>
    <row r="119" spans="1:2">
      <c r="A119" t="s">
        <v>3467</v>
      </c>
      <c r="B119" t="str">
        <f>_xlfn.XLOOKUP(A119,'Hướng dẫn'!AF:AF,'Hướng dẫn'!AD:AD)</f>
        <v>Saigon story</v>
      </c>
    </row>
    <row r="120" spans="1:2">
      <c r="A120" t="s">
        <v>2577</v>
      </c>
      <c r="B120" t="str">
        <f>_xlfn.XLOOKUP(A120,'Hướng dẫn'!AF:AF,'Hướng dẫn'!AD:AD)</f>
        <v>Double Bag</v>
      </c>
    </row>
    <row r="121" spans="1:2">
      <c r="A121" t="s">
        <v>3951</v>
      </c>
      <c r="B121" t="str">
        <f>_xlfn.XLOOKUP(A121,'Hướng dẫn'!AF:AF,'Hướng dẫn'!AD:AD)</f>
        <v>An</v>
      </c>
    </row>
    <row r="122" spans="1:2">
      <c r="A122" t="s">
        <v>3786</v>
      </c>
      <c r="B122" t="str">
        <f>_xlfn.XLOOKUP(A122,'Hướng dẫn'!AF:AF,'Hướng dẫn'!AD:AD)</f>
        <v>MOD0704005</v>
      </c>
    </row>
    <row r="123" spans="1:2">
      <c r="A123" t="s">
        <v>3818</v>
      </c>
      <c r="B123" t="str">
        <f>_xlfn.XLOOKUP(A123,'Hướng dẫn'!AF:AF,'Hướng dẫn'!AD:AD)</f>
        <v>Robusta</v>
      </c>
    </row>
    <row r="124" spans="1:2">
      <c r="A124" t="s">
        <v>4281</v>
      </c>
      <c r="B124" t="str">
        <f>_xlfn.XLOOKUP(A124,'Hướng dẫn'!AF:AF,'Hướng dẫn'!AD:AD)</f>
        <v>Being calm Buddhas</v>
      </c>
    </row>
    <row r="125" spans="1:2">
      <c r="A125" t="s">
        <v>3067</v>
      </c>
      <c r="B125" t="str">
        <f>_xlfn.XLOOKUP(A125,'Hướng dẫn'!AF:AF,'Hướng dẫn'!AD:AD)</f>
        <v>Thành Cổ Loa</v>
      </c>
    </row>
    <row r="126" spans="1:2">
      <c r="A126" t="s">
        <v>3826</v>
      </c>
      <c r="B126" t="str">
        <f>_xlfn.XLOOKUP(A126,'Hướng dẫn'!AF:AF,'Hướng dẫn'!AD:AD)</f>
        <v>Khe Sanh Blend</v>
      </c>
    </row>
    <row r="127" spans="1:2">
      <c r="A127" t="s">
        <v>3916</v>
      </c>
      <c r="B127" t="str">
        <f>_xlfn.XLOOKUP(A127,'Hướng dẫn'!AF:AF,'Hướng dẫn'!AD:AD)</f>
        <v>Ruskin</v>
      </c>
    </row>
    <row r="128" spans="1:2">
      <c r="A128" t="s">
        <v>1030</v>
      </c>
      <c r="B128" t="str">
        <f>_xlfn.XLOOKUP(A128,'Hướng dẫn'!AF:AF,'Hướng dẫn'!AD:AD)</f>
        <v>Street Barber</v>
      </c>
    </row>
    <row r="129" spans="1:2">
      <c r="A129" t="s">
        <v>3642</v>
      </c>
      <c r="B129" t="str">
        <f>_xlfn.XLOOKUP(A129,'Hướng dẫn'!AF:AF,'Hướng dẫn'!AD:AD)</f>
        <v>Water buffalo</v>
      </c>
    </row>
    <row r="130" spans="1:2">
      <c r="A130" t="s">
        <v>4432</v>
      </c>
      <c r="B130" t="str">
        <f>_xlfn.XLOOKUP(A130,'Hướng dẫn'!AF:AF,'Hướng dẫn'!AD:AD)</f>
        <v>Amelia Purse</v>
      </c>
    </row>
    <row r="131" spans="1:2">
      <c r="A131" t="s">
        <v>2717</v>
      </c>
      <c r="B131" t="str">
        <f>_xlfn.XLOOKUP(A131,'Hướng dẫn'!AF:AF,'Hướng dẫn'!AD:AD)</f>
        <v>Pencil Case</v>
      </c>
    </row>
    <row r="132" spans="1:2">
      <c r="A132" t="s">
        <v>4263</v>
      </c>
      <c r="B132" t="str">
        <f>_xlfn.XLOOKUP(A132,'Hướng dẫn'!AF:AF,'Hướng dẫn'!AD:AD)</f>
        <v>Mai Chau</v>
      </c>
    </row>
    <row r="133" spans="1:2">
      <c r="A133" t="s">
        <v>2951</v>
      </c>
      <c r="B133" t="str">
        <f>_xlfn.XLOOKUP(A133,'Hướng dẫn'!AF:AF,'Hướng dẫn'!AD:AD)</f>
        <v>Ginkgo Leaf 2</v>
      </c>
    </row>
    <row r="134" spans="1:2">
      <c r="A134" t="s">
        <v>4136</v>
      </c>
      <c r="B134" t="str">
        <f>_xlfn.XLOOKUP(A134,'Hướng dẫn'!AF:AF,'Hướng dẫn'!AD:AD)</f>
        <v>CS-HN-KG-GK HA 131</v>
      </c>
    </row>
    <row r="135" spans="1:2">
      <c r="A135" t="s">
        <v>4100</v>
      </c>
      <c r="B135" t="str">
        <f>_xlfn.XLOOKUP(A135,'Hướng dẫn'!AF:AF,'Hướng dẫn'!AD:AD)</f>
        <v>CS-HN-KG-GINKGO 54</v>
      </c>
    </row>
    <row r="136" spans="1:2">
      <c r="A136" t="s">
        <v>3012</v>
      </c>
      <c r="B136" t="str">
        <f>_xlfn.XLOOKUP(A136,'Hướng dẫn'!AF:AF,'Hướng dẫn'!AD:AD)</f>
        <v>Đường sắt Bắc Nam</v>
      </c>
    </row>
    <row r="137" spans="1:2">
      <c r="A137" t="s">
        <v>3593</v>
      </c>
      <c r="B137" t="str">
        <f>_xlfn.XLOOKUP(A137,'Hướng dẫn'!AF:AF,'Hướng dẫn'!AD:AD)</f>
        <v>Tropical Morning</v>
      </c>
    </row>
    <row r="138" spans="1:2">
      <c r="A138" t="s">
        <v>3936</v>
      </c>
      <c r="B138" t="str">
        <f>_xlfn.XLOOKUP(A138,'Hướng dẫn'!AF:AF,'Hướng dẫn'!AD:AD)</f>
        <v>Watch Box</v>
      </c>
    </row>
    <row r="139" spans="1:2">
      <c r="A139" t="s">
        <v>2036</v>
      </c>
      <c r="B139" t="str">
        <f>_xlfn.XLOOKUP(A139,'Hướng dẫn'!AF:AF,'Hướng dẫn'!AD:AD)</f>
        <v>Ghe Sup</v>
      </c>
    </row>
    <row r="140" spans="1:2">
      <c r="A140" t="s">
        <v>3001</v>
      </c>
      <c r="B140" t="str">
        <f>_xlfn.XLOOKUP(A140,'Hướng dẫn'!AF:AF,'Hướng dẫn'!AD:AD)</f>
        <v>Glitch Chair</v>
      </c>
    </row>
    <row r="141" spans="1:2">
      <c r="A141" t="s">
        <v>4304</v>
      </c>
      <c r="B141" t="str">
        <f>_xlfn.XLOOKUP(A141,'Hướng dẫn'!AF:AF,'Hướng dẫn'!AD:AD)</f>
        <v>Số 5</v>
      </c>
    </row>
    <row r="142" spans="1:2">
      <c r="A142" t="s">
        <v>3949</v>
      </c>
      <c r="B142" t="str">
        <f>_xlfn.XLOOKUP(A142,'Hướng dẫn'!AF:AF,'Hướng dẫn'!AD:AD)</f>
        <v>6 Miss</v>
      </c>
    </row>
    <row r="143" spans="1:2">
      <c r="A143" t="s">
        <v>4170</v>
      </c>
      <c r="B143" t="str">
        <f>_xlfn.XLOOKUP(A143,'Hướng dẫn'!AF:AF,'Hướng dẫn'!AD:AD)</f>
        <v>CS-HN-KG-GK LL 134</v>
      </c>
    </row>
    <row r="144" spans="1:2">
      <c r="A144" t="s">
        <v>4285</v>
      </c>
      <c r="B144" t="str">
        <f>_xlfn.XLOOKUP(A144,'Hướng dẫn'!AF:AF,'Hướng dẫn'!AD:AD)</f>
        <v>Three Wise Box</v>
      </c>
    </row>
    <row r="145" spans="1:2">
      <c r="A145" t="s">
        <v>3556</v>
      </c>
      <c r="B145" t="str">
        <f>_xlfn.XLOOKUP(A145,'Hướng dẫn'!AF:AF,'Hướng dẫn'!AD:AD)</f>
        <v>The Huc Bridge</v>
      </c>
    </row>
    <row r="146" spans="1:2">
      <c r="A146" t="s">
        <v>3927</v>
      </c>
      <c r="B146" t="str">
        <f>_xlfn.XLOOKUP(A146,'Hướng dẫn'!AF:AF,'Hướng dẫn'!AD:AD)</f>
        <v>Stromae II</v>
      </c>
    </row>
    <row r="147" spans="1:2">
      <c r="A147" t="s">
        <v>4198</v>
      </c>
      <c r="B147" t="str">
        <f>_xlfn.XLOOKUP(A147,'Hướng dẫn'!AF:AF,'Hướng dẫn'!AD:AD)</f>
        <v>An Tư</v>
      </c>
    </row>
    <row r="148" spans="1:2">
      <c r="A148" t="s">
        <v>6521</v>
      </c>
      <c r="B148" t="e">
        <f>_xlfn.XLOOKUP(A148,'Hướng dẫn'!AF:AF,'Hướng dẫn'!AD:AD)</f>
        <v>#N/A</v>
      </c>
    </row>
    <row r="149" spans="1:2">
      <c r="A149" t="s">
        <v>4076</v>
      </c>
      <c r="B149" t="str">
        <f>_xlfn.XLOOKUP(A149,'Hướng dẫn'!AF:AF,'Hướng dẫn'!AD:AD)</f>
        <v>CS-HN-KG-EAR 42</v>
      </c>
    </row>
    <row r="150" spans="1:2">
      <c r="A150" t="s">
        <v>4232</v>
      </c>
      <c r="B150" t="str">
        <f>_xlfn.XLOOKUP(A150,'Hướng dẫn'!AF:AF,'Hướng dẫn'!AD:AD)</f>
        <v>Sapa</v>
      </c>
    </row>
    <row r="151" spans="1:2">
      <c r="A151" t="s">
        <v>3810</v>
      </c>
      <c r="B151" t="str">
        <f>_xlfn.XLOOKUP(A151,'Hướng dẫn'!AF:AF,'Hướng dẫn'!AD:AD)</f>
        <v>MOD0704014</v>
      </c>
    </row>
    <row r="152" spans="1:2">
      <c r="A152" t="s">
        <v>4429</v>
      </c>
      <c r="B152" t="str">
        <f>_xlfn.XLOOKUP(A152,'Hướng dẫn'!AF:AF,'Hướng dẫn'!AD:AD)</f>
        <v>SanMai M390 16cm Nakiri</v>
      </c>
    </row>
    <row r="153" spans="1:2">
      <c r="A153" t="s">
        <v>4222</v>
      </c>
      <c r="B153" t="str">
        <f>_xlfn.XLOOKUP(A153,'Hướng dẫn'!AF:AF,'Hướng dẫn'!AD:AD)</f>
        <v>Hoàng Tử bé</v>
      </c>
    </row>
    <row r="154" spans="1:2">
      <c r="A154" t="s">
        <v>3451</v>
      </c>
      <c r="B154" t="str">
        <f>_xlfn.XLOOKUP(A154,'Hướng dẫn'!AF:AF,'Hướng dẫn'!AD:AD)</f>
        <v xml:space="preserve">Sai Gon </v>
      </c>
    </row>
    <row r="155" spans="1:2">
      <c r="A155" t="s">
        <v>4259</v>
      </c>
      <c r="B155" t="str">
        <f>_xlfn.XLOOKUP(A155,'Hướng dẫn'!AF:AF,'Hướng dẫn'!AD:AD)</f>
        <v>TIC TAC TOE - GME025</v>
      </c>
    </row>
    <row r="156" spans="1:2">
      <c r="A156" t="s">
        <v>3874</v>
      </c>
      <c r="B156" t="str">
        <f>_xlfn.XLOOKUP(A156,'Hướng dẫn'!AF:AF,'Hướng dẫn'!AD:AD)</f>
        <v>The Countryman - Owen</v>
      </c>
    </row>
    <row r="157" spans="1:2">
      <c r="A157" t="s">
        <v>4050</v>
      </c>
      <c r="B157" t="str">
        <f>_xlfn.XLOOKUP(A157,'Hướng dẫn'!AF:AF,'Hướng dẫn'!AD:AD)</f>
        <v>CS-HN-GK 27</v>
      </c>
    </row>
    <row r="158" spans="1:2">
      <c r="A158" t="s">
        <v>3128</v>
      </c>
      <c r="B158" t="str">
        <f>_xlfn.XLOOKUP(A158,'Hướng dẫn'!AF:AF,'Hướng dẫn'!AD:AD)</f>
        <v>Holy Cat</v>
      </c>
    </row>
    <row r="159" spans="1:2">
      <c r="A159" t="s">
        <v>6522</v>
      </c>
      <c r="B159" t="e">
        <f>_xlfn.XLOOKUP(A159,'Hướng dẫn'!AF:AF,'Hướng dẫn'!AD:AD)</f>
        <v>#N/A</v>
      </c>
    </row>
    <row r="160" spans="1:2">
      <c r="A160" t="s">
        <v>4157</v>
      </c>
      <c r="B160" t="str">
        <f>_xlfn.XLOOKUP(A160,'Hướng dẫn'!AF:AF,'Hướng dẫn'!AD:AD)</f>
        <v>CS-HN-KG-GK HN17</v>
      </c>
    </row>
    <row r="161" spans="1:2">
      <c r="A161" t="s">
        <v>4166</v>
      </c>
      <c r="B161" t="str">
        <f>_xlfn.XLOOKUP(A161,'Hướng dẫn'!AF:AF,'Hướng dẫn'!AD:AD)</f>
        <v>CS-HN-KG-GK HN50</v>
      </c>
    </row>
    <row r="162" spans="1:2">
      <c r="A162" t="s">
        <v>4015</v>
      </c>
      <c r="B162" t="str">
        <f>_xlfn.XLOOKUP(A162,'Hướng dẫn'!AF:AF,'Hướng dẫn'!AD:AD)</f>
        <v>Americano</v>
      </c>
    </row>
    <row r="163" spans="1:2">
      <c r="A163" t="s">
        <v>3883</v>
      </c>
      <c r="B163" t="str">
        <f>_xlfn.XLOOKUP(A163,'Hướng dẫn'!AF:AF,'Hướng dẫn'!AD:AD)</f>
        <v>Lawrence</v>
      </c>
    </row>
    <row r="164" spans="1:2">
      <c r="A164" t="s">
        <v>3877</v>
      </c>
      <c r="B164" t="str">
        <f>_xlfn.XLOOKUP(A164,'Hướng dẫn'!AF:AF,'Hướng dẫn'!AD:AD)</f>
        <v>Lady Martial Slipper</v>
      </c>
    </row>
    <row r="165" spans="1:2">
      <c r="A165" t="s">
        <v>4306</v>
      </c>
      <c r="B165" t="str">
        <f>_xlfn.XLOOKUP(A165,'Hướng dẫn'!AF:AF,'Hướng dẫn'!AD:AD)</f>
        <v>Số 6</v>
      </c>
    </row>
    <row r="166" spans="1:2">
      <c r="A166" t="s">
        <v>4229</v>
      </c>
      <c r="B166" t="str">
        <f>_xlfn.XLOOKUP(A166,'Hướng dẫn'!AF:AF,'Hướng dẫn'!AD:AD)</f>
        <v>Quốc Học Huế</v>
      </c>
    </row>
    <row r="167" spans="1:2">
      <c r="A167" t="s">
        <v>4254</v>
      </c>
      <c r="B167" t="str">
        <f>_xlfn.XLOOKUP(A167,'Hướng dẫn'!AF:AF,'Hướng dẫn'!AD:AD)</f>
        <v>Bộ cờ tỷ phú lumina Sai Gon</v>
      </c>
    </row>
    <row r="168" spans="1:2">
      <c r="A168" t="s">
        <v>4359</v>
      </c>
      <c r="B168" t="str">
        <f>_xlfn.XLOOKUP(A168,'Hướng dẫn'!AF:AF,'Hướng dẫn'!AD:AD)</f>
        <v>Túi Ba Gang Đeo Chéo</v>
      </c>
    </row>
    <row r="169" spans="1:2">
      <c r="A169" t="s">
        <v>4055</v>
      </c>
      <c r="B169" t="str">
        <f>_xlfn.XLOOKUP(A169,'Hướng dẫn'!AF:AF,'Hướng dẫn'!AD:AD)</f>
        <v>CS-HN-HD 68</v>
      </c>
    </row>
    <row r="170" spans="1:2">
      <c r="A170" t="s">
        <v>3754</v>
      </c>
      <c r="B170" t="str">
        <f>_xlfn.XLOOKUP(A170,'Hướng dẫn'!AF:AF,'Hướng dẫn'!AD:AD)</f>
        <v>MESMERISING</v>
      </c>
    </row>
    <row r="171" spans="1:2">
      <c r="A171" t="s">
        <v>3292</v>
      </c>
      <c r="B171" t="str">
        <f>_xlfn.XLOOKUP(A171,'Hướng dẫn'!AF:AF,'Hướng dẫn'!AD:AD)</f>
        <v>Mono Weedy</v>
      </c>
    </row>
    <row r="172" spans="1:2">
      <c r="A172" t="s">
        <v>4300</v>
      </c>
      <c r="B172" t="str">
        <f>_xlfn.XLOOKUP(A172,'Hướng dẫn'!AF:AF,'Hướng dẫn'!AD:AD)</f>
        <v>Số 1</v>
      </c>
    </row>
    <row r="173" spans="1:2">
      <c r="A173" t="s">
        <v>6523</v>
      </c>
      <c r="B173" t="e">
        <f>_xlfn.XLOOKUP(A173,'Hướng dẫn'!AF:AF,'Hướng dẫn'!AD:AD)</f>
        <v>#N/A</v>
      </c>
    </row>
    <row r="174" spans="1:2">
      <c r="A174" t="s">
        <v>4178</v>
      </c>
      <c r="B174" t="str">
        <f>_xlfn.XLOOKUP(A174,'Hướng dẫn'!AF:AF,'Hướng dẫn'!AD:AD)</f>
        <v>CS-HN-KG-HD 45</v>
      </c>
    </row>
    <row r="175" spans="1:2">
      <c r="A175" t="s">
        <v>3789</v>
      </c>
      <c r="B175" t="str">
        <f>_xlfn.XLOOKUP(A175,'Hướng dẫn'!AF:AF,'Hướng dẫn'!AD:AD)</f>
        <v>MOD0704006</v>
      </c>
    </row>
    <row r="176" spans="1:2">
      <c r="A176" t="s">
        <v>3833</v>
      </c>
      <c r="B176" t="str">
        <f>_xlfn.XLOOKUP(A176,'Hướng dẫn'!AF:AF,'Hướng dẫn'!AD:AD)</f>
        <v>Alcott</v>
      </c>
    </row>
    <row r="177" spans="1:2">
      <c r="A177" t="s">
        <v>4214</v>
      </c>
      <c r="B177" t="str">
        <f>_xlfn.XLOOKUP(A177,'Hướng dẫn'!AF:AF,'Hướng dẫn'!AD:AD)</f>
        <v>Hà Nội</v>
      </c>
    </row>
    <row r="178" spans="1:2">
      <c r="A178" t="s">
        <v>3928</v>
      </c>
      <c r="B178" t="str">
        <f>_xlfn.XLOOKUP(A178,'Hướng dẫn'!AF:AF,'Hướng dẫn'!AD:AD)</f>
        <v>Tassel Loafer</v>
      </c>
    </row>
    <row r="179" spans="1:2">
      <c r="A179" t="s">
        <v>4163</v>
      </c>
      <c r="B179" t="str">
        <f>_xlfn.XLOOKUP(A179,'Hướng dẫn'!AF:AF,'Hướng dẫn'!AD:AD)</f>
        <v>CS-HN-KG-GK HN47</v>
      </c>
    </row>
    <row r="180" spans="1:2">
      <c r="A180" t="s">
        <v>1980</v>
      </c>
      <c r="B180" t="str">
        <f>_xlfn.XLOOKUP(A180,'Hướng dẫn'!AF:AF,'Hướng dẫn'!AD:AD)</f>
        <v>DSP Tray (50*35*7cm)</v>
      </c>
    </row>
    <row r="181" spans="1:2">
      <c r="A181" t="s">
        <v>3823</v>
      </c>
      <c r="B181" t="str">
        <f>_xlfn.XLOOKUP(A181,'Hướng dẫn'!AF:AF,'Hướng dẫn'!AD:AD)</f>
        <v>A Lưới Blend</v>
      </c>
    </row>
    <row r="182" spans="1:2">
      <c r="A182" t="s">
        <v>4442</v>
      </c>
      <c r="B182" t="str">
        <f>_xlfn.XLOOKUP(A182,'Hướng dẫn'!AF:AF,'Hướng dẫn'!AD:AD)</f>
        <v>Glasses Case</v>
      </c>
    </row>
    <row r="183" spans="1:2">
      <c r="A183" t="s">
        <v>2997</v>
      </c>
      <c r="B183" t="str">
        <f>_xlfn.XLOOKUP(A183,'Hướng dẫn'!AF:AF,'Hướng dẫn'!AD:AD)</f>
        <v>Gio Vit</v>
      </c>
    </row>
    <row r="184" spans="1:2">
      <c r="A184" t="s">
        <v>3017</v>
      </c>
      <c r="B184" t="str">
        <f>_xlfn.XLOOKUP(A184,'Hướng dẫn'!AF:AF,'Hướng dẫn'!AD:AD)</f>
        <v>Ha Noi Beer</v>
      </c>
    </row>
    <row r="185" spans="1:2">
      <c r="A185" t="s">
        <v>3441</v>
      </c>
      <c r="B185" t="str">
        <f>_xlfn.XLOOKUP(A185,'Hướng dẫn'!AF:AF,'Hướng dẫn'!AD:AD)</f>
        <v>Rice Time</v>
      </c>
    </row>
    <row r="186" spans="1:2">
      <c r="A186" t="s">
        <v>4399</v>
      </c>
      <c r="B186" t="str">
        <f>_xlfn.XLOOKUP(A186,'Hướng dẫn'!AF:AF,'Hướng dẫn'!AD:AD)</f>
        <v>Túi Tote Ngôi Sao - ABSD18</v>
      </c>
    </row>
    <row r="187" spans="1:2">
      <c r="A187" t="s">
        <v>4014</v>
      </c>
      <c r="B187" t="str">
        <f>_xlfn.XLOOKUP(A187,'Hướng dẫn'!AF:AF,'Hướng dẫn'!AD:AD)</f>
        <v>Yoke</v>
      </c>
    </row>
    <row r="188" spans="1:2">
      <c r="A188" t="s">
        <v>3822</v>
      </c>
      <c r="B188" t="str">
        <f>_xlfn.XLOOKUP(A188,'Hướng dẫn'!AF:AF,'Hướng dẫn'!AD:AD)</f>
        <v>Pleiku Blend Organic</v>
      </c>
    </row>
    <row r="189" spans="1:2">
      <c r="A189" t="s">
        <v>4447</v>
      </c>
      <c r="B189" t="str">
        <f>_xlfn.XLOOKUP(A189,'Hướng dẫn'!AF:AF,'Hướng dẫn'!AD:AD)</f>
        <v>Montagrard</v>
      </c>
    </row>
    <row r="190" spans="1:2">
      <c r="A190" t="s">
        <v>3862</v>
      </c>
      <c r="B190" t="str">
        <f>_xlfn.XLOOKUP(A190,'Hướng dẫn'!AF:AF,'Hướng dẫn'!AD:AD)</f>
        <v>Duchamp I</v>
      </c>
    </row>
    <row r="191" spans="1:2">
      <c r="A191" t="s">
        <v>2156</v>
      </c>
      <c r="B191" t="str">
        <f>_xlfn.XLOOKUP(A191,'Hướng dẫn'!AF:AF,'Hướng dẫn'!AD:AD)</f>
        <v>Đậm Sâu Full Bodied250gr</v>
      </c>
    </row>
    <row r="192" spans="1:2">
      <c r="A192" t="s">
        <v>3860</v>
      </c>
      <c r="B192" t="str">
        <f>_xlfn.XLOOKUP(A192,'Hướng dẫn'!AF:AF,'Hướng dẫn'!AD:AD)</f>
        <v>Driving shoes</v>
      </c>
    </row>
    <row r="193" spans="1:2">
      <c r="A193" t="s">
        <v>3929</v>
      </c>
      <c r="B193" t="str">
        <f>_xlfn.XLOOKUP(A193,'Hướng dẫn'!AF:AF,'Hướng dẫn'!AD:AD)</f>
        <v>The Classic - Byron</v>
      </c>
    </row>
    <row r="194" spans="1:2">
      <c r="A194" t="s">
        <v>4169</v>
      </c>
      <c r="B194" t="str">
        <f>_xlfn.XLOOKUP(A194,'Hướng dẫn'!AF:AF,'Hướng dẫn'!AD:AD)</f>
        <v>CS-HN-KG-GK LL 132</v>
      </c>
    </row>
    <row r="195" spans="1:2">
      <c r="A195" t="s">
        <v>4141</v>
      </c>
      <c r="B195" t="str">
        <f>_xlfn.XLOOKUP(A195,'Hướng dẫn'!AF:AF,'Hướng dẫn'!AD:AD)</f>
        <v>CS-HN-KG-GK HA 136</v>
      </c>
    </row>
    <row r="196" spans="1:2">
      <c r="A196" t="s">
        <v>3824</v>
      </c>
      <c r="B196" t="str">
        <f>_xlfn.XLOOKUP(A196,'Hướng dẫn'!AF:AF,'Hướng dẫn'!AD:AD)</f>
        <v>Đà Lạt Blend</v>
      </c>
    </row>
    <row r="197" spans="1:2">
      <c r="A197" t="s">
        <v>3867</v>
      </c>
      <c r="B197" t="str">
        <f>_xlfn.XLOOKUP(A197,'Hướng dẫn'!AF:AF,'Hướng dẫn'!AD:AD)</f>
        <v>Gaucho Boot</v>
      </c>
    </row>
    <row r="198" spans="1:2">
      <c r="A198" t="s">
        <v>3816</v>
      </c>
      <c r="B198" t="str">
        <f>_xlfn.XLOOKUP(A198,'Hướng dẫn'!AF:AF,'Hướng dẫn'!AD:AD)</f>
        <v>Arabica</v>
      </c>
    </row>
    <row r="199" spans="1:2">
      <c r="A199" t="s">
        <v>4172</v>
      </c>
      <c r="B199" t="str">
        <f>_xlfn.XLOOKUP(A199,'Hướng dẫn'!AF:AF,'Hướng dẫn'!AD:AD)</f>
        <v>CS-HN-KG-GK LL 136</v>
      </c>
    </row>
    <row r="200" spans="1:2">
      <c r="A200" t="s">
        <v>4151</v>
      </c>
      <c r="B200" t="str">
        <f>_xlfn.XLOOKUP(A200,'Hướng dẫn'!AF:AF,'Hướng dẫn'!AD:AD)</f>
        <v>CS-HN-KG-GK HA 142</v>
      </c>
    </row>
    <row r="201" spans="1:2">
      <c r="A201" t="s">
        <v>4020</v>
      </c>
      <c r="B201" t="str">
        <f>_xlfn.XLOOKUP(A201,'Hướng dẫn'!AF:AF,'Hướng dẫn'!AD:AD)</f>
        <v>Starfruit &amp; Pineapple Kombucha</v>
      </c>
    </row>
    <row r="202" spans="1:2">
      <c r="A202" t="s">
        <v>4425</v>
      </c>
      <c r="B202" t="str">
        <f>_xlfn.XLOOKUP(A202,'Hướng dẫn'!AF:AF,'Hướng dẫn'!AD:AD)</f>
        <v>SanMai M390 12cm Petty</v>
      </c>
    </row>
    <row r="203" spans="1:2">
      <c r="A203" t="s">
        <v>4437</v>
      </c>
      <c r="B203" t="str">
        <f>_xlfn.XLOOKUP(A203,'Hướng dẫn'!AF:AF,'Hướng dẫn'!AD:AD)</f>
        <v>Men Clutch</v>
      </c>
    </row>
    <row r="204" spans="1:2">
      <c r="A204" t="s">
        <v>2733</v>
      </c>
      <c r="B204" t="str">
        <f>_xlfn.XLOOKUP(A204,'Hướng dẫn'!AF:AF,'Hướng dẫn'!AD:AD)</f>
        <v>Fantastic Plastic</v>
      </c>
    </row>
    <row r="205" spans="1:2">
      <c r="A205" t="s">
        <v>4009</v>
      </c>
      <c r="B205" t="str">
        <f>_xlfn.XLOOKUP(A205,'Hướng dẫn'!AF:AF,'Hướng dẫn'!AD:AD)</f>
        <v>Xuan</v>
      </c>
    </row>
    <row r="206" spans="1:2">
      <c r="A206" t="s">
        <v>3858</v>
      </c>
      <c r="B206" t="str">
        <f>_xlfn.XLOOKUP(A206,'Hướng dẫn'!AF:AF,'Hướng dẫn'!AD:AD)</f>
        <v>Delacroix</v>
      </c>
    </row>
    <row r="207" spans="1:2">
      <c r="A207" t="s">
        <v>4298</v>
      </c>
      <c r="B207" t="str">
        <f>_xlfn.XLOOKUP(A207,'Hướng dẫn'!AF:AF,'Hướng dẫn'!AD:AD)</f>
        <v>Set quà tặng cà phê Hương Xuân</v>
      </c>
    </row>
    <row r="208" spans="1:2">
      <c r="A208" t="s">
        <v>3850</v>
      </c>
      <c r="B208" t="str">
        <f>_xlfn.XLOOKUP(A208,'Hướng dẫn'!AF:AF,'Hướng dẫn'!AD:AD)</f>
        <v>Business card holder V3</v>
      </c>
    </row>
    <row r="209" spans="1:2">
      <c r="A209" t="s">
        <v>2191</v>
      </c>
      <c r="B209" t="str">
        <f>_xlfn.XLOOKUP(A209,'Hướng dẫn'!AF:AF,'Hướng dẫn'!AD:AD)</f>
        <v>Beep Beep</v>
      </c>
    </row>
    <row r="210" spans="1:2">
      <c r="A210" t="s">
        <v>4092</v>
      </c>
      <c r="B210" t="str">
        <f>_xlfn.XLOOKUP(A210,'Hướng dẫn'!AF:AF,'Hướng dẫn'!AD:AD)</f>
        <v>CS-HN-KG-GINKGO 119</v>
      </c>
    </row>
    <row r="211" spans="1:2">
      <c r="A211" t="s">
        <v>4218</v>
      </c>
      <c r="B211" t="str">
        <f>_xlfn.XLOOKUP(A211,'Hướng dẫn'!AF:AF,'Hướng dẫn'!AD:AD)</f>
        <v>Hồ Xuân Hương</v>
      </c>
    </row>
    <row r="212" spans="1:2">
      <c r="A212" t="s">
        <v>3460</v>
      </c>
      <c r="B212" t="str">
        <f>_xlfn.XLOOKUP(A212,'Hướng dẫn'!AF:AF,'Hướng dẫn'!AD:AD)</f>
        <v>Saigon Cruise</v>
      </c>
    </row>
    <row r="213" spans="1:2">
      <c r="A213" t="s">
        <v>2273</v>
      </c>
      <c r="B213" t="str">
        <f>_xlfn.XLOOKUP(A213,'Hướng dẫn'!AF:AF,'Hướng dẫn'!AD:AD)</f>
        <v>Loafer Blake</v>
      </c>
    </row>
    <row r="214" spans="1:2">
      <c r="A214" t="s">
        <v>6524</v>
      </c>
      <c r="B214" t="e">
        <f>_xlfn.XLOOKUP(A214,'Hướng dẫn'!AF:AF,'Hướng dẫn'!AD:AD)</f>
        <v>#N/A</v>
      </c>
    </row>
    <row r="215" spans="1:2">
      <c r="A215" t="s">
        <v>3854</v>
      </c>
      <c r="B215" t="str">
        <f>_xlfn.XLOOKUP(A215,'Hướng dẫn'!AF:AF,'Hướng dẫn'!AD:AD)</f>
        <v>Cigar Box Python</v>
      </c>
    </row>
    <row r="216" spans="1:2">
      <c r="A216" t="s">
        <v>3776</v>
      </c>
      <c r="B216" t="str">
        <f>_xlfn.XLOOKUP(A216,'Hướng dẫn'!AF:AF,'Hướng dẫn'!AD:AD)</f>
        <v>TROPICAL NOON</v>
      </c>
    </row>
    <row r="217" spans="1:2">
      <c r="A217" t="s">
        <v>3132</v>
      </c>
      <c r="B217" t="str">
        <f>_xlfn.XLOOKUP(A217,'Hướng dẫn'!AF:AF,'Hướng dẫn'!AD:AD)</f>
        <v>Horse</v>
      </c>
    </row>
    <row r="218" spans="1:2">
      <c r="A218" t="s">
        <v>4126</v>
      </c>
      <c r="B218" t="str">
        <f>_xlfn.XLOOKUP(A218,'Hướng dẫn'!AF:AF,'Hướng dẫn'!AD:AD)</f>
        <v>CS-HN-KG-GINKGO 99</v>
      </c>
    </row>
    <row r="219" spans="1:2">
      <c r="A219" t="s">
        <v>4252</v>
      </c>
      <c r="B219" t="str">
        <f>_xlfn.XLOOKUP(A219,'Hướng dẫn'!AF:AF,'Hướng dẫn'!AD:AD)</f>
        <v>Bộ cờ tỷ phú - Hanoiopoly</v>
      </c>
    </row>
    <row r="220" spans="1:2">
      <c r="A220" t="s">
        <v>4265</v>
      </c>
      <c r="B220" t="str">
        <f>_xlfn.XLOOKUP(A220,'Hướng dẫn'!AF:AF,'Hướng dẫn'!AD:AD)</f>
        <v>BDB Moringa &amp; Petitgrain</v>
      </c>
    </row>
    <row r="221" spans="1:2">
      <c r="A221" t="s">
        <v>3489</v>
      </c>
      <c r="B221" t="str">
        <f>_xlfn.XLOOKUP(A221,'Hướng dẫn'!AF:AF,'Hướng dẫn'!AD:AD)</f>
        <v>Smily Dots</v>
      </c>
    </row>
    <row r="222" spans="1:2">
      <c r="A222" t="s">
        <v>3953</v>
      </c>
      <c r="B222" t="str">
        <f>_xlfn.XLOOKUP(A222,'Hướng dẫn'!AF:AF,'Hướng dẫn'!AD:AD)</f>
        <v>Anh</v>
      </c>
    </row>
    <row r="223" spans="1:2">
      <c r="A223" t="s">
        <v>4074</v>
      </c>
      <c r="B223" t="str">
        <f>_xlfn.XLOOKUP(A223,'Hướng dẫn'!AF:AF,'Hướng dẫn'!AD:AD)</f>
        <v>CS-HN-KG-EAR 33G</v>
      </c>
    </row>
    <row r="224" spans="1:2">
      <c r="A224" t="s">
        <v>4435</v>
      </c>
      <c r="B224" t="str">
        <f>_xlfn.XLOOKUP(A224,'Hướng dẫn'!AF:AF,'Hướng dẫn'!AD:AD)</f>
        <v>Amelia Purse I</v>
      </c>
    </row>
    <row r="225" spans="1:2">
      <c r="A225" t="s">
        <v>4145</v>
      </c>
      <c r="B225" t="str">
        <f>_xlfn.XLOOKUP(A225,'Hướng dẫn'!AF:AF,'Hướng dẫn'!AD:AD)</f>
        <v>CS-HN-KG-GK HA 139</v>
      </c>
    </row>
    <row r="226" spans="1:2">
      <c r="A226" t="s">
        <v>4096</v>
      </c>
      <c r="B226" t="str">
        <f>_xlfn.XLOOKUP(A226,'Hướng dẫn'!AF:AF,'Hướng dẫn'!AD:AD)</f>
        <v>CS-HN-KG-GINKGO 123</v>
      </c>
    </row>
    <row r="227" spans="1:2">
      <c r="A227" t="s">
        <v>4461</v>
      </c>
      <c r="B227" t="e">
        <f>_xlfn.XLOOKUP(A227,'Hướng dẫn'!AF:AF,'Hướng dẫn'!AD:AD)</f>
        <v>#N/A</v>
      </c>
    </row>
    <row r="228" spans="1:2">
      <c r="A228" t="s">
        <v>3972</v>
      </c>
      <c r="B228" t="str">
        <f>_xlfn.XLOOKUP(A228,'Hướng dẫn'!AF:AF,'Hướng dẫn'!AD:AD)</f>
        <v>Dung</v>
      </c>
    </row>
    <row r="229" spans="1:2">
      <c r="A229" t="s">
        <v>4070</v>
      </c>
      <c r="B229" t="str">
        <f>_xlfn.XLOOKUP(A229,'Hướng dẫn'!AF:AF,'Hướng dẫn'!AD:AD)</f>
        <v>CS-HN-KG- EAR 34G</v>
      </c>
    </row>
    <row r="230" spans="1:2">
      <c r="A230" t="s">
        <v>6525</v>
      </c>
      <c r="B230" t="e">
        <f>_xlfn.XLOOKUP(A230,'Hướng dẫn'!AF:AF,'Hướng dẫn'!AD:AD)</f>
        <v>#N/A</v>
      </c>
    </row>
    <row r="231" spans="1:2">
      <c r="A231" t="s">
        <v>4075</v>
      </c>
      <c r="B231" t="str">
        <f>_xlfn.XLOOKUP(A231,'Hướng dẫn'!AF:AF,'Hướng dẫn'!AD:AD)</f>
        <v>CS-HN-KG-EAR 36G</v>
      </c>
    </row>
    <row r="232" spans="1:2">
      <c r="A232" t="s">
        <v>3652</v>
      </c>
      <c r="B232" t="str">
        <f>_xlfn.XLOOKUP(A232,'Hướng dẫn'!AF:AF,'Hướng dẫn'!AD:AD)</f>
        <v>Trang An</v>
      </c>
    </row>
    <row r="233" spans="1:2">
      <c r="A233" t="s">
        <v>4072</v>
      </c>
      <c r="B233" t="str">
        <f>_xlfn.XLOOKUP(A233,'Hướng dẫn'!AF:AF,'Hướng dẫn'!AD:AD)</f>
        <v>CS-HN-KG-BR</v>
      </c>
    </row>
    <row r="234" spans="1:2">
      <c r="A234" t="s">
        <v>3329</v>
      </c>
      <c r="B234" t="str">
        <f>_xlfn.XLOOKUP(A234,'Hướng dẫn'!AF:AF,'Hướng dẫn'!AD:AD)</f>
        <v>No Name</v>
      </c>
    </row>
    <row r="235" spans="1:2">
      <c r="A235" t="s">
        <v>3804</v>
      </c>
      <c r="B235" t="str">
        <f>_xlfn.XLOOKUP(A235,'Hướng dẫn'!AF:AF,'Hướng dẫn'!AD:AD)</f>
        <v>MOD0704012</v>
      </c>
    </row>
    <row r="236" spans="1:2">
      <c r="A236" t="s">
        <v>2854</v>
      </c>
      <c r="B236" t="str">
        <f>_xlfn.XLOOKUP(A236,'Hướng dẫn'!AF:AF,'Hướng dẫn'!AD:AD)</f>
        <v>SanMai M390 19cm Chef</v>
      </c>
    </row>
    <row r="237" spans="1:2">
      <c r="A237" t="s">
        <v>3766</v>
      </c>
      <c r="B237" t="str">
        <f>_xlfn.XLOOKUP(A237,'Hướng dẫn'!AF:AF,'Hướng dẫn'!AD:AD)</f>
        <v>PANDA</v>
      </c>
    </row>
    <row r="238" spans="1:2">
      <c r="A238" t="s">
        <v>3968</v>
      </c>
      <c r="B238" t="str">
        <f>_xlfn.XLOOKUP(A238,'Hướng dẫn'!AF:AF,'Hướng dẫn'!AD:AD)</f>
        <v>Cushion insert square</v>
      </c>
    </row>
    <row r="239" spans="1:2">
      <c r="A239" t="s">
        <v>4315</v>
      </c>
      <c r="B239" t="str">
        <f>_xlfn.XLOOKUP(A239,'Hướng dẫn'!AF:AF,'Hướng dẫn'!AD:AD)</f>
        <v>Bao Đựng Hộ Chiếu - AHP</v>
      </c>
    </row>
    <row r="240" spans="1:2">
      <c r="A240" t="s">
        <v>2079</v>
      </c>
      <c r="B240" t="str">
        <f>_xlfn.XLOOKUP(A240,'Hướng dẫn'!AF:AF,'Hướng dẫn'!AD:AD)</f>
        <v>Bali Lion</v>
      </c>
    </row>
    <row r="241" spans="1:2">
      <c r="A241" t="s">
        <v>4420</v>
      </c>
      <c r="B241" t="str">
        <f>_xlfn.XLOOKUP(A241,'Hướng dẫn'!AF:AF,'Hướng dẫn'!AD:AD)</f>
        <v>Damascus M390 Gyuto 17cm</v>
      </c>
    </row>
    <row r="242" spans="1:2">
      <c r="A242" t="s">
        <v>4216</v>
      </c>
      <c r="B242" t="str">
        <f>_xlfn.XLOOKUP(A242,'Hướng dẫn'!AF:AF,'Hướng dẫn'!AD:AD)</f>
        <v>Hai Ba Trưng</v>
      </c>
    </row>
    <row r="243" spans="1:2">
      <c r="A243" t="s">
        <v>3684</v>
      </c>
      <c r="B243" t="str">
        <f>_xlfn.XLOOKUP(A243,'Hướng dẫn'!AF:AF,'Hướng dẫn'!AD:AD)</f>
        <v>Turmeric -Nghệ</v>
      </c>
    </row>
    <row r="244" spans="1:2">
      <c r="A244" t="s">
        <v>3985</v>
      </c>
      <c r="B244" t="str">
        <f>_xlfn.XLOOKUP(A244,'Hướng dẫn'!AF:AF,'Hướng dẫn'!AD:AD)</f>
        <v>Hong</v>
      </c>
    </row>
    <row r="245" spans="1:2">
      <c r="A245" t="s">
        <v>3591</v>
      </c>
      <c r="B245" t="str">
        <f>_xlfn.XLOOKUP(A245,'Hướng dẫn'!AF:AF,'Hướng dẫn'!AD:AD)</f>
        <v>Traffic Photo</v>
      </c>
    </row>
    <row r="246" spans="1:2">
      <c r="A246" t="s">
        <v>4313</v>
      </c>
      <c r="B246" t="str">
        <f>_xlfn.XLOOKUP(A246,'Hướng dẫn'!AF:AF,'Hướng dẫn'!AD:AD)</f>
        <v>"100% Playful" Postcards - SCPS</v>
      </c>
    </row>
    <row r="247" spans="1:2">
      <c r="A247" t="s">
        <v>4373</v>
      </c>
      <c r="B247" t="str">
        <f>_xlfn.XLOOKUP(A247,'Hướng dẫn'!AF:AF,'Hướng dẫn'!AD:AD)</f>
        <v>Túi Linen Moon - ABLM</v>
      </c>
    </row>
    <row r="248" spans="1:2">
      <c r="A248" t="s">
        <v>691</v>
      </c>
      <c r="B248" t="str">
        <f>_xlfn.XLOOKUP(A248,'Hướng dẫn'!AF:AF,'Hướng dẫn'!AD:AD)</f>
        <v>DIA</v>
      </c>
    </row>
    <row r="249" spans="1:2">
      <c r="A249" t="s">
        <v>4134</v>
      </c>
      <c r="B249" t="str">
        <f>_xlfn.XLOOKUP(A249,'Hướng dẫn'!AF:AF,'Hướng dẫn'!AD:AD)</f>
        <v>CS-HN-KG-GK HA 130</v>
      </c>
    </row>
    <row r="250" spans="1:2">
      <c r="A250" t="s">
        <v>4201</v>
      </c>
      <c r="B250" t="str">
        <f>_xlfn.XLOOKUP(A250,'Hướng dẫn'!AF:AF,'Hướng dẫn'!AD:AD)</f>
        <v>Cây khế</v>
      </c>
    </row>
    <row r="251" spans="1:2">
      <c r="A251" t="s">
        <v>3872</v>
      </c>
      <c r="B251" t="str">
        <f>_xlfn.XLOOKUP(A251,'Hướng dẫn'!AF:AF,'Hướng dẫn'!AD:AD)</f>
        <v>Laces-up Owen</v>
      </c>
    </row>
    <row r="252" spans="1:2">
      <c r="A252" t="s">
        <v>4346</v>
      </c>
      <c r="B252" t="str">
        <f>_xlfn.XLOOKUP(A252,'Hướng dẫn'!AF:AF,'Hướng dẫn'!AD:AD)</f>
        <v>Mũ nhung hai mặt - AHA</v>
      </c>
    </row>
    <row r="253" spans="1:2">
      <c r="A253" t="s">
        <v>3925</v>
      </c>
      <c r="B253" t="str">
        <f>_xlfn.XLOOKUP(A253,'Hướng dẫn'!AF:AF,'Hướng dẫn'!AD:AD)</f>
        <v>Stromae</v>
      </c>
    </row>
    <row r="254" spans="1:2">
      <c r="A254" t="s">
        <v>3859</v>
      </c>
      <c r="B254" t="str">
        <f>_xlfn.XLOOKUP(A254,'Hướng dẫn'!AF:AF,'Hướng dẫn'!AD:AD)</f>
        <v>Derby III</v>
      </c>
    </row>
    <row r="255" spans="1:2">
      <c r="A255" t="s">
        <v>2748</v>
      </c>
      <c r="B255" t="str">
        <f>_xlfn.XLOOKUP(A255,'Hướng dẫn'!AF:AF,'Hướng dẫn'!AD:AD)</f>
        <v>Cross Body Bag</v>
      </c>
    </row>
    <row r="256" spans="1:2">
      <c r="A256" t="s">
        <v>4250</v>
      </c>
      <c r="B256" t="str">
        <f>_xlfn.XLOOKUP(A256,'Hướng dẫn'!AF:AF,'Hướng dẫn'!AD:AD)</f>
        <v>Bộ cờ domino</v>
      </c>
    </row>
    <row r="257" spans="1:2">
      <c r="A257" t="s">
        <v>3911</v>
      </c>
      <c r="B257" t="str">
        <f>_xlfn.XLOOKUP(A257,'Hướng dẫn'!AF:AF,'Hướng dẫn'!AD:AD)</f>
        <v>Pert</v>
      </c>
    </row>
    <row r="258" spans="1:2">
      <c r="A258" t="s">
        <v>3705</v>
      </c>
      <c r="B258" t="str">
        <f>_xlfn.XLOOKUP(A258,'Hướng dẫn'!AF:AF,'Hướng dẫn'!AD:AD)</f>
        <v>CARNOLOTUS 3</v>
      </c>
    </row>
    <row r="259" spans="1:2">
      <c r="A259" t="s">
        <v>3667</v>
      </c>
      <c r="B259" t="str">
        <f>_xlfn.XLOOKUP(A259,'Hướng dẫn'!AF:AF,'Hướng dẫn'!AD:AD)</f>
        <v>Xe Kem</v>
      </c>
    </row>
    <row r="260" spans="1:2">
      <c r="A260" t="s">
        <v>2812</v>
      </c>
      <c r="B260" t="str">
        <f>_xlfn.XLOOKUP(A260,'Hướng dẫn'!AF:AF,'Hướng dẫn'!AD:AD)</f>
        <v>Flying Stork</v>
      </c>
    </row>
    <row r="261" spans="1:2">
      <c r="A261" t="s">
        <v>3915</v>
      </c>
      <c r="B261" t="str">
        <f>_xlfn.XLOOKUP(A261,'Hướng dẫn'!AF:AF,'Hướng dẫn'!AD:AD)</f>
        <v>Raymondienne</v>
      </c>
    </row>
    <row r="262" spans="1:2">
      <c r="A262" t="s">
        <v>6526</v>
      </c>
      <c r="B262" t="e">
        <f>_xlfn.XLOOKUP(A262,'Hướng dẫn'!AF:AF,'Hướng dẫn'!AD:AD)</f>
        <v>#N/A</v>
      </c>
    </row>
    <row r="263" spans="1:2">
      <c r="A263" t="s">
        <v>3890</v>
      </c>
      <c r="B263" t="str">
        <f>_xlfn.XLOOKUP(A263,'Hướng dẫn'!AF:AF,'Hướng dẫn'!AD:AD)</f>
        <v>Marinetti II</v>
      </c>
    </row>
    <row r="264" spans="1:2">
      <c r="A264" t="s">
        <v>4417</v>
      </c>
      <c r="B264" t="str">
        <f>_xlfn.XLOOKUP(A264,'Hướng dẫn'!AF:AF,'Hướng dẫn'!AD:AD)</f>
        <v>Ví Vuông Mini - AWM</v>
      </c>
    </row>
    <row r="265" spans="1:2">
      <c r="A265" t="s">
        <v>4112</v>
      </c>
      <c r="B265" t="str">
        <f>_xlfn.XLOOKUP(A265,'Hướng dẫn'!AF:AF,'Hướng dẫn'!AD:AD)</f>
        <v>CS-HN-KG-GINKGO 92</v>
      </c>
    </row>
    <row r="266" spans="1:2">
      <c r="A266" t="s">
        <v>4143</v>
      </c>
      <c r="B266" t="str">
        <f>_xlfn.XLOOKUP(A266,'Hướng dẫn'!AF:AF,'Hướng dẫn'!AD:AD)</f>
        <v>CS-HN-KG-GK HA 138</v>
      </c>
    </row>
    <row r="267" spans="1:2">
      <c r="A267" t="s">
        <v>3637</v>
      </c>
      <c r="B267" t="str">
        <f>_xlfn.XLOOKUP(A267,'Hướng dẫn'!AF:AF,'Hướng dẫn'!AD:AD)</f>
        <v>VNRANDOM</v>
      </c>
    </row>
    <row r="268" spans="1:2">
      <c r="A268" t="s">
        <v>3881</v>
      </c>
      <c r="B268" t="str">
        <f>_xlfn.XLOOKUP(A268,'Hướng dẫn'!AF:AF,'Hướng dẫn'!AD:AD)</f>
        <v>Laubat</v>
      </c>
    </row>
    <row r="269" spans="1:2">
      <c r="A269" t="s">
        <v>3224</v>
      </c>
      <c r="B269" t="str">
        <f>_xlfn.XLOOKUP(A269,'Hướng dẫn'!AF:AF,'Hướng dẫn'!AD:AD)</f>
        <v>Lily</v>
      </c>
    </row>
    <row r="270" spans="1:2">
      <c r="A270" t="s">
        <v>3650</v>
      </c>
      <c r="B270" t="str">
        <f>_xlfn.XLOOKUP(A270,'Hướng dẫn'!AF:AF,'Hướng dẫn'!AD:AD)</f>
        <v>Whispering Leaves</v>
      </c>
    </row>
    <row r="271" spans="1:2">
      <c r="A271" t="s">
        <v>2568</v>
      </c>
      <c r="B271" t="str">
        <f>_xlfn.XLOOKUP(A271,'Hướng dẫn'!AF:AF,'Hướng dẫn'!AD:AD)</f>
        <v>Pasolini</v>
      </c>
    </row>
    <row r="272" spans="1:2">
      <c r="A272" t="s">
        <v>4269</v>
      </c>
      <c r="B272" t="str">
        <f>_xlfn.XLOOKUP(A272,'Hướng dẫn'!AF:AF,'Hướng dẫn'!AD:AD)</f>
        <v>FCB Sweet Almond &amp; Calendula</v>
      </c>
    </row>
    <row r="273" spans="1:2">
      <c r="A273" t="s">
        <v>3541</v>
      </c>
      <c r="B273" t="str">
        <f>_xlfn.XLOOKUP(A273,'Hướng dẫn'!AF:AF,'Hướng dẫn'!AD:AD)</f>
        <v>Tete De Mort</v>
      </c>
    </row>
    <row r="274" spans="1:2">
      <c r="A274" t="s">
        <v>4130</v>
      </c>
      <c r="B274" t="str">
        <f>_xlfn.XLOOKUP(A274,'Hướng dẫn'!AF:AF,'Hướng dẫn'!AD:AD)</f>
        <v>CS-HN-KG-GK HA 117</v>
      </c>
    </row>
    <row r="275" spans="1:2">
      <c r="A275" t="s">
        <v>4011</v>
      </c>
      <c r="B275" t="str">
        <f>_xlfn.XLOOKUP(A275,'Hướng dẫn'!AF:AF,'Hướng dẫn'!AD:AD)</f>
        <v>Yen</v>
      </c>
    </row>
    <row r="276" spans="1:2">
      <c r="A276" t="s">
        <v>3847</v>
      </c>
      <c r="B276" t="str">
        <f>_xlfn.XLOOKUP(A276,'Hướng dẫn'!AF:AF,'Hướng dẫn'!AD:AD)</f>
        <v>Bazille</v>
      </c>
    </row>
    <row r="277" spans="1:2">
      <c r="A277" t="s">
        <v>4079</v>
      </c>
      <c r="B277" t="str">
        <f>_xlfn.XLOOKUP(A277,'Hướng dẫn'!AF:AF,'Hướng dẫn'!AD:AD)</f>
        <v>CS-HN-KG-EAR 51</v>
      </c>
    </row>
    <row r="278" spans="1:2">
      <c r="A278" t="s">
        <v>3849</v>
      </c>
      <c r="B278" t="str">
        <f>_xlfn.XLOOKUP(A278,'Hướng dẫn'!AF:AF,'Hướng dẫn'!AD:AD)</f>
        <v>Brel</v>
      </c>
    </row>
    <row r="279" spans="1:2">
      <c r="A279" t="s">
        <v>6527</v>
      </c>
      <c r="B279" t="e">
        <f>_xlfn.XLOOKUP(A279,'Hướng dẫn'!AF:AF,'Hướng dẫn'!AD:AD)</f>
        <v>#N/A</v>
      </c>
    </row>
    <row r="280" spans="1:2">
      <c r="A280" t="s">
        <v>4206</v>
      </c>
      <c r="B280" t="str">
        <f>_xlfn.XLOOKUP(A280,'Hướng dẫn'!AF:AF,'Hướng dẫn'!AD:AD)</f>
        <v>Dinh Độc Lập</v>
      </c>
    </row>
    <row r="281" spans="1:2">
      <c r="A281" t="s">
        <v>3957</v>
      </c>
      <c r="B281" t="str">
        <f>_xlfn.XLOOKUP(A281,'Hướng dẫn'!AF:AF,'Hướng dẫn'!AD:AD)</f>
        <v>Bicycle</v>
      </c>
    </row>
    <row r="282" spans="1:2">
      <c r="A282" t="s">
        <v>3422</v>
      </c>
      <c r="B282" t="str">
        <f>_xlfn.XLOOKUP(A282,'Hướng dẫn'!AF:AF,'Hướng dẫn'!AD:AD)</f>
        <v>Red Daisy</v>
      </c>
    </row>
    <row r="283" spans="1:2">
      <c r="A283" t="s">
        <v>4224</v>
      </c>
      <c r="B283" t="str">
        <f>_xlfn.XLOOKUP(A283,'Hướng dẫn'!AF:AF,'Hướng dẫn'!AD:AD)</f>
        <v xml:space="preserve">Mẹ Âu Cơ </v>
      </c>
    </row>
    <row r="284" spans="1:2">
      <c r="A284" t="s">
        <v>4427</v>
      </c>
      <c r="B284" t="str">
        <f>_xlfn.XLOOKUP(A284,'Hướng dẫn'!AF:AF,'Hướng dẫn'!AD:AD)</f>
        <v>SanMai M390 16cm Bunka</v>
      </c>
    </row>
    <row r="285" spans="1:2">
      <c r="A285" t="s">
        <v>4339</v>
      </c>
      <c r="B285" t="str">
        <f>_xlfn.XLOOKUP(A285,'Hướng dẫn'!AF:AF,'Hướng dẫn'!AD:AD)</f>
        <v>Ipad Mini Case</v>
      </c>
    </row>
    <row r="286" spans="1:2">
      <c r="A286" t="s">
        <v>4180</v>
      </c>
      <c r="B286" t="str">
        <f>_xlfn.XLOOKUP(A286,'Hướng dẫn'!AF:AF,'Hướng dẫn'!AD:AD)</f>
        <v>CS-HN-KG-HD 55</v>
      </c>
    </row>
    <row r="287" spans="1:2">
      <c r="A287" t="s">
        <v>3774</v>
      </c>
      <c r="B287" t="str">
        <f>_xlfn.XLOOKUP(A287,'Hướng dẫn'!AF:AF,'Hướng dẫn'!AD:AD)</f>
        <v>TROPICAL DAY</v>
      </c>
    </row>
    <row r="288" spans="1:2">
      <c r="A288" t="s">
        <v>2290</v>
      </c>
      <c r="B288" t="str">
        <f>_xlfn.XLOOKUP(A288,'Hướng dẫn'!AF:AF,'Hướng dẫn'!AD:AD)</f>
        <v>Cappuccino</v>
      </c>
    </row>
    <row r="289" spans="1:2">
      <c r="A289" t="s">
        <v>4302</v>
      </c>
      <c r="B289" t="str">
        <f>_xlfn.XLOOKUP(A289,'Hướng dẫn'!AF:AF,'Hướng dẫn'!AD:AD)</f>
        <v>Số 3</v>
      </c>
    </row>
    <row r="290" spans="1:2">
      <c r="A290" t="s">
        <v>4000</v>
      </c>
      <c r="B290" t="str">
        <f>_xlfn.XLOOKUP(A290,'Hướng dẫn'!AF:AF,'Hướng dẫn'!AD:AD)</f>
        <v>Red Cage</v>
      </c>
    </row>
    <row r="291" spans="1:2">
      <c r="A291" t="s">
        <v>3831</v>
      </c>
      <c r="B291" t="str">
        <f>_xlfn.XLOOKUP(A291,'Hướng dẫn'!AF:AF,'Hướng dẫn'!AD:AD)</f>
        <v>Premium Robusta 12oz</v>
      </c>
    </row>
    <row r="292" spans="1:2">
      <c r="A292" t="s">
        <v>4395</v>
      </c>
      <c r="B292" t="str">
        <f>_xlfn.XLOOKUP(A292,'Hướng dẫn'!AF:AF,'Hướng dẫn'!AD:AD)</f>
        <v>Túi Tote Khủng Long - ABTB1</v>
      </c>
    </row>
    <row r="293" spans="1:2">
      <c r="A293" t="s">
        <v>2971</v>
      </c>
      <c r="B293" t="str">
        <f>_xlfn.XLOOKUP(A293,'Hướng dẫn'!AF:AF,'Hướng dẫn'!AD:AD)</f>
        <v>Ginkgo Map</v>
      </c>
    </row>
    <row r="294" spans="1:2">
      <c r="A294" t="s">
        <v>4391</v>
      </c>
      <c r="B294" t="str">
        <f>_xlfn.XLOOKUP(A294,'Hướng dẫn'!AF:AF,'Hướng dẫn'!AD:AD)</f>
        <v>Túi thời trang gấp gọn - ABFF</v>
      </c>
    </row>
    <row r="295" spans="1:2">
      <c r="A295" t="s">
        <v>4261</v>
      </c>
      <c r="B295" t="str">
        <f>_xlfn.XLOOKUP(A295,'Hướng dẫn'!AF:AF,'Hướng dẫn'!AD:AD)</f>
        <v>Xúc xắc - Dice set epoxy</v>
      </c>
    </row>
    <row r="296" spans="1:2">
      <c r="A296" t="s">
        <v>4087</v>
      </c>
      <c r="B296" t="str">
        <f>_xlfn.XLOOKUP(A296,'Hướng dẫn'!AF:AF,'Hướng dẫn'!AD:AD)</f>
        <v>CS-HN-KG-GINKGO 114</v>
      </c>
    </row>
    <row r="297" spans="1:2">
      <c r="A297" t="s">
        <v>4024</v>
      </c>
      <c r="B297" t="str">
        <f>_xlfn.XLOOKUP(A297,'Hướng dẫn'!AF:AF,'Hướng dẫn'!AD:AD)</f>
        <v>Vietnamese Milk Coffee</v>
      </c>
    </row>
    <row r="298" spans="1:2">
      <c r="A298" t="s">
        <v>4234</v>
      </c>
      <c r="B298" t="str">
        <f>_xlfn.XLOOKUP(A298,'Hướng dẫn'!AF:AF,'Hướng dẫn'!AD:AD)</f>
        <v>Sen Đồng Tháp</v>
      </c>
    </row>
    <row r="299" spans="1:2">
      <c r="A299" t="s">
        <v>4053</v>
      </c>
      <c r="B299" t="str">
        <f>_xlfn.XLOOKUP(A299,'Hướng dẫn'!AF:AF,'Hướng dẫn'!AD:AD)</f>
        <v>CS-HN-HD 60</v>
      </c>
    </row>
    <row r="300" spans="1:2">
      <c r="A300" t="s">
        <v>3688</v>
      </c>
      <c r="B300">
        <f>_xlfn.XLOOKUP(A300,'Hướng dẫn'!AF:AF,'Hướng dẫn'!AD:AD)</f>
        <v>19</v>
      </c>
    </row>
    <row r="301" spans="1:2">
      <c r="A301" t="s">
        <v>4120</v>
      </c>
      <c r="B301" t="str">
        <f>_xlfn.XLOOKUP(A301,'Hướng dẫn'!AF:AF,'Hướng dẫn'!AD:AD)</f>
        <v>CS-HN-KG-GINKGO 96</v>
      </c>
    </row>
    <row r="302" spans="1:2">
      <c r="A302" t="s">
        <v>3918</v>
      </c>
      <c r="B302" t="str">
        <f>_xlfn.XLOOKUP(A302,'Hướng dẫn'!AF:AF,'Hướng dẫn'!AD:AD)</f>
        <v>Shelley I</v>
      </c>
    </row>
    <row r="303" spans="1:2">
      <c r="A303" t="s">
        <v>3970</v>
      </c>
      <c r="B303" t="str">
        <f>_xlfn.XLOOKUP(A303,'Hướng dẫn'!AF:AF,'Hướng dẫn'!AD:AD)</f>
        <v>Dao</v>
      </c>
    </row>
    <row r="304" spans="1:2">
      <c r="A304" t="s">
        <v>2425</v>
      </c>
      <c r="B304" t="str">
        <f>_xlfn.XLOOKUP(A304,'Hướng dẫn'!AF:AF,'Hướng dẫn'!AD:AD)</f>
        <v>Flacrane</v>
      </c>
    </row>
    <row r="305" spans="1:2">
      <c r="A305" t="s">
        <v>3997</v>
      </c>
      <c r="B305" t="str">
        <f>_xlfn.XLOOKUP(A305,'Hướng dẫn'!AF:AF,'Hướng dẫn'!AD:AD)</f>
        <v>Muong</v>
      </c>
    </row>
    <row r="306" spans="1:2">
      <c r="A306" t="s">
        <v>2325</v>
      </c>
      <c r="B306" t="str">
        <f>_xlfn.XLOOKUP(A306,'Hướng dẫn'!AF:AF,'Hướng dẫn'!AD:AD)</f>
        <v>Loafer Ngoc Loafer</v>
      </c>
    </row>
    <row r="307" spans="1:2">
      <c r="A307" t="s">
        <v>3758</v>
      </c>
      <c r="B307" t="str">
        <f>_xlfn.XLOOKUP(A307,'Hướng dẫn'!AF:AF,'Hướng dẫn'!AD:AD)</f>
        <v>NERI</v>
      </c>
    </row>
    <row r="308" spans="1:2">
      <c r="A308" t="s">
        <v>3412</v>
      </c>
      <c r="B308" t="str">
        <f>_xlfn.XLOOKUP(A308,'Hướng dẫn'!AF:AF,'Hướng dẫn'!AD:AD)</f>
        <v>Playing Cards Vietnam Pulse</v>
      </c>
    </row>
    <row r="309" spans="1:2">
      <c r="A309" t="s">
        <v>3965</v>
      </c>
      <c r="B309" t="str">
        <f>_xlfn.XLOOKUP(A309,'Hướng dẫn'!AF:AF,'Hướng dẫn'!AD:AD)</f>
        <v>Cloth Mong</v>
      </c>
    </row>
    <row r="310" spans="1:2">
      <c r="A310" t="s">
        <v>4147</v>
      </c>
      <c r="B310" t="str">
        <f>_xlfn.XLOOKUP(A310,'Hướng dẫn'!AF:AF,'Hướng dẫn'!AD:AD)</f>
        <v>CS-HN-KG-GK HA 140</v>
      </c>
    </row>
    <row r="311" spans="1:2">
      <c r="A311" t="s">
        <v>4184</v>
      </c>
      <c r="B311" t="str">
        <f>_xlfn.XLOOKUP(A311,'Hướng dẫn'!AF:AF,'Hướng dẫn'!AD:AD)</f>
        <v>CS-HN-KG-HD2 26</v>
      </c>
    </row>
    <row r="312" spans="1:2">
      <c r="A312" t="s">
        <v>4320</v>
      </c>
      <c r="B312" t="str">
        <f>_xlfn.XLOOKUP(A312,'Hướng dẫn'!AF:AF,'Hướng dẫn'!AD:AD)</f>
        <v>Bịt Mắt - EM</v>
      </c>
    </row>
    <row r="313" spans="1:2">
      <c r="A313" t="s">
        <v>3807</v>
      </c>
      <c r="B313" t="str">
        <f>_xlfn.XLOOKUP(A313,'Hướng dẫn'!AF:AF,'Hướng dẫn'!AD:AD)</f>
        <v>MOD0704013</v>
      </c>
    </row>
    <row r="314" spans="1:2">
      <c r="A314" t="s">
        <v>1898</v>
      </c>
      <c r="B314" t="str">
        <f>_xlfn.XLOOKUP(A314,'Hướng dẫn'!AF:AF,'Hướng dẫn'!AD:AD)</f>
        <v>HOIANMAP</v>
      </c>
    </row>
    <row r="315" spans="1:2">
      <c r="A315" t="s">
        <v>3737</v>
      </c>
      <c r="B315" t="str">
        <f>_xlfn.XLOOKUP(A315,'Hướng dẫn'!AF:AF,'Hướng dẫn'!AD:AD)</f>
        <v>LABYRINTH</v>
      </c>
    </row>
    <row r="316" spans="1:2">
      <c r="A316" t="s">
        <v>3876</v>
      </c>
      <c r="B316" t="str">
        <f>_xlfn.XLOOKUP(A316,'Hướng dẫn'!AF:AF,'Hướng dẫn'!AD:AD)</f>
        <v>Lady Classic</v>
      </c>
    </row>
    <row r="317" spans="1:2">
      <c r="A317" t="s">
        <v>3820</v>
      </c>
      <c r="B317" t="str">
        <f>_xlfn.XLOOKUP(A317,'Hướng dẫn'!AF:AF,'Hướng dẫn'!AD:AD)</f>
        <v>Coffee Body Scrub</v>
      </c>
    </row>
    <row r="318" spans="1:2">
      <c r="A318" t="s">
        <v>4030</v>
      </c>
      <c r="B318" t="str">
        <f>_xlfn.XLOOKUP(A318,'Hướng dẫn'!AF:AF,'Hướng dẫn'!AD:AD)</f>
        <v>Dalat Flowerbomb Gin</v>
      </c>
    </row>
    <row r="319" spans="1:2">
      <c r="A319" t="s">
        <v>3655</v>
      </c>
      <c r="B319" t="str">
        <f>_xlfn.XLOOKUP(A319,'Hướng dẫn'!AF:AF,'Hướng dẫn'!AD:AD)</f>
        <v>Willow</v>
      </c>
    </row>
    <row r="320" spans="1:2">
      <c r="A320" t="s">
        <v>3937</v>
      </c>
      <c r="B320" t="str">
        <f>_xlfn.XLOOKUP(A320,'Hướng dẫn'!AF:AF,'Hướng dẫn'!AD:AD)</f>
        <v>Wellington Loafer</v>
      </c>
    </row>
    <row r="321" spans="1:2">
      <c r="A321" t="s">
        <v>6528</v>
      </c>
      <c r="B321" t="e">
        <f>_xlfn.XLOOKUP(A321,'Hướng dẫn'!AF:AF,'Hướng dẫn'!AD:AD)</f>
        <v>#N/A</v>
      </c>
    </row>
    <row r="322" spans="1:2">
      <c r="A322" t="s">
        <v>3843</v>
      </c>
      <c r="B322" t="str">
        <f>_xlfn.XLOOKUP(A322,'Hướng dẫn'!AF:AF,'Hướng dẫn'!AD:AD)</f>
        <v>Aznavour I Python</v>
      </c>
    </row>
    <row r="323" spans="1:2">
      <c r="A323" t="s">
        <v>3704</v>
      </c>
      <c r="B323" t="str">
        <f>_xlfn.XLOOKUP(A323,'Hướng dẫn'!AF:AF,'Hướng dẫn'!AD:AD)</f>
        <v>CARNOLOTUS 1</v>
      </c>
    </row>
    <row r="324" spans="1:2">
      <c r="A324" t="s">
        <v>2772</v>
      </c>
      <c r="B324" t="str">
        <f>_xlfn.XLOOKUP(A324,'Hướng dẫn'!AF:AF,'Hướng dẫn'!AD:AD)</f>
        <v>Blue Bicycle</v>
      </c>
    </row>
    <row r="325" spans="1:2">
      <c r="A325" t="s">
        <v>4190</v>
      </c>
      <c r="B325" t="str">
        <f>_xlfn.XLOOKUP(A325,'Hướng dẫn'!AF:AF,'Hướng dẫn'!AD:AD)</f>
        <v>CS-HN-KG-HN 111</v>
      </c>
    </row>
    <row r="326" spans="1:2">
      <c r="A326" t="s">
        <v>3853</v>
      </c>
      <c r="B326" t="str">
        <f>_xlfn.XLOOKUP(A326,'Hướng dẫn'!AF:AF,'Hướng dẫn'!AD:AD)</f>
        <v>Chukka Boot</v>
      </c>
    </row>
    <row r="327" spans="1:2">
      <c r="A327" t="s">
        <v>3830</v>
      </c>
      <c r="B327" t="str">
        <f>_xlfn.XLOOKUP(A327,'Hướng dẫn'!AF:AF,'Hướng dẫn'!AD:AD)</f>
        <v>House Blend 12oz</v>
      </c>
    </row>
    <row r="328" spans="1:2">
      <c r="A328" t="s">
        <v>4182</v>
      </c>
      <c r="B328" t="str">
        <f>_xlfn.XLOOKUP(A328,'Hướng dẫn'!AF:AF,'Hướng dẫn'!AD:AD)</f>
        <v>CS-HN-KG-HD 57</v>
      </c>
    </row>
    <row r="329" spans="1:2">
      <c r="A329" t="s">
        <v>4007</v>
      </c>
      <c r="B329" t="str">
        <f>_xlfn.XLOOKUP(A329,'Hướng dẫn'!AF:AF,'Hướng dẫn'!AD:AD)</f>
        <v>Two friends</v>
      </c>
    </row>
    <row r="330" spans="1:2">
      <c r="A330" t="s">
        <v>3505</v>
      </c>
      <c r="B330" t="str">
        <f>_xlfn.XLOOKUP(A330,'Hướng dẫn'!AF:AF,'Hướng dẫn'!AD:AD)</f>
        <v>SanMai M390 10cm Paring</v>
      </c>
    </row>
    <row r="331" spans="1:2">
      <c r="A331" t="s">
        <v>4309</v>
      </c>
      <c r="B331" t="str">
        <f>_xlfn.XLOOKUP(A331,'Hướng dẫn'!AF:AF,'Hướng dẫn'!AD:AD)</f>
        <v>PURE RICE</v>
      </c>
    </row>
    <row r="332" spans="1:2">
      <c r="A332" t="s">
        <v>3389</v>
      </c>
      <c r="B332" t="str">
        <f>_xlfn.XLOOKUP(A332,'Hướng dẫn'!AF:AF,'Hướng dẫn'!AD:AD)</f>
        <v>Penguin</v>
      </c>
    </row>
    <row r="333" spans="1:2">
      <c r="A333" t="s">
        <v>3992</v>
      </c>
      <c r="B333" t="str">
        <f>_xlfn.XLOOKUP(A333,'Hướng dẫn'!AF:AF,'Hướng dẫn'!AD:AD)</f>
        <v>Lao</v>
      </c>
    </row>
    <row r="334" spans="1:2">
      <c r="A334" t="s">
        <v>6529</v>
      </c>
      <c r="B334" t="e">
        <f>_xlfn.XLOOKUP(A334,'Hướng dẫn'!AF:AF,'Hướng dẫn'!AD:AD)</f>
        <v>#N/A</v>
      </c>
    </row>
    <row r="335" spans="1:2">
      <c r="A335" t="s">
        <v>3770</v>
      </c>
      <c r="B335" t="str">
        <f>_xlfn.XLOOKUP(A335,'Hướng dẫn'!AF:AF,'Hướng dẫn'!AD:AD)</f>
        <v>THE RAIN COLLECTOR</v>
      </c>
    </row>
    <row r="336" spans="1:2">
      <c r="A336" t="s">
        <v>2884</v>
      </c>
      <c r="B336" t="str">
        <f>_xlfn.XLOOKUP(A336,'Hướng dẫn'!AF:AF,'Hướng dẫn'!AD:AD)</f>
        <v>Hand Fan Holder</v>
      </c>
    </row>
    <row r="337" spans="1:2">
      <c r="A337" t="s">
        <v>3258</v>
      </c>
      <c r="B337" t="str">
        <f>_xlfn.XLOOKUP(A337,'Hướng dẫn'!AF:AF,'Hướng dẫn'!AD:AD)</f>
        <v>Macaw</v>
      </c>
    </row>
    <row r="338" spans="1:2">
      <c r="A338" t="s">
        <v>3926</v>
      </c>
      <c r="B338" t="str">
        <f>_xlfn.XLOOKUP(A338,'Hướng dẫn'!AF:AF,'Hướng dẫn'!AD:AD)</f>
        <v>Stromae I</v>
      </c>
    </row>
    <row r="339" spans="1:2">
      <c r="A339" t="s">
        <v>4251</v>
      </c>
      <c r="B339" t="str">
        <f>_xlfn.XLOOKUP(A339,'Hướng dẫn'!AF:AF,'Hướng dẫn'!AD:AD)</f>
        <v>Bộ cờ tỷ phú  - Saigonopoly</v>
      </c>
    </row>
    <row r="340" spans="1:2">
      <c r="A340" t="s">
        <v>4212</v>
      </c>
      <c r="B340" t="str">
        <f>_xlfn.XLOOKUP(A340,'Hướng dẫn'!AF:AF,'Hướng dẫn'!AD:AD)</f>
        <v>Dương Vân Nga</v>
      </c>
    </row>
    <row r="341" spans="1:2">
      <c r="A341" t="s">
        <v>4342</v>
      </c>
      <c r="B341" t="str">
        <f>_xlfn.XLOOKUP(A341,'Hướng dẫn'!AF:AF,'Hướng dẫn'!AD:AD)</f>
        <v>Mũ ba tai - AHA2</v>
      </c>
    </row>
    <row r="342" spans="1:2">
      <c r="A342" t="s">
        <v>4155</v>
      </c>
      <c r="B342" t="str">
        <f>_xlfn.XLOOKUP(A342,'Hướng dẫn'!AF:AF,'Hướng dẫn'!AD:AD)</f>
        <v>CS-HN-KG-GK HN03</v>
      </c>
    </row>
    <row r="343" spans="1:2">
      <c r="A343" t="s">
        <v>3947</v>
      </c>
      <c r="B343" t="str">
        <f>_xlfn.XLOOKUP(A343,'Hướng dẫn'!AF:AF,'Hướng dẫn'!AD:AD)</f>
        <v>Writer's box</v>
      </c>
    </row>
    <row r="344" spans="1:2">
      <c r="A344" t="s">
        <v>4139</v>
      </c>
      <c r="B344" t="str">
        <f>_xlfn.XLOOKUP(A344,'Hướng dẫn'!AF:AF,'Hướng dẫn'!AD:AD)</f>
        <v>CS-HN-KG-GK HA 134</v>
      </c>
    </row>
    <row r="345" spans="1:2">
      <c r="A345" t="s">
        <v>4106</v>
      </c>
      <c r="B345" t="str">
        <f>_xlfn.XLOOKUP(A345,'Hướng dẫn'!AF:AF,'Hướng dẫn'!AD:AD)</f>
        <v>CS-HN-KG-GINKGO 80</v>
      </c>
    </row>
    <row r="346" spans="1:2">
      <c r="A346" t="s">
        <v>2664</v>
      </c>
      <c r="B346" t="str">
        <f>_xlfn.XLOOKUP(A346,'Hướng dẫn'!AF:AF,'Hướng dẫn'!AD:AD)</f>
        <v>Dragonflies</v>
      </c>
    </row>
    <row r="347" spans="1:2">
      <c r="A347" t="s">
        <v>4277</v>
      </c>
      <c r="B347" t="str">
        <f>_xlfn.XLOOKUP(A347,'Hướng dẫn'!AF:AF,'Hướng dẫn'!AD:AD)</f>
        <v>KM Sensitive Skins</v>
      </c>
    </row>
    <row r="348" spans="1:2">
      <c r="A348" t="s">
        <v>6530</v>
      </c>
      <c r="B348" t="e">
        <f>_xlfn.XLOOKUP(A348,'Hướng dẫn'!AF:AF,'Hướng dẫn'!AD:AD)</f>
        <v>#N/A</v>
      </c>
    </row>
    <row r="349" spans="1:2">
      <c r="A349" t="s">
        <v>3884</v>
      </c>
      <c r="B349" t="str">
        <f>_xlfn.XLOOKUP(A349,'Hướng dẫn'!AF:AF,'Hướng dẫn'!AD:AD)</f>
        <v>Loafer Ayrton</v>
      </c>
    </row>
    <row r="350" spans="1:2">
      <c r="A350" t="s">
        <v>3795</v>
      </c>
      <c r="B350" t="str">
        <f>_xlfn.XLOOKUP(A350,'Hướng dẫn'!AF:AF,'Hướng dẫn'!AD:AD)</f>
        <v>MOD0704008</v>
      </c>
    </row>
    <row r="351" spans="1:2">
      <c r="A351" t="s">
        <v>6531</v>
      </c>
      <c r="B351" t="e">
        <f>_xlfn.XLOOKUP(A351,'Hướng dẫn'!AF:AF,'Hướng dẫn'!AD:AD)</f>
        <v>#N/A</v>
      </c>
    </row>
    <row r="352" spans="1:2">
      <c r="A352" t="s">
        <v>4118</v>
      </c>
      <c r="B352" t="str">
        <f>_xlfn.XLOOKUP(A352,'Hướng dẫn'!AF:AF,'Hướng dẫn'!AD:AD)</f>
        <v>CS-HN-KG-GINKGO 95</v>
      </c>
    </row>
    <row r="353" spans="1:2">
      <c r="A353" t="s">
        <v>4248</v>
      </c>
      <c r="B353" t="str">
        <f>_xlfn.XLOOKUP(A353,'Hướng dẫn'!AF:AF,'Hướng dẫn'!AD:AD)</f>
        <v>Bầu cua Ý Giao 2025</v>
      </c>
    </row>
    <row r="354" spans="1:2">
      <c r="A354" t="s">
        <v>1135</v>
      </c>
      <c r="B354" t="str">
        <f>_xlfn.XLOOKUP(A354,'Hướng dẫn'!AF:AF,'Hướng dẫn'!AD:AD)</f>
        <v>XIX</v>
      </c>
    </row>
    <row r="355" spans="1:2">
      <c r="A355" t="s">
        <v>4071</v>
      </c>
      <c r="B355" t="str">
        <f>_xlfn.XLOOKUP(A355,'Hướng dẫn'!AF:AF,'Hướng dẫn'!AD:AD)</f>
        <v>CS-HN-KG- EAR 35G</v>
      </c>
    </row>
    <row r="356" spans="1:2">
      <c r="A356" t="s">
        <v>4063</v>
      </c>
      <c r="B356" t="str">
        <f>_xlfn.XLOOKUP(A356,'Hướng dẫn'!AF:AF,'Hướng dẫn'!AD:AD)</f>
        <v>CS-HN-HD 72</v>
      </c>
    </row>
    <row r="357" spans="1:2">
      <c r="A357" t="s">
        <v>3978</v>
      </c>
      <c r="B357" t="str">
        <f>_xlfn.XLOOKUP(A357,'Hướng dẫn'!AF:AF,'Hướng dẫn'!AD:AD)</f>
        <v>Face Lolo</v>
      </c>
    </row>
    <row r="358" spans="1:2">
      <c r="A358" t="s">
        <v>4078</v>
      </c>
      <c r="B358" t="str">
        <f>_xlfn.XLOOKUP(A358,'Hướng dẫn'!AF:AF,'Hướng dẫn'!AD:AD)</f>
        <v>CS-HN-KG-EAR 50</v>
      </c>
    </row>
    <row r="359" spans="1:2">
      <c r="A359" t="s">
        <v>3819</v>
      </c>
      <c r="B359" t="str">
        <f>_xlfn.XLOOKUP(A359,'Hướng dẫn'!AF:AF,'Hướng dẫn'!AD:AD)</f>
        <v>Bran Oil CF Body Scrub</v>
      </c>
    </row>
    <row r="360" spans="1:2">
      <c r="A360" t="s">
        <v>4025</v>
      </c>
      <c r="B360" t="str">
        <f>_xlfn.XLOOKUP(A360,'Hướng dẫn'!AF:AF,'Hướng dẫn'!AD:AD)</f>
        <v>Vietnamese Salted Coffee</v>
      </c>
    </row>
    <row r="361" spans="1:2">
      <c r="A361" t="s">
        <v>3836</v>
      </c>
      <c r="B361" t="str">
        <f>_xlfn.XLOOKUP(A361,'Hướng dẫn'!AF:AF,'Hướng dẫn'!AD:AD)</f>
        <v>Austin</v>
      </c>
    </row>
    <row r="362" spans="1:2">
      <c r="A362" t="s">
        <v>6532</v>
      </c>
      <c r="B362" t="e">
        <f>_xlfn.XLOOKUP(A362,'Hướng dẫn'!AF:AF,'Hướng dẫn'!AD:AD)</f>
        <v>#N/A</v>
      </c>
    </row>
    <row r="363" spans="1:2">
      <c r="A363" t="s">
        <v>3864</v>
      </c>
      <c r="B363" t="str">
        <f>_xlfn.XLOOKUP(A363,'Hướng dẫn'!AF:AF,'Hướng dẫn'!AD:AD)</f>
        <v>Easy Loafer II</v>
      </c>
    </row>
    <row r="364" spans="1:2">
      <c r="A364" t="s">
        <v>2949</v>
      </c>
      <c r="B364" t="str">
        <f>_xlfn.XLOOKUP(A364,'Hướng dẫn'!AF:AF,'Hướng dẫn'!AD:AD)</f>
        <v>Ninh Binh Pagoda</v>
      </c>
    </row>
    <row r="365" spans="1:2">
      <c r="A365" t="s">
        <v>2928</v>
      </c>
      <c r="B365" t="str">
        <f>_xlfn.XLOOKUP(A365,'Hướng dẫn'!AF:AF,'Hướng dẫn'!AD:AD)</f>
        <v>Ginkgo Culture Driven</v>
      </c>
    </row>
    <row r="366" spans="1:2">
      <c r="A366" t="s">
        <v>4048</v>
      </c>
      <c r="B366" t="str">
        <f>_xlfn.XLOOKUP(A366,'Hướng dẫn'!AF:AF,'Hướng dẫn'!AD:AD)</f>
        <v>CS-HN-GK 104</v>
      </c>
    </row>
    <row r="367" spans="1:2">
      <c r="A367" t="s">
        <v>4294</v>
      </c>
      <c r="B367" t="str">
        <f>_xlfn.XLOOKUP(A367,'Hướng dẫn'!AF:AF,'Hướng dẫn'!AD:AD)</f>
        <v>Lọc trà hoa cà phê RuNam</v>
      </c>
    </row>
    <row r="368" spans="1:2">
      <c r="A368" t="s">
        <v>4089</v>
      </c>
      <c r="B368" t="str">
        <f>_xlfn.XLOOKUP(A368,'Hướng dẫn'!AF:AF,'Hướng dẫn'!AD:AD)</f>
        <v>CS-HN-KG-GINKGO 116</v>
      </c>
    </row>
    <row r="369" spans="1:2">
      <c r="A369" t="s">
        <v>3778</v>
      </c>
      <c r="B369" t="str">
        <f>_xlfn.XLOOKUP(A369,'Hướng dẫn'!AF:AF,'Hướng dẫn'!AD:AD)</f>
        <v>WT BE HOPE AFTER ALL</v>
      </c>
    </row>
    <row r="370" spans="1:2">
      <c r="A370" t="s">
        <v>4077</v>
      </c>
      <c r="B370" t="str">
        <f>_xlfn.XLOOKUP(A370,'Hướng dẫn'!AF:AF,'Hướng dẫn'!AD:AD)</f>
        <v>CS-HN-KG-EAR 47</v>
      </c>
    </row>
    <row r="371" spans="1:2">
      <c r="A371" t="s">
        <v>4203</v>
      </c>
      <c r="B371" t="str">
        <f>_xlfn.XLOOKUP(A371,'Hướng dẫn'!AF:AF,'Hướng dẫn'!AD:AD)</f>
        <v>Cô bé bán diêm</v>
      </c>
    </row>
    <row r="372" spans="1:2">
      <c r="A372" t="s">
        <v>3252</v>
      </c>
      <c r="B372" t="str">
        <f>_xlfn.XLOOKUP(A372,'Hướng dẫn'!AF:AF,'Hướng dẫn'!AD:AD)</f>
        <v>Lua</v>
      </c>
    </row>
    <row r="373" spans="1:2">
      <c r="A373" t="s">
        <v>4288</v>
      </c>
      <c r="B373" t="str">
        <f>_xlfn.XLOOKUP(A373,'Hướng dẫn'!AF:AF,'Hướng dẫn'!AD:AD)</f>
        <v>Bộ trò chơi LoTo RuNam</v>
      </c>
    </row>
    <row r="374" spans="1:2">
      <c r="A374" t="s">
        <v>4021</v>
      </c>
      <c r="B374" t="str">
        <f>_xlfn.XLOOKUP(A374,'Hướng dẫn'!AF:AF,'Hướng dẫn'!AD:AD)</f>
        <v>Starfruit &amp; Pineapple Tea</v>
      </c>
    </row>
    <row r="375" spans="1:2">
      <c r="A375" t="s">
        <v>4124</v>
      </c>
      <c r="B375" t="str">
        <f>_xlfn.XLOOKUP(A375,'Hướng dẫn'!AF:AF,'Hướng dẫn'!AD:AD)</f>
        <v>CS-HN-KG-GINKGO 98</v>
      </c>
    </row>
    <row r="376" spans="1:2">
      <c r="A376" t="s">
        <v>3935</v>
      </c>
      <c r="B376" t="str">
        <f>_xlfn.XLOOKUP(A376,'Hướng dẫn'!AF:AF,'Hướng dẫn'!AD:AD)</f>
        <v>Wang Tai</v>
      </c>
    </row>
    <row r="377" spans="1:2">
      <c r="A377" t="s">
        <v>4271</v>
      </c>
      <c r="B377" t="str">
        <f>_xlfn.XLOOKUP(A377,'Hướng dẫn'!AF:AF,'Hướng dẫn'!AD:AD)</f>
        <v>KM Grapefruit &amp; Patchouli</v>
      </c>
    </row>
    <row r="378" spans="1:2">
      <c r="A378" t="s">
        <v>4152</v>
      </c>
      <c r="B378" t="str">
        <f>_xlfn.XLOOKUP(A378,'Hướng dẫn'!AF:AF,'Hướng dẫn'!AD:AD)</f>
        <v>CS-HN-KG-GK HA 143</v>
      </c>
    </row>
    <row r="379" spans="1:2">
      <c r="A379" t="s">
        <v>3767</v>
      </c>
      <c r="B379" t="str">
        <f>_xlfn.XLOOKUP(A379,'Hướng dẫn'!AF:AF,'Hướng dẫn'!AD:AD)</f>
        <v>RIDING THE TIGER</v>
      </c>
    </row>
    <row r="380" spans="1:2">
      <c r="A380" t="s">
        <v>4377</v>
      </c>
      <c r="B380" t="str">
        <f>_xlfn.XLOOKUP(A380,'Hướng dẫn'!AF:AF,'Hướng dẫn'!AD:AD)</f>
        <v>Túi Rút Dây Nhỏ - ABDM</v>
      </c>
    </row>
    <row r="381" spans="1:2">
      <c r="A381" t="s">
        <v>4168</v>
      </c>
      <c r="B381" t="str">
        <f>_xlfn.XLOOKUP(A381,'Hướng dẫn'!AF:AF,'Hướng dẫn'!AD:AD)</f>
        <v>CS-HN-KG-GK LL 131</v>
      </c>
    </row>
    <row r="382" spans="1:2">
      <c r="A382" t="s">
        <v>4043</v>
      </c>
      <c r="B382" t="str">
        <f>_xlfn.XLOOKUP(A382,'Hướng dẫn'!AF:AF,'Hướng dẫn'!AD:AD)</f>
        <v>Gac Soap</v>
      </c>
    </row>
    <row r="383" spans="1:2">
      <c r="A383" t="s">
        <v>4279</v>
      </c>
      <c r="B383" t="str">
        <f>_xlfn.XLOOKUP(A383,'Hướng dẫn'!AF:AF,'Hướng dẫn'!AD:AD)</f>
        <v>Make-up Remover Balm</v>
      </c>
    </row>
    <row r="384" spans="1:2">
      <c r="A384" t="s">
        <v>4365</v>
      </c>
      <c r="B384" t="str">
        <f>_xlfn.XLOOKUP(A384,'Hướng dẫn'!AF:AF,'Hướng dẫn'!AD:AD)</f>
        <v>Túi Đựng Bút - ACPB</v>
      </c>
    </row>
    <row r="385" spans="1:2">
      <c r="A385" t="s">
        <v>3856</v>
      </c>
      <c r="B385" t="str">
        <f>_xlfn.XLOOKUP(A385,'Hướng dẫn'!AF:AF,'Hướng dẫn'!AD:AD)</f>
        <v>Cora</v>
      </c>
    </row>
    <row r="386" spans="1:2">
      <c r="A386" t="s">
        <v>6533</v>
      </c>
      <c r="B386" t="e">
        <f>_xlfn.XLOOKUP(A386,'Hướng dẫn'!AF:AF,'Hướng dẫn'!AD:AD)</f>
        <v>#N/A</v>
      </c>
    </row>
    <row r="387" spans="1:2">
      <c r="A387" t="s">
        <v>4409</v>
      </c>
      <c r="B387" t="str">
        <f>_xlfn.XLOOKUP(A387,'Hướng dẫn'!AF:AF,'Hướng dẫn'!AD:AD)</f>
        <v>Ví Phụ Kiện "BST Ngôi Sao" - APOC-S</v>
      </c>
    </row>
    <row r="388" spans="1:2">
      <c r="A388" t="s">
        <v>4167</v>
      </c>
      <c r="B388" t="str">
        <f>_xlfn.XLOOKUP(A388,'Hướng dẫn'!AF:AF,'Hướng dẫn'!AD:AD)</f>
        <v>CS-HN-KG-GK LL 130</v>
      </c>
    </row>
    <row r="389" spans="1:2">
      <c r="A389" t="s">
        <v>4057</v>
      </c>
      <c r="B389" t="str">
        <f>_xlfn.XLOOKUP(A389,'Hướng dẫn'!AF:AF,'Hướng dẫn'!AD:AD)</f>
        <v>CS-HN-HD 69</v>
      </c>
    </row>
    <row r="390" spans="1:2">
      <c r="A390" t="s">
        <v>3975</v>
      </c>
      <c r="B390" t="str">
        <f>_xlfn.XLOOKUP(A390,'Hướng dẫn'!AF:AF,'Hướng dẫn'!AD:AD)</f>
        <v>En</v>
      </c>
    </row>
    <row r="391" spans="1:2">
      <c r="A391" t="s">
        <v>3250</v>
      </c>
      <c r="B391" t="str">
        <f>_xlfn.XLOOKUP(A391,'Hướng dẫn'!AF:AF,'Hướng dẫn'!AD:AD)</f>
        <v>Grey</v>
      </c>
    </row>
    <row r="392" spans="1:2">
      <c r="A392" t="s">
        <v>3204</v>
      </c>
      <c r="B392" t="str">
        <f>_xlfn.XLOOKUP(A392,'Hướng dẫn'!AF:AF,'Hướng dẫn'!AD:AD)</f>
        <v>Lamp</v>
      </c>
    </row>
    <row r="393" spans="1:2">
      <c r="A393" t="s">
        <v>3146</v>
      </c>
      <c r="B393" t="str">
        <f>_xlfn.XLOOKUP(A393,'Hướng dẫn'!AF:AF,'Hướng dẫn'!AD:AD)</f>
        <v>Hue</v>
      </c>
    </row>
    <row r="394" spans="1:2">
      <c r="A394" t="s">
        <v>4160</v>
      </c>
      <c r="B394" t="str">
        <f>_xlfn.XLOOKUP(A394,'Hướng dẫn'!AF:AF,'Hướng dẫn'!AD:AD)</f>
        <v>CS-HN-KG-GK HN45</v>
      </c>
    </row>
    <row r="395" spans="1:2">
      <c r="A395" t="s">
        <v>2924</v>
      </c>
      <c r="B395" t="str">
        <f>_xlfn.XLOOKUP(A395,'Hướng dẫn'!AF:AF,'Hướng dẫn'!AD:AD)</f>
        <v>Coconut Soap</v>
      </c>
    </row>
    <row r="396" spans="1:2">
      <c r="A396" t="s">
        <v>3762</v>
      </c>
      <c r="B396" t="str">
        <f>_xlfn.XLOOKUP(A396,'Hướng dẫn'!AF:AF,'Hướng dẫn'!AD:AD)</f>
        <v>NEST OF COEXISTENCE</v>
      </c>
    </row>
    <row r="397" spans="1:2">
      <c r="A397" t="s">
        <v>3733</v>
      </c>
      <c r="B397" t="str">
        <f>_xlfn.XLOOKUP(A397,'Hướng dẫn'!AF:AF,'Hướng dẫn'!AD:AD)</f>
        <v>IT BURN</v>
      </c>
    </row>
    <row r="398" spans="1:2">
      <c r="A398" t="s">
        <v>6534</v>
      </c>
      <c r="B398" t="e">
        <f>_xlfn.XLOOKUP(A398,'Hướng dẫn'!AF:AF,'Hướng dẫn'!AD:AD)</f>
        <v>#N/A</v>
      </c>
    </row>
    <row r="399" spans="1:2">
      <c r="A399" t="s">
        <v>4116</v>
      </c>
      <c r="B399" t="str">
        <f>_xlfn.XLOOKUP(A399,'Hướng dẫn'!AF:AF,'Hướng dẫn'!AD:AD)</f>
        <v>CS-HN-KG-GINKGO 94</v>
      </c>
    </row>
    <row r="400" spans="1:2">
      <c r="A400" t="s">
        <v>4192</v>
      </c>
      <c r="B400" t="str">
        <f>_xlfn.XLOOKUP(A400,'Hướng dẫn'!AF:AF,'Hướng dẫn'!AD:AD)</f>
        <v>CS-HN-KG-HN 43</v>
      </c>
    </row>
    <row r="401" spans="1:2">
      <c r="A401" t="s">
        <v>4091</v>
      </c>
      <c r="B401" t="str">
        <f>_xlfn.XLOOKUP(A401,'Hướng dẫn'!AF:AF,'Hướng dẫn'!AD:AD)</f>
        <v>CS-HN-KG-GINKGO 118</v>
      </c>
    </row>
    <row r="402" spans="1:2">
      <c r="A402" t="s">
        <v>4162</v>
      </c>
      <c r="B402" t="str">
        <f>_xlfn.XLOOKUP(A402,'Hướng dẫn'!AF:AF,'Hướng dẫn'!AD:AD)</f>
        <v>CS-HN-KG-GK HN46</v>
      </c>
    </row>
    <row r="403" spans="1:2">
      <c r="A403" t="s">
        <v>3931</v>
      </c>
      <c r="B403" t="str">
        <f>_xlfn.XLOOKUP(A403,'Hướng dẫn'!AF:AF,'Hướng dẫn'!AD:AD)</f>
        <v>Tussaud</v>
      </c>
    </row>
    <row r="404" spans="1:2">
      <c r="A404" t="s">
        <v>3607</v>
      </c>
      <c r="B404" t="str">
        <f>_xlfn.XLOOKUP(A404,'Hướng dẫn'!AF:AF,'Hướng dẫn'!AD:AD)</f>
        <v>Urban Saigon</v>
      </c>
    </row>
    <row r="405" spans="1:2">
      <c r="A405" t="s">
        <v>2653</v>
      </c>
      <c r="B405" t="str">
        <f>_xlfn.XLOOKUP(A405,'Hướng dẫn'!AF:AF,'Hướng dẫn'!AD:AD)</f>
        <v>Dragon Lines</v>
      </c>
    </row>
    <row r="406" spans="1:2">
      <c r="A406" t="s">
        <v>6535</v>
      </c>
      <c r="B406" t="e">
        <f>_xlfn.XLOOKUP(A406,'Hướng dẫn'!AF:AF,'Hướng dẫn'!AD:AD)</f>
        <v>#N/A</v>
      </c>
    </row>
    <row r="407" spans="1:2">
      <c r="A407" t="s">
        <v>4051</v>
      </c>
      <c r="B407" t="str">
        <f>_xlfn.XLOOKUP(A407,'Hướng dẫn'!AF:AF,'Hướng dẫn'!AD:AD)</f>
        <v>CS-HN-HA 146</v>
      </c>
    </row>
    <row r="408" spans="1:2">
      <c r="A408" t="s">
        <v>2264</v>
      </c>
      <c r="B408" t="str">
        <f>_xlfn.XLOOKUP(A408,'Hướng dẫn'!AF:AF,'Hướng dẫn'!AD:AD)</f>
        <v>Bow Scrunchie</v>
      </c>
    </row>
    <row r="409" spans="1:2">
      <c r="A409" t="s">
        <v>3056</v>
      </c>
      <c r="B409" t="str">
        <f>_xlfn.XLOOKUP(A409,'Hướng dẫn'!AF:AF,'Hướng dẫn'!AD:AD)</f>
        <v>Hanoi</v>
      </c>
    </row>
    <row r="410" spans="1:2">
      <c r="A410" t="s">
        <v>3981</v>
      </c>
      <c r="B410" t="str">
        <f>_xlfn.XLOOKUP(A410,'Hướng dẫn'!AF:AF,'Hướng dẫn'!AD:AD)</f>
        <v>Family</v>
      </c>
    </row>
    <row r="411" spans="1:2">
      <c r="A411" t="s">
        <v>4385</v>
      </c>
      <c r="B411" t="str">
        <f>_xlfn.XLOOKUP(A411,'Hướng dẫn'!AF:AF,'Hướng dẫn'!AD:AD)</f>
        <v>Túi shopping gấp gọn - ABG</v>
      </c>
    </row>
    <row r="412" spans="1:2">
      <c r="A412" t="s">
        <v>3305</v>
      </c>
      <c r="B412" t="str">
        <f>_xlfn.XLOOKUP(A412,'Hướng dẫn'!AF:AF,'Hướng dẫn'!AD:AD)</f>
        <v>Mu Cang Chai</v>
      </c>
    </row>
    <row r="413" spans="1:2">
      <c r="A413" t="s">
        <v>6536</v>
      </c>
      <c r="B413" t="e">
        <f>_xlfn.XLOOKUP(A413,'Hướng dẫn'!AF:AF,'Hướng dẫn'!AD:AD)</f>
        <v>#N/A</v>
      </c>
    </row>
    <row r="414" spans="1:2">
      <c r="A414" t="s">
        <v>4095</v>
      </c>
      <c r="B414" t="str">
        <f>_xlfn.XLOOKUP(A414,'Hướng dẫn'!AF:AF,'Hướng dẫn'!AD:AD)</f>
        <v>CS-HN-KG-GINKGO 122</v>
      </c>
    </row>
    <row r="415" spans="1:2">
      <c r="A415" t="s">
        <v>4450</v>
      </c>
      <c r="B415" t="str">
        <f>_xlfn.XLOOKUP(A415,'Hướng dẫn'!AF:AF,'Hướng dẫn'!AD:AD)</f>
        <v>Wash Bag Size L</v>
      </c>
    </row>
    <row r="416" spans="1:2">
      <c r="A416" t="s">
        <v>6537</v>
      </c>
      <c r="B416" t="e">
        <f>_xlfn.XLOOKUP(A416,'Hướng dẫn'!AF:AF,'Hướng dẫn'!AD:AD)</f>
        <v>#N/A</v>
      </c>
    </row>
    <row r="417" spans="1:2">
      <c r="A417" t="s">
        <v>3930</v>
      </c>
      <c r="B417" t="str">
        <f>_xlfn.XLOOKUP(A417,'Hướng dẫn'!AF:AF,'Hướng dẫn'!AD:AD)</f>
        <v>Tissue Paper Box</v>
      </c>
    </row>
    <row r="418" spans="1:2">
      <c r="A418" t="s">
        <v>6538</v>
      </c>
      <c r="B418" t="e">
        <f>_xlfn.XLOOKUP(A418,'Hướng dẫn'!AF:AF,'Hướng dẫn'!AD:AD)</f>
        <v>#N/A</v>
      </c>
    </row>
    <row r="419" spans="1:2">
      <c r="A419" t="s">
        <v>4186</v>
      </c>
      <c r="B419" t="str">
        <f>_xlfn.XLOOKUP(A419,'Hướng dẫn'!AF:AF,'Hướng dẫn'!AD:AD)</f>
        <v>CS-HN-KG-HD2 40</v>
      </c>
    </row>
    <row r="420" spans="1:2">
      <c r="A420" t="s">
        <v>4104</v>
      </c>
      <c r="B420" t="str">
        <f>_xlfn.XLOOKUP(A420,'Hướng dẫn'!AF:AF,'Hướng dẫn'!AD:AD)</f>
        <v>CS-HN-KG-GINKGO 79</v>
      </c>
    </row>
    <row r="421" spans="1:2">
      <c r="A421" t="s">
        <v>3725</v>
      </c>
      <c r="B421" t="str">
        <f>_xlfn.XLOOKUP(A421,'Hướng dẫn'!AF:AF,'Hướng dẫn'!AD:AD)</f>
        <v>HARLEQUIN</v>
      </c>
    </row>
    <row r="422" spans="1:2">
      <c r="A422" t="s">
        <v>3895</v>
      </c>
      <c r="B422" t="str">
        <f>_xlfn.XLOOKUP(A422,'Hướng dẫn'!AF:AF,'Hướng dẫn'!AD:AD)</f>
        <v>Men’s Gaugin_Gold</v>
      </c>
    </row>
    <row r="423" spans="1:2">
      <c r="A423" t="s">
        <v>4257</v>
      </c>
      <c r="B423" t="str">
        <f>_xlfn.XLOOKUP(A423,'Hướng dẫn'!AF:AF,'Hướng dẫn'!AD:AD)</f>
        <v>Cờ cá ngựa thành Troy</v>
      </c>
    </row>
    <row r="424" spans="1:2">
      <c r="A424" t="s">
        <v>3983</v>
      </c>
      <c r="B424" t="str">
        <f>_xlfn.XLOOKUP(A424,'Hướng dẫn'!AF:AF,'Hướng dẫn'!AD:AD)</f>
        <v>Hoan</v>
      </c>
    </row>
    <row r="425" spans="1:2">
      <c r="A425" t="s">
        <v>3813</v>
      </c>
      <c r="B425" t="str">
        <f>_xlfn.XLOOKUP(A425,'Hướng dẫn'!AF:AF,'Hướng dẫn'!AD:AD)</f>
        <v>MOD0704015</v>
      </c>
    </row>
    <row r="426" spans="1:2">
      <c r="A426" t="s">
        <v>3249</v>
      </c>
      <c r="B426" t="str">
        <f>_xlfn.XLOOKUP(A426,'Hướng dẫn'!AF:AF,'Hướng dẫn'!AD:AD)</f>
        <v>GREENDLAND AND FAMILY</v>
      </c>
    </row>
    <row r="427" spans="1:2">
      <c r="A427" t="s">
        <v>4406</v>
      </c>
      <c r="B427" t="str">
        <f>_xlfn.XLOOKUP(A427,'Hướng dẫn'!AF:AF,'Hướng dẫn'!AD:AD)</f>
        <v>Ví Phụ Kiện  - APOC</v>
      </c>
    </row>
    <row r="428" spans="1:2">
      <c r="A428" t="s">
        <v>4154</v>
      </c>
      <c r="B428" t="str">
        <f>_xlfn.XLOOKUP(A428,'Hướng dẫn'!AF:AF,'Hướng dẫn'!AD:AD)</f>
        <v>CS-HN-KG-GK HD12</v>
      </c>
    </row>
    <row r="429" spans="1:2">
      <c r="A429" t="s">
        <v>4189</v>
      </c>
      <c r="B429" t="str">
        <f>_xlfn.XLOOKUP(A429,'Hướng dẫn'!AF:AF,'Hướng dẫn'!AD:AD)</f>
        <v>CS-HN-KG-HN 110</v>
      </c>
    </row>
    <row r="430" spans="1:2">
      <c r="A430" t="s">
        <v>4110</v>
      </c>
      <c r="B430" t="str">
        <f>_xlfn.XLOOKUP(A430,'Hướng dẫn'!AF:AF,'Hướng dẫn'!AD:AD)</f>
        <v>CS-HN-KG-GINKGO 88</v>
      </c>
    </row>
    <row r="431" spans="1:2">
      <c r="A431" t="s">
        <v>6539</v>
      </c>
      <c r="B431" t="e">
        <f>_xlfn.XLOOKUP(A431,'Hướng dẫn'!AF:AF,'Hướng dẫn'!AD:AD)</f>
        <v>#N/A</v>
      </c>
    </row>
    <row r="432" spans="1:2">
      <c r="A432" t="s">
        <v>4067</v>
      </c>
      <c r="B432" t="str">
        <f>_xlfn.XLOOKUP(A432,'Hướng dẫn'!AF:AF,'Hướng dẫn'!AD:AD)</f>
        <v>CS-HN-HD 74</v>
      </c>
    </row>
    <row r="433" spans="1:2">
      <c r="A433" t="s">
        <v>3750</v>
      </c>
      <c r="B433" t="str">
        <f>_xlfn.XLOOKUP(A433,'Hướng dẫn'!AF:AF,'Hướng dẫn'!AD:AD)</f>
        <v>MEMBERS</v>
      </c>
    </row>
    <row r="434" spans="1:2">
      <c r="A434" t="s">
        <v>3038</v>
      </c>
      <c r="B434" t="str">
        <f>_xlfn.XLOOKUP(A434,'Hướng dẫn'!AF:AF,'Hướng dẫn'!AD:AD)</f>
        <v>Lemongrass - Bentonite Clay Soap</v>
      </c>
    </row>
    <row r="435" spans="1:2">
      <c r="A435" t="s">
        <v>3959</v>
      </c>
      <c r="B435" t="str">
        <f>_xlfn.XLOOKUP(A435,'Hướng dẫn'!AF:AF,'Hướng dẫn'!AD:AD)</f>
        <v>Big Hat</v>
      </c>
    </row>
    <row r="436" spans="1:2">
      <c r="A436" t="s">
        <v>2601</v>
      </c>
      <c r="B436" t="str">
        <f>_xlfn.XLOOKUP(A436,'Hướng dẫn'!AF:AF,'Hướng dẫn'!AD:AD)</f>
        <v>Hand Bag</v>
      </c>
    </row>
    <row r="437" spans="1:2">
      <c r="A437" t="s">
        <v>4355</v>
      </c>
      <c r="B437" t="str">
        <f>_xlfn.XLOOKUP(A437,'Hướng dẫn'!AF:AF,'Hướng dẫn'!AD:AD)</f>
        <v>Tag hành lý - ATG</v>
      </c>
    </row>
    <row r="438" spans="1:2">
      <c r="A438" t="s">
        <v>4073</v>
      </c>
      <c r="B438" t="str">
        <f>_xlfn.XLOOKUP(A438,'Hướng dẫn'!AF:AF,'Hướng dẫn'!AD:AD)</f>
        <v>CS-HN-KG-BR 3T</v>
      </c>
    </row>
    <row r="439" spans="1:2">
      <c r="A439" t="s">
        <v>4362</v>
      </c>
      <c r="B439" t="str">
        <f>_xlfn.XLOOKUP(A439,'Hướng dẫn'!AF:AF,'Hướng dẫn'!AD:AD)</f>
        <v>Túi Đeo Hai Kiểu</v>
      </c>
    </row>
    <row r="440" spans="1:2">
      <c r="A440" t="s">
        <v>6540</v>
      </c>
      <c r="B440" t="e">
        <f>_xlfn.XLOOKUP(A440,'Hướng dẫn'!AF:AF,'Hướng dẫn'!AD:AD)</f>
        <v>#N/A</v>
      </c>
    </row>
    <row r="441" spans="1:2">
      <c r="A441" t="s">
        <v>4171</v>
      </c>
      <c r="B441" t="str">
        <f>_xlfn.XLOOKUP(A441,'Hướng dẫn'!AF:AF,'Hướng dẫn'!AD:AD)</f>
        <v>CS-HN-KG-GK LL 135</v>
      </c>
    </row>
    <row r="442" spans="1:2">
      <c r="A442" t="s">
        <v>4381</v>
      </c>
      <c r="B442" t="str">
        <f>_xlfn.XLOOKUP(A442,'Hướng dẫn'!AF:AF,'Hướng dẫn'!AD:AD)</f>
        <v>Túi Rút Dây To - ABD</v>
      </c>
    </row>
    <row r="443" spans="1:2">
      <c r="A443" t="s">
        <v>4034</v>
      </c>
      <c r="B443" t="str">
        <f>_xlfn.XLOOKUP(A443,'Hướng dẫn'!AF:AF,'Hướng dẫn'!AD:AD)</f>
        <v>Mekong Dry Gin</v>
      </c>
    </row>
    <row r="444" spans="1:2">
      <c r="A444" t="s">
        <v>3693</v>
      </c>
      <c r="B444" t="str">
        <f>_xlfn.XLOOKUP(A444,'Hướng dẫn'!AF:AF,'Hướng dẫn'!AD:AD)</f>
        <v>A T SILENCE THEY FLOURISH</v>
      </c>
    </row>
    <row r="445" spans="1:2">
      <c r="A445" t="s">
        <v>4052</v>
      </c>
      <c r="B445" t="str">
        <f>_xlfn.XLOOKUP(A445,'Hướng dẫn'!AF:AF,'Hướng dẫn'!AD:AD)</f>
        <v>CS-HN-HA 147</v>
      </c>
    </row>
    <row r="446" spans="1:2">
      <c r="A446" t="s">
        <v>4159</v>
      </c>
      <c r="B446" t="str">
        <f>_xlfn.XLOOKUP(A446,'Hướng dẫn'!AF:AF,'Hướng dẫn'!AD:AD)</f>
        <v>CS-HN-KG-GK HN18</v>
      </c>
    </row>
    <row r="447" spans="1:2">
      <c r="A447" t="s">
        <v>3828</v>
      </c>
      <c r="B447" t="str">
        <f>_xlfn.XLOOKUP(A447,'Hướng dẫn'!AF:AF,'Hướng dẫn'!AD:AD)</f>
        <v>Breakfast Blend 12oz</v>
      </c>
    </row>
    <row r="448" spans="1:2">
      <c r="A448" t="s">
        <v>3832</v>
      </c>
      <c r="B448" t="str">
        <f>_xlfn.XLOOKUP(A448,'Hướng dẫn'!AF:AF,'Hướng dẫn'!AD:AD)</f>
        <v>Imperial Chess</v>
      </c>
    </row>
    <row r="449" spans="1:2">
      <c r="A449" t="s">
        <v>4188</v>
      </c>
      <c r="B449" t="str">
        <f>_xlfn.XLOOKUP(A449,'Hướng dẫn'!AF:AF,'Hướng dẫn'!AD:AD)</f>
        <v>CS-HN-KG-HD2 EAR 32G</v>
      </c>
    </row>
    <row r="450" spans="1:2">
      <c r="A450" t="s">
        <v>4002</v>
      </c>
      <c r="B450" t="str">
        <f>_xlfn.XLOOKUP(A450,'Hướng dẫn'!AF:AF,'Hướng dẫn'!AD:AD)</f>
        <v>Table runner New Tile</v>
      </c>
    </row>
    <row r="451" spans="1:2">
      <c r="A451" t="s">
        <v>3955</v>
      </c>
      <c r="B451" t="str">
        <f>_xlfn.XLOOKUP(A451,'Hướng dẫn'!AF:AF,'Hướng dẫn'!AD:AD)</f>
        <v>Basket</v>
      </c>
    </row>
    <row r="452" spans="1:2">
      <c r="A452" t="s">
        <v>2859</v>
      </c>
      <c r="B452" t="str">
        <f>_xlfn.XLOOKUP(A452,'Hướng dẫn'!AF:AF,'Hướng dẫn'!AD:AD)</f>
        <v>SOUL</v>
      </c>
    </row>
    <row r="453" spans="1:2">
      <c r="A453" t="s">
        <v>3735</v>
      </c>
      <c r="B453" t="str">
        <f>_xlfn.XLOOKUP(A453,'Hướng dẫn'!AF:AF,'Hướng dẫn'!AD:AD)</f>
        <v>JIJI</v>
      </c>
    </row>
    <row r="454" spans="1:2">
      <c r="A454" t="s">
        <v>4275</v>
      </c>
      <c r="B454" t="str">
        <f>_xlfn.XLOOKUP(A454,'Hướng dẫn'!AF:AF,'Hướng dẫn'!AD:AD)</f>
        <v>KM Palmorasa &amp; Ylang Ylang</v>
      </c>
    </row>
    <row r="455" spans="1:2">
      <c r="A455" t="s">
        <v>3841</v>
      </c>
      <c r="B455" t="str">
        <f>_xlfn.XLOOKUP(A455,'Hướng dẫn'!AF:AF,'Hướng dẫn'!AD:AD)</f>
        <v>Aznavour</v>
      </c>
    </row>
    <row r="456" spans="1:2">
      <c r="A456" t="s">
        <v>4061</v>
      </c>
      <c r="B456" t="str">
        <f>_xlfn.XLOOKUP(A456,'Hướng dẫn'!AF:AF,'Hướng dẫn'!AD:AD)</f>
        <v>CS-HN-HD 71</v>
      </c>
    </row>
    <row r="457" spans="1:2">
      <c r="A457" t="s">
        <v>4413</v>
      </c>
      <c r="B457" t="str">
        <f>_xlfn.XLOOKUP(A457,'Hướng dẫn'!AF:AF,'Hướng dẫn'!AD:AD)</f>
        <v>Ví Vải Ba Ngăn - AWSZ</v>
      </c>
    </row>
    <row r="458" spans="1:2">
      <c r="A458" t="s">
        <v>4041</v>
      </c>
      <c r="B458" t="str">
        <f>_xlfn.XLOOKUP(A458,'Hướng dẫn'!AF:AF,'Hướng dẫn'!AD:AD)</f>
        <v>CS-GN-RT-1</v>
      </c>
    </row>
    <row r="459" spans="1:2">
      <c r="A459" t="s">
        <v>4032</v>
      </c>
      <c r="B459" t="str">
        <f>_xlfn.XLOOKUP(A459,'Hướng dẫn'!AF:AF,'Hướng dẫn'!AD:AD)</f>
        <v>East Sea Navy Gin</v>
      </c>
    </row>
    <row r="460" spans="1:2">
      <c r="A460" t="s">
        <v>2645</v>
      </c>
      <c r="B460" t="str">
        <f>_xlfn.XLOOKUP(A460,'Hướng dẫn'!AF:AF,'Hướng dẫn'!AD:AD)</f>
        <v>Dragon Hotpot</v>
      </c>
    </row>
    <row r="461" spans="1:2">
      <c r="A461" t="s">
        <v>4308</v>
      </c>
      <c r="B461" t="str">
        <f>_xlfn.XLOOKUP(A461,'Hướng dẫn'!AF:AF,'Hướng dẫn'!AD:AD)</f>
        <v>PASSIONFRUIT CUBEB</v>
      </c>
    </row>
    <row r="462" spans="1:2">
      <c r="A462" t="s">
        <v>2983</v>
      </c>
      <c r="B462" t="str">
        <f>_xlfn.XLOOKUP(A462,'Hướng dẫn'!AF:AF,'Hướng dẫn'!AD:AD)</f>
        <v>Ginkgo skull</v>
      </c>
    </row>
    <row r="463" spans="1:2">
      <c r="A463" t="s">
        <v>4296</v>
      </c>
      <c r="B463" t="str">
        <f>_xlfn.XLOOKUP(A463,'Hướng dẫn'!AF:AF,'Hướng dẫn'!AD:AD)</f>
        <v>Phin cà phê RuNam mặc áo</v>
      </c>
    </row>
    <row r="464" spans="1:2">
      <c r="A464" t="s">
        <v>6541</v>
      </c>
      <c r="B464" t="e">
        <f>_xlfn.XLOOKUP(A464,'Hướng dẫn'!AF:AF,'Hướng dẫn'!AD:AD)</f>
        <v>#N/A</v>
      </c>
    </row>
    <row r="465" spans="1:2">
      <c r="A465" t="s">
        <v>3871</v>
      </c>
      <c r="B465" t="str">
        <f>_xlfn.XLOOKUP(A465,'Hướng dẫn'!AF:AF,'Hướng dẫn'!AD:AD)</f>
        <v>Jodhpur Boot</v>
      </c>
    </row>
    <row r="466" spans="1:2">
      <c r="A466" t="s">
        <v>4176</v>
      </c>
      <c r="B466" t="str">
        <f>_xlfn.XLOOKUP(A466,'Hướng dẫn'!AF:AF,'Hướng dẫn'!AD:AD)</f>
        <v>CS-HN-KG-GK LL128</v>
      </c>
    </row>
    <row r="467" spans="1:2">
      <c r="A467" t="s">
        <v>3741</v>
      </c>
      <c r="B467" t="str">
        <f>_xlfn.XLOOKUP(A467,'Hướng dẫn'!AF:AF,'Hướng dẫn'!AD:AD)</f>
        <v>LADYBUG</v>
      </c>
    </row>
    <row r="468" spans="1:2">
      <c r="A468" t="s">
        <v>4122</v>
      </c>
      <c r="B468" t="str">
        <f>_xlfn.XLOOKUP(A468,'Hướng dẫn'!AF:AF,'Hướng dẫn'!AD:AD)</f>
        <v>CS-HN-KG-GINKGO 97</v>
      </c>
    </row>
    <row r="469" spans="1:2">
      <c r="A469" t="s">
        <v>4318</v>
      </c>
      <c r="B469" t="str">
        <f>_xlfn.XLOOKUP(A469,'Hướng dẫn'!AF:AF,'Hướng dẫn'!AD:AD)</f>
        <v>Basket 2 Small</v>
      </c>
    </row>
    <row r="470" spans="1:2">
      <c r="A470" t="s">
        <v>6542</v>
      </c>
      <c r="B470" t="e">
        <f>_xlfn.XLOOKUP(A470,'Hướng dẫn'!AF:AF,'Hướng dẫn'!AD:AD)</f>
        <v>#N/A</v>
      </c>
    </row>
    <row r="471" spans="1:2">
      <c r="A471" t="s">
        <v>4086</v>
      </c>
      <c r="B471" t="str">
        <f>_xlfn.XLOOKUP(A471,'Hướng dẫn'!AF:AF,'Hướng dẫn'!AD:AD)</f>
        <v>CS-HN-KG-GINKGO 113</v>
      </c>
    </row>
    <row r="472" spans="1:2">
      <c r="A472" t="s">
        <v>4093</v>
      </c>
      <c r="B472" t="str">
        <f>_xlfn.XLOOKUP(A472,'Hướng dẫn'!AF:AF,'Hướng dẫn'!AD:AD)</f>
        <v>CS-HN-KG-GINKGO 120</v>
      </c>
    </row>
    <row r="473" spans="1:2">
      <c r="A473" t="s">
        <v>4258</v>
      </c>
      <c r="B473" t="str">
        <f>_xlfn.XLOOKUP(A473,'Hướng dẫn'!AF:AF,'Hướng dẫn'!AD:AD)</f>
        <v>Hộp lắc xí ngầu - Dice Shaker</v>
      </c>
    </row>
    <row r="474" spans="1:2">
      <c r="A474" t="s">
        <v>4080</v>
      </c>
      <c r="B474" t="str">
        <f>_xlfn.XLOOKUP(A474,'Hướng dẫn'!AF:AF,'Hướng dẫn'!AD:AD)</f>
        <v>CS-HN-KG-EAR 52</v>
      </c>
    </row>
    <row r="475" spans="1:2">
      <c r="A475" t="s">
        <v>4047</v>
      </c>
      <c r="B475" t="str">
        <f>_xlfn.XLOOKUP(A475,'Hướng dẫn'!AF:AF,'Hướng dẫn'!AD:AD)</f>
        <v>CS-HN-59</v>
      </c>
    </row>
    <row r="476" spans="1:2">
      <c r="A476" t="s">
        <v>3838</v>
      </c>
      <c r="B476" t="str">
        <f>_xlfn.XLOOKUP(A476,'Hướng dẫn'!AF:AF,'Hướng dẫn'!AD:AD)</f>
        <v>Austin I</v>
      </c>
    </row>
    <row r="477" spans="1:2">
      <c r="A477" t="s">
        <v>3712</v>
      </c>
      <c r="B477" t="str">
        <f>_xlfn.XLOOKUP(A477,'Hướng dẫn'!AF:AF,'Hướng dẫn'!AD:AD)</f>
        <v>CARNOLOTUS POND</v>
      </c>
    </row>
    <row r="478" spans="1:2">
      <c r="A478" t="s">
        <v>4018</v>
      </c>
      <c r="B478" t="str">
        <f>_xlfn.XLOOKUP(A478,'Hướng dẫn'!AF:AF,'Hướng dẫn'!AD:AD)</f>
        <v>Pink Guava Tea</v>
      </c>
    </row>
    <row r="479" spans="1:2">
      <c r="A479" t="s">
        <v>4017</v>
      </c>
      <c r="B479" t="str">
        <f>_xlfn.XLOOKUP(A479,'Hướng dẫn'!AF:AF,'Hướng dẫn'!AD:AD)</f>
        <v>Latte</v>
      </c>
    </row>
    <row r="480" spans="1:2">
      <c r="A480" t="s">
        <v>4088</v>
      </c>
      <c r="B480" t="str">
        <f>_xlfn.XLOOKUP(A480,'Hướng dẫn'!AF:AF,'Hướng dẫn'!AD:AD)</f>
        <v>CS-HN-KG-GINKGO 115</v>
      </c>
    </row>
    <row r="481" spans="1:2">
      <c r="A481" t="s">
        <v>4016</v>
      </c>
      <c r="B481" t="str">
        <f>_xlfn.XLOOKUP(A481,'Hướng dẫn'!AF:AF,'Hướng dẫn'!AD:AD)</f>
        <v>Espresso</v>
      </c>
    </row>
    <row r="482" spans="1:2">
      <c r="A482" t="s">
        <v>3962</v>
      </c>
      <c r="B482" t="str">
        <f>_xlfn.XLOOKUP(A482,'Hướng dẫn'!AF:AF,'Hướng dẫn'!AD:AD)</f>
        <v>Café sua da</v>
      </c>
    </row>
    <row r="483" spans="1:2">
      <c r="A483" t="s">
        <v>3772</v>
      </c>
      <c r="B483" t="str">
        <f>_xlfn.XLOOKUP(A483,'Hướng dẫn'!AF:AF,'Hướng dẫn'!AD:AD)</f>
        <v>THE SMOKER</v>
      </c>
    </row>
    <row r="484" spans="1:2">
      <c r="A484" t="s">
        <v>4026</v>
      </c>
      <c r="B484" t="str">
        <f>_xlfn.XLOOKUP(A484,'Hướng dẫn'!AF:AF,'Hướng dẫn'!AD:AD)</f>
        <v>Vietnamese White Coffee</v>
      </c>
    </row>
    <row r="485" spans="1:2">
      <c r="A485" t="s">
        <v>4164</v>
      </c>
      <c r="B485" t="str">
        <f>_xlfn.XLOOKUP(A485,'Hướng dẫn'!AF:AF,'Hướng dẫn'!AD:AD)</f>
        <v>CS-HN-KG-GK HN48</v>
      </c>
    </row>
    <row r="486" spans="1:2">
      <c r="A486" t="s">
        <v>3746</v>
      </c>
      <c r="B486" t="str">
        <f>_xlfn.XLOOKUP(A486,'Hướng dẫn'!AF:AF,'Hướng dẫn'!AD:AD)</f>
        <v>LEG IN A BOWL</v>
      </c>
    </row>
    <row r="487" spans="1:2">
      <c r="A487" t="s">
        <v>4108</v>
      </c>
      <c r="B487" t="str">
        <f>_xlfn.XLOOKUP(A487,'Hướng dẫn'!AF:AF,'Hướng dẫn'!AD:AD)</f>
        <v>CS-HN-KG-GINKGO 87</v>
      </c>
    </row>
    <row r="488" spans="1:2">
      <c r="A488" t="s">
        <v>3933</v>
      </c>
      <c r="B488" t="str">
        <f>_xlfn.XLOOKUP(A488,'Hướng dẫn'!AF:AF,'Hướng dẫn'!AD:AD)</f>
        <v>Vincent</v>
      </c>
    </row>
    <row r="489" spans="1:2">
      <c r="A489" t="s">
        <v>6543</v>
      </c>
      <c r="B489" t="e">
        <f>_xlfn.XLOOKUP(A489,'Hướng dẫn'!AF:AF,'Hướng dẫn'!AD:AD)</f>
        <v>#N/A</v>
      </c>
    </row>
    <row r="490" spans="1:2">
      <c r="A490" t="s">
        <v>2911</v>
      </c>
      <c r="B490" t="str">
        <f>_xlfn.XLOOKUP(A490,'Hướng dẫn'!AF:AF,'Hướng dẫn'!AD:AD)</f>
        <v>CARNOLOTUS PARADISE</v>
      </c>
    </row>
    <row r="491" spans="1:2">
      <c r="A491" t="s">
        <v>4114</v>
      </c>
      <c r="B491" t="str">
        <f>_xlfn.XLOOKUP(A491,'Hướng dẫn'!AF:AF,'Hướng dẫn'!AD:AD)</f>
        <v>CS-HN-KG-GINKGO 93</v>
      </c>
    </row>
    <row r="492" spans="1:2">
      <c r="A492" t="s">
        <v>2886</v>
      </c>
      <c r="B492" t="str">
        <f>_xlfn.XLOOKUP(A492,'Hướng dẫn'!AF:AF,'Hướng dẫn'!AD:AD)</f>
        <v>GINKGO</v>
      </c>
    </row>
    <row r="493" spans="1:2">
      <c r="A493" t="s">
        <v>4255</v>
      </c>
      <c r="B493" t="str">
        <f>_xlfn.XLOOKUP(A493,'Hướng dẫn'!AF:AF,'Hướng dẫn'!AD:AD)</f>
        <v>Bộ cờ vua-Chess</v>
      </c>
    </row>
    <row r="494" spans="1:2">
      <c r="A494" t="s">
        <v>2800</v>
      </c>
      <c r="B494" t="str">
        <f>_xlfn.XLOOKUP(A494,'Hướng dẫn'!AF:AF,'Hướng dẫn'!AD:AD)</f>
        <v>Earring</v>
      </c>
    </row>
    <row r="495" spans="1:2">
      <c r="A495" t="s">
        <v>4023</v>
      </c>
      <c r="B495" t="str">
        <f>_xlfn.XLOOKUP(A495,'Hướng dẫn'!AF:AF,'Hướng dẫn'!AD:AD)</f>
        <v>Vietnamese Egg Coffee</v>
      </c>
    </row>
    <row r="496" spans="1:2">
      <c r="A496" t="s">
        <v>3798</v>
      </c>
      <c r="B496" t="str">
        <f>_xlfn.XLOOKUP(A496,'Hướng dẫn'!AF:AF,'Hướng dẫn'!AD:AD)</f>
        <v>MOD0704009</v>
      </c>
    </row>
    <row r="497" spans="1:2">
      <c r="A497" t="s">
        <v>2301</v>
      </c>
      <c r="B497" t="str">
        <f>_xlfn.XLOOKUP(A497,'Hướng dẫn'!AF:AF,'Hướng dẫn'!AD:AD)</f>
        <v>Vietnamese Black Coffee</v>
      </c>
    </row>
    <row r="498" spans="1:2">
      <c r="A498" t="s">
        <v>4174</v>
      </c>
      <c r="B498" t="str">
        <f>_xlfn.XLOOKUP(A498,'Hướng dẫn'!AF:AF,'Hướng dẫn'!AD:AD)</f>
        <v>CS-HN-KG-GK LL125</v>
      </c>
    </row>
    <row r="499" spans="1:2">
      <c r="A499" t="s">
        <v>6544</v>
      </c>
      <c r="B499" t="e">
        <f>_xlfn.XLOOKUP(A499,'Hướng dẫn'!AF:AF,'Hướng dẫn'!AD:AD)</f>
        <v>#N/A</v>
      </c>
    </row>
    <row r="500" spans="1:2">
      <c r="A500" t="s">
        <v>4137</v>
      </c>
      <c r="B500" t="str">
        <f>_xlfn.XLOOKUP(A500,'Hướng dẫn'!AF:AF,'Hướng dẫn'!AD:AD)</f>
        <v>CS-HN-KG-GK HA 132</v>
      </c>
    </row>
    <row r="501" spans="1:2">
      <c r="A501" t="s">
        <v>6545</v>
      </c>
      <c r="B501" t="e">
        <f>_xlfn.XLOOKUP(A501,'Hướng dẫn'!AF:AF,'Hướng dẫn'!AD:AD)</f>
        <v>#N/A</v>
      </c>
    </row>
    <row r="502" spans="1:2">
      <c r="A502" t="s">
        <v>4267</v>
      </c>
      <c r="B502" t="str">
        <f>_xlfn.XLOOKUP(A502,'Hướng dẫn'!AF:AF,'Hướng dẫn'!AD:AD)</f>
        <v>FCB  Avocado &amp; Geranium</v>
      </c>
    </row>
    <row r="503" spans="1:2">
      <c r="A503" t="s">
        <v>4290</v>
      </c>
      <c r="B503" t="str">
        <f>_xlfn.XLOOKUP(A503,'Hướng dẫn'!AF:AF,'Hướng dẫn'!AD:AD)</f>
        <v>Chặn giấy hạt cà phê RuNam</v>
      </c>
    </row>
    <row r="504" spans="1:2">
      <c r="A504" t="s">
        <v>2125</v>
      </c>
      <c r="B504" t="str">
        <f>_xlfn.XLOOKUP(A504,'Hướng dẫn'!AF:AF,'Hướng dẫn'!AD:AD)</f>
        <v>Basket Sweater</v>
      </c>
    </row>
    <row r="505" spans="1:2">
      <c r="A505" t="s">
        <v>4098</v>
      </c>
      <c r="B505" t="str">
        <f>_xlfn.XLOOKUP(A505,'Hướng dẫn'!AF:AF,'Hướng dẫn'!AD:AD)</f>
        <v>CS-HN-KG-GINKGO 33</v>
      </c>
    </row>
    <row r="506" spans="1:2">
      <c r="A506" t="s">
        <v>4149</v>
      </c>
      <c r="B506" t="str">
        <f>_xlfn.XLOOKUP(A506,'Hướng dẫn'!AF:AF,'Hướng dẫn'!AD:AD)</f>
        <v>CS-HN-KG-GK HA 141</v>
      </c>
    </row>
    <row r="507" spans="1:2">
      <c r="A507" t="s">
        <v>2001</v>
      </c>
      <c r="B507" t="str">
        <f>_xlfn.XLOOKUP(A507,'Hướng dẫn'!AF:AF,'Hướng dẫn'!AD:AD)</f>
        <v>Man</v>
      </c>
    </row>
    <row r="508" spans="1:2">
      <c r="A508" t="s">
        <v>3702</v>
      </c>
      <c r="B508" t="str">
        <f>_xlfn.XLOOKUP(A508,'Hướng dẫn'!AF:AF,'Hướng dẫn'!AD:AD)</f>
        <v>CA PARADISE ZOOM RIGHT</v>
      </c>
    </row>
    <row r="509" spans="1:2">
      <c r="A509" t="s">
        <v>3829</v>
      </c>
      <c r="B509" t="str">
        <f>_xlfn.XLOOKUP(A509,'Hướng dẫn'!AF:AF,'Hướng dẫn'!AD:AD)</f>
        <v>VN Collection</v>
      </c>
    </row>
    <row r="510" spans="1:2">
      <c r="A510" t="s">
        <v>4019</v>
      </c>
      <c r="B510" t="str">
        <f>_xlfn.XLOOKUP(A510,'Hướng dẫn'!AF:AF,'Hướng dẫn'!AD:AD)</f>
        <v>Ruby Plum Kombucha</v>
      </c>
    </row>
    <row r="511" spans="1:2">
      <c r="A511" t="s">
        <v>3769</v>
      </c>
      <c r="B511" t="str">
        <f>_xlfn.XLOOKUP(A511,'Hướng dẫn'!AF:AF,'Hướng dẫn'!AD:AD)</f>
        <v>S I A DROWNING WORLD</v>
      </c>
    </row>
    <row r="512" spans="1:2">
      <c r="A512" t="s">
        <v>4028</v>
      </c>
      <c r="B512" t="str">
        <f>_xlfn.XLOOKUP(A512,'Hướng dẫn'!AF:AF,'Hướng dẫn'!AD:AD)</f>
        <v>Contemporary VN Gin</v>
      </c>
    </row>
    <row r="513" spans="1:2">
      <c r="A513" t="s">
        <v>2965</v>
      </c>
      <c r="B513" t="str">
        <f>_xlfn.XLOOKUP(A513,'Hướng dẫn'!AF:AF,'Hướng dẫn'!AD:AD)</f>
        <v>Ginkgo Leaf Veins</v>
      </c>
    </row>
    <row r="514" spans="1:2">
      <c r="A514" t="s">
        <v>4311</v>
      </c>
      <c r="B514" t="str">
        <f>_xlfn.XLOOKUP(A514,'Hướng dẫn'!AF:AF,'Hướng dẫn'!AD:AD)</f>
        <v>SAKE CLASSIC</v>
      </c>
    </row>
    <row r="515" spans="1:2">
      <c r="A515" t="s">
        <v>6546</v>
      </c>
      <c r="B515" t="e">
        <f>_xlfn.XLOOKUP(A515,'Hướng dẫn'!AF:AF,'Hướng dẫn'!AD:AD)</f>
        <v>#N/A</v>
      </c>
    </row>
    <row r="516" spans="1:2">
      <c r="A516" t="s">
        <v>6547</v>
      </c>
      <c r="B516" t="e">
        <f>_xlfn.XLOOKUP(A516,'Hướng dẫn'!AF:AF,'Hướng dẫn'!AD:AD)</f>
        <v>#N/A</v>
      </c>
    </row>
    <row r="517" spans="1:2">
      <c r="A517" t="s">
        <v>6548</v>
      </c>
      <c r="B517" t="e">
        <f>_xlfn.XLOOKUP(A517,'Hướng dẫn'!AF:AF,'Hướng dẫn'!AD:AD)</f>
        <v>#N/A</v>
      </c>
    </row>
    <row r="518" spans="1:2">
      <c r="A518" t="s">
        <v>6549</v>
      </c>
      <c r="B518" t="e">
        <f>_xlfn.XLOOKUP(A518,'Hướng dẫn'!AF:AF,'Hướng dẫn'!AD:AD)</f>
        <v>#N/A</v>
      </c>
    </row>
    <row r="519" spans="1:2">
      <c r="A519" t="s">
        <v>6550</v>
      </c>
      <c r="B519" t="e">
        <f>_xlfn.XLOOKUP(A519,'Hướng dẫn'!AF:AF,'Hướng dẫn'!AD:AD)</f>
        <v>#N/A</v>
      </c>
    </row>
    <row r="520" spans="1:2">
      <c r="A520" t="s">
        <v>6551</v>
      </c>
      <c r="B520" t="e">
        <f>_xlfn.XLOOKUP(A520,'Hướng dẫn'!AF:AF,'Hướng dẫn'!AD:AD)</f>
        <v>#N/A</v>
      </c>
    </row>
    <row r="521" spans="1:2">
      <c r="A521" t="s">
        <v>6552</v>
      </c>
      <c r="B521" t="e">
        <f>_xlfn.XLOOKUP(A521,'Hướng dẫn'!AF:AF,'Hướng dẫn'!AD:AD)</f>
        <v>#N/A</v>
      </c>
    </row>
    <row r="522" spans="1:2">
      <c r="A522" t="s">
        <v>6553</v>
      </c>
      <c r="B522" t="e">
        <f>_xlfn.XLOOKUP(A522,'Hướng dẫn'!AF:AF,'Hướng dẫn'!AD:AD)</f>
        <v>#N/A</v>
      </c>
    </row>
    <row r="523" spans="1:2">
      <c r="A523" t="s">
        <v>6554</v>
      </c>
      <c r="B523" t="e">
        <f>_xlfn.XLOOKUP(A523,'Hướng dẫn'!AF:AF,'Hướng dẫn'!AD:AD)</f>
        <v>#N/A</v>
      </c>
    </row>
    <row r="524" spans="1:2">
      <c r="A524" t="s">
        <v>6555</v>
      </c>
      <c r="B524" t="e">
        <f>_xlfn.XLOOKUP(A524,'Hướng dẫn'!AF:AF,'Hướng dẫn'!AD:AD)</f>
        <v>#N/A</v>
      </c>
    </row>
    <row r="525" spans="1:2">
      <c r="A525" t="s">
        <v>6556</v>
      </c>
      <c r="B525" t="e">
        <f>_xlfn.XLOOKUP(A525,'Hướng dẫn'!AF:AF,'Hướng dẫn'!AD:AD)</f>
        <v>#N/A</v>
      </c>
    </row>
    <row r="526" spans="1:2">
      <c r="A526" t="s">
        <v>6557</v>
      </c>
      <c r="B526" t="e">
        <f>_xlfn.XLOOKUP(A526,'Hướng dẫn'!AF:AF,'Hướng dẫn'!AD:AD)</f>
        <v>#N/A</v>
      </c>
    </row>
    <row r="527" spans="1:2">
      <c r="A527" t="s">
        <v>6558</v>
      </c>
      <c r="B527" t="e">
        <f>_xlfn.XLOOKUP(A527,'Hướng dẫn'!AF:AF,'Hướng dẫn'!AD:AD)</f>
        <v>#N/A</v>
      </c>
    </row>
    <row r="528" spans="1:2">
      <c r="A528" t="s">
        <v>6559</v>
      </c>
      <c r="B528" t="e">
        <f>_xlfn.XLOOKUP(A528,'Hướng dẫn'!AF:AF,'Hướng dẫn'!AD:AD)</f>
        <v>#N/A</v>
      </c>
    </row>
    <row r="529" spans="1:2">
      <c r="A529" t="s">
        <v>6560</v>
      </c>
      <c r="B529" t="e">
        <f>_xlfn.XLOOKUP(A529,'Hướng dẫn'!AF:AF,'Hướng dẫn'!AD:AD)</f>
        <v>#N/A</v>
      </c>
    </row>
    <row r="530" spans="1:2">
      <c r="A530" t="s">
        <v>6561</v>
      </c>
      <c r="B530" t="e">
        <f>_xlfn.XLOOKUP(A530,'Hướng dẫn'!AF:AF,'Hướng dẫn'!AD:AD)</f>
        <v>#N/A</v>
      </c>
    </row>
    <row r="531" spans="1:2">
      <c r="A531" t="s">
        <v>6570</v>
      </c>
      <c r="B531" t="e">
        <f>_xlfn.XLOOKUP(A531,'Hướng dẫn'!AF:AF,'Hướng dẫn'!AD:AD)</f>
        <v>#N/A</v>
      </c>
    </row>
    <row r="532" spans="1:2">
      <c r="A532" t="s">
        <v>6562</v>
      </c>
      <c r="B532" t="e">
        <f>_xlfn.XLOOKUP(A532,'Hướng dẫn'!AF:AF,'Hướng dẫn'!AD:AD)</f>
        <v>#N/A</v>
      </c>
    </row>
    <row r="533" spans="1:2">
      <c r="A533" t="s">
        <v>6563</v>
      </c>
      <c r="B533" t="e">
        <f>_xlfn.XLOOKUP(A533,'Hướng dẫn'!AF:AF,'Hướng dẫn'!AD:AD)</f>
        <v>#N/A</v>
      </c>
    </row>
    <row r="534" spans="1:2">
      <c r="A534" t="s">
        <v>6564</v>
      </c>
      <c r="B534" t="e">
        <f>_xlfn.XLOOKUP(A534,'Hướng dẫn'!AF:AF,'Hướng dẫn'!AD:AD)</f>
        <v>#N/A</v>
      </c>
    </row>
    <row r="535" spans="1:2">
      <c r="A535" t="s">
        <v>6565</v>
      </c>
      <c r="B535" t="e">
        <f>_xlfn.XLOOKUP(A535,'Hướng dẫn'!AF:AF,'Hướng dẫn'!AD:AD)</f>
        <v>#N/A</v>
      </c>
    </row>
    <row r="536" spans="1:2">
      <c r="A536" t="s">
        <v>6566</v>
      </c>
      <c r="B536" t="e">
        <f>_xlfn.XLOOKUP(A536,'Hướng dẫn'!AF:AF,'Hướng dẫn'!AD:AD)</f>
        <v>#N/A</v>
      </c>
    </row>
    <row r="537" spans="1:2">
      <c r="A537" t="s">
        <v>6567</v>
      </c>
      <c r="B537" t="e">
        <f>_xlfn.XLOOKUP(A537,'Hướng dẫn'!AF:AF,'Hướng dẫn'!AD:AD)</f>
        <v>#N/A</v>
      </c>
    </row>
    <row r="538" spans="1:2">
      <c r="A538" t="s">
        <v>6568</v>
      </c>
      <c r="B538" t="e">
        <f>_xlfn.XLOOKUP(A538,'Hướng dẫn'!AF:AF,'Hướng dẫn'!AD:AD)</f>
        <v>#N/A</v>
      </c>
    </row>
    <row r="539" spans="1:2">
      <c r="A539" t="s">
        <v>6569</v>
      </c>
      <c r="B539" t="e">
        <f>_xlfn.XLOOKUP(A539,'Hướng dẫn'!AF:AF,'Hướng dẫn'!AD:AD)</f>
        <v>#N/A</v>
      </c>
    </row>
  </sheetData>
  <autoFilter ref="A1:B539" xr:uid="{D43503AF-A9CF-42A2-BC72-DFA759D0E8EE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335FD-837B-4B91-957F-8FBFA1B39725}">
  <dimension ref="A1:B121"/>
  <sheetViews>
    <sheetView topLeftCell="A110" workbookViewId="0">
      <selection activeCell="C111" sqref="C111"/>
    </sheetView>
  </sheetViews>
  <sheetFormatPr defaultRowHeight="14"/>
  <sheetData>
    <row r="1" spans="1:2">
      <c r="A1" t="s">
        <v>4454</v>
      </c>
      <c r="B1" t="s">
        <v>6505</v>
      </c>
    </row>
    <row r="2" spans="1:2">
      <c r="A2" t="s">
        <v>3317</v>
      </c>
      <c r="B2" t="str">
        <f>_xlfn.XLOOKUP(A2,'Hướng dẫn'!AK:AK,'Hướng dẫn'!AI:AI)</f>
        <v>Màu Mix</v>
      </c>
    </row>
    <row r="3" spans="1:2">
      <c r="A3" t="s">
        <v>3477</v>
      </c>
      <c r="B3" t="str">
        <f>_xlfn.XLOOKUP(A3,'Hướng dẫn'!AK:AK,'Hướng dẫn'!AI:AI)</f>
        <v>Orange</v>
      </c>
    </row>
    <row r="4" spans="1:2">
      <c r="A4" t="s">
        <v>3724</v>
      </c>
      <c r="B4" t="str">
        <f>_xlfn.XLOOKUP(A4,'Hướng dẫn'!AK:AK,'Hướng dẫn'!AI:AI)</f>
        <v>White</v>
      </c>
    </row>
    <row r="5" spans="1:2">
      <c r="A5" t="s">
        <v>3559</v>
      </c>
      <c r="B5" t="str">
        <f>_xlfn.XLOOKUP(A5,'Hướng dẫn'!AK:AK,'Hướng dẫn'!AI:AI)</f>
        <v>Racing Green</v>
      </c>
    </row>
    <row r="6" spans="1:2">
      <c r="A6" t="s">
        <v>3569</v>
      </c>
      <c r="B6" t="str">
        <f>_xlfn.XLOOKUP(A6,'Hướng dẫn'!AK:AK,'Hướng dẫn'!AI:AI)</f>
        <v>RE</v>
      </c>
    </row>
    <row r="7" spans="1:2">
      <c r="A7" t="s">
        <v>2052</v>
      </c>
      <c r="B7" t="str">
        <f>_xlfn.XLOOKUP(A7,'Hướng dẫn'!AK:AK,'Hướng dẫn'!AI:AI)</f>
        <v xml:space="preserve">
Purple</v>
      </c>
    </row>
    <row r="8" spans="1:2">
      <c r="A8" t="s">
        <v>2266</v>
      </c>
      <c r="B8" t="str">
        <f>_xlfn.XLOOKUP(A8,'Hướng dẫn'!AK:AK,'Hướng dẫn'!AI:AI)</f>
        <v>BK</v>
      </c>
    </row>
    <row r="9" spans="1:2">
      <c r="A9" t="s">
        <v>3320</v>
      </c>
      <c r="B9" t="str">
        <f>_xlfn.XLOOKUP(A9,'Hướng dẫn'!AK:AK,'Hướng dẫn'!AI:AI)</f>
        <v>June Bug</v>
      </c>
    </row>
    <row r="10" spans="1:2">
      <c r="A10" t="s">
        <v>3512</v>
      </c>
      <c r="B10" t="str">
        <f>_xlfn.XLOOKUP(A10,'Hướng dẫn'!AK:AK,'Hướng dẫn'!AI:AI)</f>
        <v>Pink</v>
      </c>
    </row>
    <row r="11" spans="1:2">
      <c r="A11" t="s">
        <v>3448</v>
      </c>
      <c r="B11" t="str">
        <f>_xlfn.XLOOKUP(A11,'Hướng dẫn'!AK:AK,'Hướng dẫn'!AI:AI)</f>
        <v>NA</v>
      </c>
    </row>
    <row r="12" spans="1:2">
      <c r="A12" t="s">
        <v>3648</v>
      </c>
      <c r="B12" t="str">
        <f>_xlfn.XLOOKUP(A12,'Hướng dẫn'!AK:AK,'Hướng dẫn'!AI:AI)</f>
        <v>Steel Gray</v>
      </c>
    </row>
    <row r="13" spans="1:2">
      <c r="A13" t="s">
        <v>3250</v>
      </c>
      <c r="B13" t="str">
        <f>_xlfn.XLOOKUP(A13,'Hướng dẫn'!AK:AK,'Hướng dẫn'!AI:AI)</f>
        <v>Grey</v>
      </c>
    </row>
    <row r="14" spans="1:2">
      <c r="A14" t="s">
        <v>2635</v>
      </c>
      <c r="B14" t="str">
        <f>_xlfn.XLOOKUP(A14,'Hướng dẫn'!AK:AK,'Hướng dẫn'!AI:AI)</f>
        <v>Brown</v>
      </c>
    </row>
    <row r="15" spans="1:2">
      <c r="A15" t="s">
        <v>2128</v>
      </c>
      <c r="B15" t="str">
        <f>_xlfn.XLOOKUP(A15,'Hướng dẫn'!AK:AK,'Hướng dẫn'!AI:AI)</f>
        <v>Amber Gold</v>
      </c>
    </row>
    <row r="16" spans="1:2">
      <c r="A16" t="s">
        <v>2007</v>
      </c>
      <c r="B16" t="str">
        <f>_xlfn.XLOOKUP(A16,'Hướng dẫn'!AK:AK,'Hướng dẫn'!AI:AI)</f>
        <v xml:space="preserve">
HM Orange</v>
      </c>
    </row>
    <row r="17" spans="1:2">
      <c r="A17" t="s">
        <v>3731</v>
      </c>
      <c r="B17" t="str">
        <f>_xlfn.XLOOKUP(A17,'Hướng dẫn'!AK:AK,'Hướng dẫn'!AI:AI)</f>
        <v>YE</v>
      </c>
    </row>
    <row r="18" spans="1:2">
      <c r="A18" t="s">
        <v>3211</v>
      </c>
      <c r="B18" t="str">
        <f>_xlfn.XLOOKUP(A18,'Hướng dẫn'!AK:AK,'Hướng dẫn'!AI:AI)</f>
        <v>Green</v>
      </c>
    </row>
    <row r="19" spans="1:2">
      <c r="A19" t="s">
        <v>2401</v>
      </c>
      <c r="B19" t="str">
        <f>_xlfn.XLOOKUP(A19,'Hướng dẫn'!AK:AK,'Hướng dẫn'!AI:AI)</f>
        <v>black wash</v>
      </c>
    </row>
    <row r="20" spans="1:2">
      <c r="A20" t="s">
        <v>2591</v>
      </c>
      <c r="B20" t="str">
        <f>_xlfn.XLOOKUP(A20,'Hướng dẫn'!AK:AK,'Hướng dẫn'!AI:AI)</f>
        <v>Bordeaux</v>
      </c>
    </row>
    <row r="21" spans="1:2">
      <c r="A21" t="s">
        <v>3462</v>
      </c>
      <c r="B21" t="str">
        <f>_xlfn.XLOOKUP(A21,'Hướng dẫn'!AK:AK,'Hướng dẫn'!AI:AI)</f>
        <v>Olive</v>
      </c>
    </row>
    <row r="22" spans="1:2">
      <c r="A22" t="s">
        <v>3290</v>
      </c>
      <c r="B22" t="str">
        <f>_xlfn.XLOOKUP(A22,'Hướng dẫn'!AK:AK,'Hướng dẫn'!AI:AI)</f>
        <v>Havana Green Patina</v>
      </c>
    </row>
    <row r="23" spans="1:2">
      <c r="A23" t="s">
        <v>3012</v>
      </c>
      <c r="B23" t="str">
        <f>_xlfn.XLOOKUP(A23,'Hướng dẫn'!AK:AK,'Hướng dẫn'!AI:AI)</f>
        <v>Dark Brown</v>
      </c>
    </row>
    <row r="24" spans="1:2">
      <c r="A24" t="s">
        <v>3670</v>
      </c>
      <c r="B24" t="str">
        <f>_xlfn.XLOOKUP(A24,'Hướng dẫn'!AK:AK,'Hướng dẫn'!AI:AI)</f>
        <v>Tobaco</v>
      </c>
    </row>
    <row r="25" spans="1:2">
      <c r="A25" t="s">
        <v>3487</v>
      </c>
      <c r="B25" t="str">
        <f>_xlfn.XLOOKUP(A25,'Hướng dẫn'!AK:AK,'Hướng dẫn'!AI:AI)</f>
        <v>Orange Bulgaro</v>
      </c>
    </row>
    <row r="26" spans="1:2">
      <c r="A26" t="s">
        <v>3629</v>
      </c>
      <c r="B26" t="str">
        <f>_xlfn.XLOOKUP(A26,'Hướng dẫn'!AK:AK,'Hướng dẫn'!AI:AI)</f>
        <v>SAGE</v>
      </c>
    </row>
    <row r="27" spans="1:2">
      <c r="A27" t="s">
        <v>3391</v>
      </c>
      <c r="B27" t="str">
        <f>_xlfn.XLOOKUP(A27,'Hướng dẫn'!AK:AK,'Hướng dẫn'!AI:AI)</f>
        <v>lumina</v>
      </c>
    </row>
    <row r="28" spans="1:2">
      <c r="A28" t="s">
        <v>2723</v>
      </c>
      <c r="B28" t="str">
        <f>_xlfn.XLOOKUP(A28,'Hướng dẫn'!AK:AK,'Hướng dẫn'!AI:AI)</f>
        <v>Burgundy</v>
      </c>
    </row>
    <row r="29" spans="1:2">
      <c r="A29" t="s">
        <v>2462</v>
      </c>
      <c r="B29" t="str">
        <f>_xlfn.XLOOKUP(A29,'Hướng dẫn'!AK:AK,'Hướng dẫn'!AI:AI)</f>
        <v>Blue</v>
      </c>
    </row>
    <row r="30" spans="1:2">
      <c r="A30" t="s">
        <v>2253</v>
      </c>
      <c r="B30" t="str">
        <f>_xlfn.XLOOKUP(A30,'Hướng dẫn'!AK:AK,'Hướng dẫn'!AI:AI)</f>
        <v>Beige Sunflower</v>
      </c>
    </row>
    <row r="31" spans="1:2">
      <c r="A31" t="s">
        <v>3749</v>
      </c>
      <c r="B31" t="str">
        <f>_xlfn.XLOOKUP(A31,'Hướng dẫn'!AK:AK,'Hướng dẫn'!AI:AI)</f>
        <v>Yellow Orange</v>
      </c>
    </row>
    <row r="32" spans="1:2">
      <c r="A32" t="s">
        <v>3004</v>
      </c>
      <c r="B32" t="str">
        <f>_xlfn.XLOOKUP(A32,'Hướng dẫn'!AK:AK,'Hướng dẫn'!AI:AI)</f>
        <v>DAHILA</v>
      </c>
    </row>
    <row r="33" spans="1:2">
      <c r="A33" t="s">
        <v>3652</v>
      </c>
      <c r="B33" t="str">
        <f>_xlfn.XLOOKUP(A33,'Hướng dẫn'!AK:AK,'Hướng dẫn'!AI:AI)</f>
        <v>Tan</v>
      </c>
    </row>
    <row r="34" spans="1:2">
      <c r="A34" t="s">
        <v>3376</v>
      </c>
      <c r="B34" t="str">
        <f>_xlfn.XLOOKUP(A34,'Hướng dẫn'!AK:AK,'Hướng dẫn'!AI:AI)</f>
        <v>Lime Green</v>
      </c>
    </row>
    <row r="35" spans="1:2">
      <c r="A35" t="s">
        <v>3681</v>
      </c>
      <c r="B35" t="str">
        <f>_xlfn.XLOOKUP(A35,'Hướng dẫn'!AK:AK,'Hướng dẫn'!AI:AI)</f>
        <v>turquois minight blue</v>
      </c>
    </row>
    <row r="36" spans="1:2">
      <c r="A36" t="s">
        <v>3459</v>
      </c>
      <c r="B36" t="str">
        <f>_xlfn.XLOOKUP(A36,'Hướng dẫn'!AK:AK,'Hướng dẫn'!AI:AI)</f>
        <v>No Color</v>
      </c>
    </row>
    <row r="37" spans="1:2">
      <c r="A37" t="s">
        <v>2899</v>
      </c>
      <c r="B37" t="str">
        <f>_xlfn.XLOOKUP(A37,'Hướng dẫn'!AK:AK,'Hướng dẫn'!AI:AI)</f>
        <v>Chocolate Marble</v>
      </c>
    </row>
    <row r="38" spans="1:2">
      <c r="A38" t="s">
        <v>3520</v>
      </c>
      <c r="B38" t="str">
        <f>_xlfn.XLOOKUP(A38,'Hướng dẫn'!AK:AK,'Hướng dẫn'!AI:AI)</f>
        <v>Pink Patina</v>
      </c>
    </row>
    <row r="39" spans="1:2">
      <c r="A39" t="s">
        <v>3337</v>
      </c>
      <c r="B39" t="str">
        <f>_xlfn.XLOOKUP(A39,'Hướng dẫn'!AK:AK,'Hướng dẫn'!AI:AI)</f>
        <v>Leather Dark Brown Patina</v>
      </c>
    </row>
    <row r="40" spans="1:2">
      <c r="A40" t="s">
        <v>2448</v>
      </c>
      <c r="B40" t="str">
        <f>_xlfn.XLOOKUP(A40,'Hướng dẫn'!AK:AK,'Hướng dẫn'!AI:AI)</f>
        <v>black wash right red</v>
      </c>
    </row>
    <row r="41" spans="1:2">
      <c r="A41" t="s">
        <v>3633</v>
      </c>
      <c r="B41" t="str">
        <f>_xlfn.XLOOKUP(A41,'Hướng dẫn'!AK:AK,'Hướng dẫn'!AI:AI)</f>
        <v>Saigon Leather</v>
      </c>
    </row>
    <row r="42" spans="1:2">
      <c r="A42" t="s">
        <v>3609</v>
      </c>
      <c r="B42" t="str">
        <f>_xlfn.XLOOKUP(A42,'Hướng dẫn'!AK:AK,'Hướng dẫn'!AI:AI)</f>
        <v>Red Patina</v>
      </c>
    </row>
    <row r="43" spans="1:2">
      <c r="A43" t="s">
        <v>2921</v>
      </c>
      <c r="B43" t="str">
        <f>_xlfn.XLOOKUP(A43,'Hướng dẫn'!AK:AK,'Hướng dẫn'!AI:AI)</f>
        <v>Cobalt</v>
      </c>
    </row>
    <row r="44" spans="1:2">
      <c r="A44" t="s">
        <v>3040</v>
      </c>
      <c r="B44" t="str">
        <f>_xlfn.XLOOKUP(A44,'Hướng dẫn'!AK:AK,'Hướng dẫn'!AI:AI)</f>
        <v>Dark Brown Patina</v>
      </c>
    </row>
    <row r="45" spans="1:2">
      <c r="A45" t="s">
        <v>2974</v>
      </c>
      <c r="B45" t="str">
        <f>_xlfn.XLOOKUP(A45,'Hướng dẫn'!AK:AK,'Hướng dẫn'!AI:AI)</f>
        <v>Cream</v>
      </c>
    </row>
    <row r="46" spans="1:2">
      <c r="A46" t="s">
        <v>3579</v>
      </c>
      <c r="B46" t="str">
        <f>_xlfn.XLOOKUP(A46,'Hướng dẫn'!AK:AK,'Hướng dẫn'!AI:AI)</f>
        <v>Red Black</v>
      </c>
    </row>
    <row r="47" spans="1:2">
      <c r="A47" t="s">
        <v>3508</v>
      </c>
      <c r="B47" t="str">
        <f>_xlfn.XLOOKUP(A47,'Hướng dẫn'!AK:AK,'Hướng dẫn'!AI:AI)</f>
        <v>PEACH</v>
      </c>
    </row>
    <row r="48" spans="1:2">
      <c r="A48" t="s">
        <v>2871</v>
      </c>
      <c r="B48" t="str">
        <f>_xlfn.XLOOKUP(A48,'Hướng dẫn'!AK:AK,'Hướng dẫn'!AI:AI)</f>
        <v>CHO</v>
      </c>
    </row>
    <row r="49" spans="1:2">
      <c r="A49" t="s">
        <v>2565</v>
      </c>
      <c r="B49" t="str">
        <f>_xlfn.XLOOKUP(A49,'Hướng dẫn'!AK:AK,'Hướng dẫn'!AI:AI)</f>
        <v>Blue Patina</v>
      </c>
    </row>
    <row r="50" spans="1:2">
      <c r="A50" t="s">
        <v>3684</v>
      </c>
      <c r="B50" t="str">
        <f>_xlfn.XLOOKUP(A50,'Hướng dẫn'!AK:AK,'Hướng dẫn'!AI:AI)</f>
        <v>Turquoise</v>
      </c>
    </row>
    <row r="51" spans="1:2">
      <c r="A51" t="s">
        <v>3411</v>
      </c>
      <c r="B51" t="str">
        <f>_xlfn.XLOOKUP(A51,'Hướng dẫn'!AK:AK,'Hướng dẫn'!AI:AI)</f>
        <v>Midnight Blue</v>
      </c>
    </row>
    <row r="52" spans="1:2">
      <c r="A52" t="s">
        <v>3718</v>
      </c>
      <c r="B52" t="str">
        <f>_xlfn.XLOOKUP(A52,'Hướng dẫn'!AK:AK,'Hướng dẫn'!AI:AI)</f>
        <v>Violet</v>
      </c>
    </row>
    <row r="53" spans="1:2">
      <c r="A53" t="s">
        <v>2316</v>
      </c>
      <c r="B53" t="str">
        <f>_xlfn.XLOOKUP(A53,'Hướng dẫn'!AK:AK,'Hướng dẫn'!AI:AI)</f>
        <v>Heather</v>
      </c>
    </row>
    <row r="54" spans="1:2">
      <c r="A54" t="s">
        <v>3095</v>
      </c>
      <c r="B54" t="str">
        <f>_xlfn.XLOOKUP(A54,'Hướng dẫn'!AK:AK,'Hướng dẫn'!AI:AI)</f>
        <v>Dark Pink</v>
      </c>
    </row>
    <row r="55" spans="1:2">
      <c r="A55" t="s">
        <v>3206</v>
      </c>
      <c r="B55" t="str">
        <f>_xlfn.XLOOKUP(A55,'Hướng dẫn'!AK:AK,'Hướng dẫn'!AI:AI)</f>
        <v>Gothic</v>
      </c>
    </row>
    <row r="56" spans="1:2">
      <c r="A56" t="s">
        <v>6571</v>
      </c>
      <c r="B56" t="e">
        <f>_xlfn.XLOOKUP(A56,'Hướng dẫn'!AK:AK,'Hướng dẫn'!AI:AI)</f>
        <v>#N/A</v>
      </c>
    </row>
    <row r="57" spans="1:2">
      <c r="A57" t="s">
        <v>3696</v>
      </c>
      <c r="B57" t="str">
        <f>_xlfn.XLOOKUP(A57,'Hướng dẫn'!AK:AK,'Hướng dẫn'!AI:AI)</f>
        <v>Turquoise Marble</v>
      </c>
    </row>
    <row r="58" spans="1:2">
      <c r="A58" t="s">
        <v>3440</v>
      </c>
      <c r="B58" t="str">
        <f>_xlfn.XLOOKUP(A58,'Hướng dẫn'!AK:AK,'Hướng dẫn'!AI:AI)</f>
        <v>Mint purple</v>
      </c>
    </row>
    <row r="59" spans="1:2">
      <c r="A59" t="s">
        <v>2145</v>
      </c>
      <c r="B59" t="str">
        <f>_xlfn.XLOOKUP(A59,'Hướng dẫn'!AK:AK,'Hướng dẫn'!AI:AI)</f>
        <v>Army</v>
      </c>
    </row>
    <row r="60" spans="1:2">
      <c r="A60" t="s">
        <v>2854</v>
      </c>
      <c r="B60" t="str">
        <f>_xlfn.XLOOKUP(A60,'Hướng dẫn'!AK:AK,'Hướng dẫn'!AI:AI)</f>
        <v>Chestnut</v>
      </c>
    </row>
    <row r="61" spans="1:2">
      <c r="A61" t="s">
        <v>3060</v>
      </c>
      <c r="B61" t="str">
        <f>_xlfn.XLOOKUP(A61,'Hướng dẫn'!AK:AK,'Hướng dẫn'!AI:AI)</f>
        <v>Dark Green</v>
      </c>
    </row>
    <row r="62" spans="1:2">
      <c r="A62" t="s">
        <v>2814</v>
      </c>
      <c r="B62" t="str">
        <f>_xlfn.XLOOKUP(A62,'Hướng dẫn'!AK:AK,'Hướng dẫn'!AI:AI)</f>
        <v>Camel</v>
      </c>
    </row>
    <row r="63" spans="1:2">
      <c r="A63" t="s">
        <v>3720</v>
      </c>
      <c r="B63" t="str">
        <f>_xlfn.XLOOKUP(A63,'Hướng dẫn'!AK:AK,'Hướng dẫn'!AI:AI)</f>
        <v>Warm Olive</v>
      </c>
    </row>
    <row r="64" spans="1:2">
      <c r="A64" t="s">
        <v>2574</v>
      </c>
      <c r="B64" t="str">
        <f>_xlfn.XLOOKUP(A64,'Hướng dẫn'!AK:AK,'Hướng dẫn'!AI:AI)</f>
        <v>Deep Red Black</v>
      </c>
    </row>
    <row r="65" spans="1:2">
      <c r="A65" t="s">
        <v>3115</v>
      </c>
      <c r="B65" t="str">
        <f>_xlfn.XLOOKUP(A65,'Hướng dẫn'!AK:AK,'Hướng dẫn'!AI:AI)</f>
        <v>Dark Red</v>
      </c>
    </row>
    <row r="66" spans="1:2">
      <c r="A66" t="s">
        <v>3219</v>
      </c>
      <c r="B66" t="str">
        <f>_xlfn.XLOOKUP(A66,'Hướng dẫn'!AK:AK,'Hướng dẫn'!AI:AI)</f>
        <v>Green Black Patina</v>
      </c>
    </row>
    <row r="67" spans="1:2">
      <c r="A67" t="s">
        <v>3156</v>
      </c>
      <c r="B67" t="str">
        <f>_xlfn.XLOOKUP(A67,'Hướng dẫn'!AK:AK,'Hướng dẫn'!AI:AI)</f>
        <v>English Manor</v>
      </c>
    </row>
    <row r="68" spans="1:2">
      <c r="A68" t="s">
        <v>2689</v>
      </c>
      <c r="B68" t="str">
        <f>_xlfn.XLOOKUP(A68,'Hướng dẫn'!AK:AK,'Hướng dẫn'!AI:AI)</f>
        <v>Bulgaro</v>
      </c>
    </row>
    <row r="69" spans="1:2">
      <c r="A69" t="s">
        <v>3239</v>
      </c>
      <c r="B69" t="str">
        <f>_xlfn.XLOOKUP(A69,'Hướng dẫn'!AK:AK,'Hướng dẫn'!AI:AI)</f>
        <v>Green Police</v>
      </c>
    </row>
    <row r="70" spans="1:2">
      <c r="A70" t="s">
        <v>3543</v>
      </c>
      <c r="B70" t="str">
        <f>_xlfn.XLOOKUP(A70,'Hướng dẫn'!AK:AK,'Hướng dẫn'!AI:AI)</f>
        <v>Purple Black Patina</v>
      </c>
    </row>
    <row r="71" spans="1:2">
      <c r="A71" t="s">
        <v>2097</v>
      </c>
      <c r="B71" t="str">
        <f>_xlfn.XLOOKUP(A71,'Hướng dẫn'!AK:AK,'Hướng dẫn'!AI:AI)</f>
        <v>Almond Toast</v>
      </c>
    </row>
    <row r="72" spans="1:2">
      <c r="A72" t="s">
        <v>2931</v>
      </c>
      <c r="B72" t="str">
        <f>_xlfn.XLOOKUP(A72,'Hướng dẫn'!AK:AK,'Hướng dẫn'!AI:AI)</f>
        <v>Cobalt Midnight Blue</v>
      </c>
    </row>
    <row r="73" spans="1:2">
      <c r="A73" t="s">
        <v>3135</v>
      </c>
      <c r="B73" t="str">
        <f>_xlfn.XLOOKUP(A73,'Hướng dẫn'!AK:AK,'Hướng dẫn'!AI:AI)</f>
        <v>Deep Red</v>
      </c>
    </row>
    <row r="74" spans="1:2">
      <c r="A74" t="s">
        <v>2491</v>
      </c>
      <c r="B74" t="str">
        <f>_xlfn.XLOOKUP(A74,'Hướng dẫn'!AK:AK,'Hướng dẫn'!AI:AI)</f>
        <v>Blue Depths</v>
      </c>
    </row>
    <row r="75" spans="1:2">
      <c r="A75" t="s">
        <v>3639</v>
      </c>
      <c r="B75" t="str">
        <f>_xlfn.XLOOKUP(A75,'Hướng dẫn'!AK:AK,'Hướng dẫn'!AI:AI)</f>
        <v>SESAME</v>
      </c>
    </row>
    <row r="76" spans="1:2">
      <c r="A76" t="s">
        <v>3402</v>
      </c>
      <c r="B76" t="str">
        <f>_xlfn.XLOOKUP(A76,'Hướng dẫn'!AK:AK,'Hướng dẫn'!AI:AI)</f>
        <v>LYCHEE</v>
      </c>
    </row>
    <row r="77" spans="1:2">
      <c r="A77" t="s">
        <v>3324</v>
      </c>
      <c r="B77" t="e">
        <f>_xlfn.XLOOKUP(A77,'Hướng dẫn'!AK:AK,'Hướng dẫn'!AI:AI)</f>
        <v>#N/A</v>
      </c>
    </row>
    <row r="78" spans="1:2">
      <c r="A78" t="s">
        <v>3761</v>
      </c>
      <c r="B78" t="str">
        <f>_xlfn.XLOOKUP(A78,'Hướng dẫn'!AK:AK,'Hướng dẫn'!AI:AI)</f>
        <v>yellow wash leather</v>
      </c>
    </row>
    <row r="79" spans="1:2">
      <c r="A79" t="s">
        <v>2761</v>
      </c>
      <c r="B79" t="str">
        <f>_xlfn.XLOOKUP(A79,'Hướng dẫn'!AK:AK,'Hướng dẫn'!AI:AI)</f>
        <v>Burgundy Blak Midnight Blue</v>
      </c>
    </row>
    <row r="80" spans="1:2">
      <c r="A80" t="s">
        <v>3214</v>
      </c>
      <c r="B80" t="str">
        <f>_xlfn.XLOOKUP(A80,'Hướng dẫn'!AK:AK,'Hướng dẫn'!AI:AI)</f>
        <v>Leather</v>
      </c>
    </row>
    <row r="81" spans="1:2">
      <c r="A81" t="s">
        <v>2623</v>
      </c>
      <c r="B81" t="str">
        <f>_xlfn.XLOOKUP(A81,'Hướng dẫn'!AK:AK,'Hướng dẫn'!AI:AI)</f>
        <v>Bright Red Patina</v>
      </c>
    </row>
    <row r="82" spans="1:2">
      <c r="A82" t="s">
        <v>3191</v>
      </c>
      <c r="B82" t="str">
        <f>_xlfn.XLOOKUP(A82,'Hướng dẫn'!AK:AK,'Hướng dẫn'!AI:AI)</f>
        <v>fuxia red wash black</v>
      </c>
    </row>
    <row r="83" spans="1:2">
      <c r="A83" t="s">
        <v>2522</v>
      </c>
      <c r="B83" t="str">
        <f>_xlfn.XLOOKUP(A83,'Hướng dẫn'!AK:AK,'Hướng dẫn'!AI:AI)</f>
        <v>Blue Jewel</v>
      </c>
    </row>
    <row r="84" spans="1:2">
      <c r="A84" t="s">
        <v>3443</v>
      </c>
      <c r="B84" t="str">
        <f>_xlfn.XLOOKUP(A84,'Hướng dẫn'!AK:AK,'Hướng dẫn'!AI:AI)</f>
        <v>Moonless Night</v>
      </c>
    </row>
    <row r="85" spans="1:2">
      <c r="A85" t="s">
        <v>3347</v>
      </c>
      <c r="B85" t="str">
        <f>_xlfn.XLOOKUP(A85,'Hướng dẫn'!AK:AK,'Hướng dẫn'!AI:AI)</f>
        <v>leather patina</v>
      </c>
    </row>
    <row r="86" spans="1:2">
      <c r="A86" t="s">
        <v>3052</v>
      </c>
      <c r="B86" t="str">
        <f>_xlfn.XLOOKUP(A86,'Hướng dẫn'!AK:AK,'Hướng dẫn'!AI:AI)</f>
        <v>Dark Brown Wash</v>
      </c>
    </row>
    <row r="87" spans="1:2">
      <c r="A87" t="s">
        <v>3665</v>
      </c>
      <c r="B87" t="str">
        <f>_xlfn.XLOOKUP(A87,'Hướng dẫn'!AK:AK,'Hướng dẫn'!AI:AI)</f>
        <v>Taupe</v>
      </c>
    </row>
    <row r="88" spans="1:2">
      <c r="A88" t="s">
        <v>3596</v>
      </c>
      <c r="B88" t="str">
        <f>_xlfn.XLOOKUP(A88,'Hướng dẫn'!AK:AK,'Hướng dẫn'!AI:AI)</f>
        <v>RED BURGUNDY</v>
      </c>
    </row>
    <row r="89" spans="1:2">
      <c r="A89" t="s">
        <v>3232</v>
      </c>
      <c r="B89" t="str">
        <f>_xlfn.XLOOKUP(A89,'Hướng dẫn'!AK:AK,'Hướng dẫn'!AI:AI)</f>
        <v>Green Marble</v>
      </c>
    </row>
    <row r="90" spans="1:2">
      <c r="A90" t="s">
        <v>3589</v>
      </c>
      <c r="B90" t="str">
        <f>_xlfn.XLOOKUP(A90,'Hướng dẫn'!AK:AK,'Hướng dẫn'!AI:AI)</f>
        <v>Red Black Patina</v>
      </c>
    </row>
    <row r="91" spans="1:2">
      <c r="A91" t="s">
        <v>2384</v>
      </c>
      <c r="B91" t="str">
        <f>_xlfn.XLOOKUP(A91,'Hướng dẫn'!AK:AK,'Hướng dẫn'!AI:AI)</f>
        <v>Black Shinny</v>
      </c>
    </row>
    <row r="92" spans="1:2">
      <c r="A92" t="s">
        <v>2290</v>
      </c>
      <c r="B92" t="str">
        <f>_xlfn.XLOOKUP(A92,'Hướng dẫn'!AK:AK,'Hướng dẫn'!AI:AI)</f>
        <v>Cappuccino</v>
      </c>
    </row>
    <row r="93" spans="1:2">
      <c r="A93" t="s">
        <v>2367</v>
      </c>
      <c r="B93" t="str">
        <f>_xlfn.XLOOKUP(A93,'Hướng dẫn'!AK:AK,'Hướng dẫn'!AI:AI)</f>
        <v>Black Dark Brown</v>
      </c>
    </row>
    <row r="94" spans="1:2">
      <c r="A94" t="s">
        <v>2195</v>
      </c>
      <c r="B94" t="str">
        <f>_xlfn.XLOOKUP(A94,'Hướng dẫn'!AK:AK,'Hướng dẫn'!AI:AI)</f>
        <v>Baby Blue</v>
      </c>
    </row>
    <row r="95" spans="1:2">
      <c r="A95" t="s">
        <v>3237</v>
      </c>
      <c r="B95" t="str">
        <f>_xlfn.XLOOKUP(A95,'Hướng dẫn'!AK:AK,'Hướng dẫn'!AI:AI)</f>
        <v>Green Patina</v>
      </c>
    </row>
    <row r="96" spans="1:2">
      <c r="A96" t="s">
        <v>2960</v>
      </c>
      <c r="B96" t="str">
        <f>_xlfn.XLOOKUP(A96,'Hướng dẫn'!AK:AK,'Hướng dẫn'!AI:AI)</f>
        <v>Cobalt Patina</v>
      </c>
    </row>
    <row r="97" spans="1:2">
      <c r="A97" t="s">
        <v>3564</v>
      </c>
      <c r="B97" t="str">
        <f>_xlfn.XLOOKUP(A97,'Hướng dẫn'!AK:AK,'Hướng dẫn'!AI:AI)</f>
        <v>Rainbow</v>
      </c>
    </row>
    <row r="98" spans="1:2">
      <c r="A98" t="s">
        <v>3308</v>
      </c>
      <c r="B98" t="str">
        <f>_xlfn.XLOOKUP(A98,'Hướng dẫn'!AK:AK,'Hướng dẫn'!AI:AI)</f>
        <v>Havana Yellow Patina</v>
      </c>
    </row>
    <row r="99" spans="1:2">
      <c r="A99" t="s">
        <v>3675</v>
      </c>
      <c r="B99" t="str">
        <f>_xlfn.XLOOKUP(A99,'Hướng dẫn'!AK:AK,'Hướng dẫn'!AI:AI)</f>
        <v>Tobaco with embossed sand</v>
      </c>
    </row>
    <row r="100" spans="1:2">
      <c r="A100" t="s">
        <v>2986</v>
      </c>
      <c r="B100" t="str">
        <f>_xlfn.XLOOKUP(A100,'Hướng dẫn'!AK:AK,'Hướng dẫn'!AI:AI)</f>
        <v>Creamy Green</v>
      </c>
    </row>
    <row r="101" spans="1:2">
      <c r="A101" t="s">
        <v>3245</v>
      </c>
      <c r="B101" t="str">
        <f>_xlfn.XLOOKUP(A101,'Hướng dẫn'!AK:AK,'Hướng dẫn'!AI:AI)</f>
        <v>Green Wash</v>
      </c>
    </row>
    <row r="102" spans="1:2">
      <c r="A102" t="s">
        <v>2219</v>
      </c>
      <c r="B102" t="str">
        <f>_xlfn.XLOOKUP(A102,'Hướng dẫn'!AK:AK,'Hướng dẫn'!AI:AI)</f>
        <v>Brown Purple Patina</v>
      </c>
    </row>
    <row r="103" spans="1:2">
      <c r="A103" t="s">
        <v>3256</v>
      </c>
      <c r="B103" t="str">
        <f>_xlfn.XLOOKUP(A103,'Hướng dẫn'!AK:AK,'Hướng dẫn'!AI:AI)</f>
        <v>Grey Black</v>
      </c>
    </row>
    <row r="104" spans="1:2">
      <c r="A104" t="s">
        <v>2911</v>
      </c>
      <c r="B104" t="str">
        <f>_xlfn.XLOOKUP(A104,'Hướng dẫn'!AK:AK,'Hướng dẫn'!AI:AI)</f>
        <v>Chocolate Patina</v>
      </c>
    </row>
    <row r="105" spans="1:2">
      <c r="A105" t="s">
        <v>1983</v>
      </c>
      <c r="B105" t="str">
        <f>_xlfn.XLOOKUP(A105,'Hướng dẫn'!AK:AK,'Hướng dẫn'!AI:AI)</f>
        <v xml:space="preserve">
Havana Black</v>
      </c>
    </row>
    <row r="106" spans="1:2">
      <c r="A106" t="s">
        <v>3469</v>
      </c>
      <c r="B106" t="str">
        <f>_xlfn.XLOOKUP(A106,'Hướng dẫn'!AK:AK,'Hướng dẫn'!AI:AI)</f>
        <v>Olive Patina</v>
      </c>
    </row>
    <row r="107" spans="1:2">
      <c r="A107" t="s">
        <v>3744</v>
      </c>
      <c r="B107" t="str">
        <f>_xlfn.XLOOKUP(A107,'Hướng dẫn'!AK:AK,'Hướng dẫn'!AI:AI)</f>
        <v>Yellow Marble</v>
      </c>
    </row>
    <row r="108" spans="1:2">
      <c r="A108" t="s">
        <v>3660</v>
      </c>
      <c r="B108" t="str">
        <f>_xlfn.XLOOKUP(A108,'Hướng dẫn'!AK:AK,'Hướng dẫn'!AI:AI)</f>
        <v>Tan Chocolate</v>
      </c>
    </row>
    <row r="109" spans="1:2">
      <c r="A109" t="s">
        <v>3386</v>
      </c>
      <c r="B109" t="str">
        <f>_xlfn.XLOOKUP(A109,'Hướng dẫn'!AK:AK,'Hướng dẫn'!AI:AI)</f>
        <v>Lime Green Wash</v>
      </c>
    </row>
    <row r="110" spans="1:2">
      <c r="A110" t="s">
        <v>3505</v>
      </c>
      <c r="B110" t="str">
        <f>_xlfn.XLOOKUP(A110,'Hướng dẫn'!AK:AK,'Hướng dẫn'!AI:AI)</f>
        <v>PARDOT</v>
      </c>
    </row>
    <row r="111" spans="1:2">
      <c r="A111" t="s">
        <v>2335</v>
      </c>
      <c r="B111" t="str">
        <f>_xlfn.XLOOKUP(A111,'Hướng dẫn'!AK:AK,'Hướng dẫn'!AI:AI)</f>
        <v>Black and White</v>
      </c>
    </row>
    <row r="112" spans="1:2">
      <c r="A112" t="s">
        <v>3616</v>
      </c>
      <c r="B112" t="str">
        <f>_xlfn.XLOOKUP(A112,'Hướng dẫn'!AK:AK,'Hướng dẫn'!AI:AI)</f>
        <v>Red Plum</v>
      </c>
    </row>
    <row r="113" spans="1:2">
      <c r="A113" t="s">
        <v>2379</v>
      </c>
      <c r="B113" t="str">
        <f>_xlfn.XLOOKUP(A113,'Hướng dẫn'!AK:AK,'Hướng dẫn'!AI:AI)</f>
        <v>Sliver</v>
      </c>
    </row>
    <row r="114" spans="1:2">
      <c r="A114" t="s">
        <v>2349</v>
      </c>
      <c r="B114" t="str">
        <f>_xlfn.XLOOKUP(A114,'Hướng dẫn'!AK:AK,'Hướng dẫn'!AI:AI)</f>
        <v>Chestnut Patina</v>
      </c>
    </row>
    <row r="115" spans="1:2">
      <c r="A115" t="s">
        <v>3600</v>
      </c>
      <c r="B115" t="str">
        <f>_xlfn.XLOOKUP(A115,'Hướng dẫn'!AK:AK,'Hướng dẫn'!AI:AI)</f>
        <v>Red Dot</v>
      </c>
    </row>
    <row r="116" spans="1:2">
      <c r="A116" t="s">
        <v>3285</v>
      </c>
      <c r="B116" t="str">
        <f>_xlfn.XLOOKUP(A116,'Hướng dẫn'!AK:AK,'Hướng dẫn'!AI:AI)</f>
        <v>Havana Green Marble</v>
      </c>
    </row>
    <row r="117" spans="1:2">
      <c r="A117" t="s">
        <v>2030</v>
      </c>
      <c r="B117" t="str">
        <f>_xlfn.XLOOKUP(A117,'Hướng dẫn'!AK:AK,'Hướng dẫn'!AI:AI)</f>
        <v xml:space="preserve">
Natural</v>
      </c>
    </row>
    <row r="118" spans="1:2">
      <c r="A118" t="s">
        <v>2411</v>
      </c>
      <c r="B118" t="str">
        <f>_xlfn.XLOOKUP(A118,'Hướng dẫn'!AK:AK,'Hướng dẫn'!AI:AI)</f>
        <v>San</v>
      </c>
    </row>
    <row r="119" spans="1:2">
      <c r="A119" t="s">
        <v>3106</v>
      </c>
      <c r="B119" t="str">
        <f>_xlfn.XLOOKUP(A119,'Hướng dẫn'!AK:AK,'Hướng dẫn'!AI:AI)</f>
        <v>Dark Purple</v>
      </c>
    </row>
    <row r="120" spans="1:2">
      <c r="A120" t="s">
        <v>2993</v>
      </c>
      <c r="B120" t="str">
        <f>_xlfn.XLOOKUP(A120,'Hướng dẫn'!AK:AK,'Hướng dẫn'!AI:AI)</f>
        <v>Cremisi</v>
      </c>
    </row>
    <row r="121" spans="1:2">
      <c r="A121" t="s">
        <v>3283</v>
      </c>
      <c r="B121" t="str">
        <f>_xlfn.XLOOKUP(A121,'Hướng dẫn'!AK:AK,'Hướng dẫn'!AI:AI)</f>
        <v>Havana Brown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E6DB1-DF51-492E-A8C3-DD775B69677F}">
  <dimension ref="A1:B66"/>
  <sheetViews>
    <sheetView workbookViewId="0">
      <selection activeCell="D13" sqref="D13"/>
    </sheetView>
  </sheetViews>
  <sheetFormatPr defaultRowHeight="14"/>
  <sheetData>
    <row r="1" spans="1:2">
      <c r="A1" s="275" t="s">
        <v>4455</v>
      </c>
      <c r="B1" s="275" t="s">
        <v>6505</v>
      </c>
    </row>
    <row r="2" spans="1:2">
      <c r="A2" s="275" t="s">
        <v>2416</v>
      </c>
      <c r="B2" s="275" t="s">
        <v>2416</v>
      </c>
    </row>
    <row r="3" spans="1:2">
      <c r="A3" s="275" t="s">
        <v>2146</v>
      </c>
      <c r="B3" s="275" t="s">
        <v>2146</v>
      </c>
    </row>
    <row r="4" spans="1:2">
      <c r="A4" s="275" t="s">
        <v>2181</v>
      </c>
      <c r="B4" s="275" t="s">
        <v>2181</v>
      </c>
    </row>
    <row r="5" spans="1:2">
      <c r="A5" s="275" t="s">
        <v>2783</v>
      </c>
      <c r="B5" s="275" t="s">
        <v>2783</v>
      </c>
    </row>
    <row r="6" spans="1:2">
      <c r="A6" s="275" t="s">
        <v>1939</v>
      </c>
      <c r="B6" s="275" t="s">
        <v>1939</v>
      </c>
    </row>
    <row r="7" spans="1:2">
      <c r="A7" s="275" t="s">
        <v>2507</v>
      </c>
      <c r="B7" s="275" t="s">
        <v>2507</v>
      </c>
    </row>
    <row r="8" spans="1:2">
      <c r="A8" s="275" t="s">
        <v>6572</v>
      </c>
      <c r="B8" s="275" t="s">
        <v>6572</v>
      </c>
    </row>
    <row r="9" spans="1:2">
      <c r="A9" s="275" t="s">
        <v>2114</v>
      </c>
      <c r="B9" s="275" t="s">
        <v>2114</v>
      </c>
    </row>
    <row r="10" spans="1:2">
      <c r="A10" s="275" t="s">
        <v>2751</v>
      </c>
      <c r="B10" s="275" t="s">
        <v>2751</v>
      </c>
    </row>
    <row r="11" spans="1:2">
      <c r="A11" s="275" t="s">
        <v>2127</v>
      </c>
      <c r="B11" s="275" t="s">
        <v>2837</v>
      </c>
    </row>
    <row r="12" spans="1:2">
      <c r="A12" s="275" t="s">
        <v>6573</v>
      </c>
      <c r="B12" s="275" t="s">
        <v>6581</v>
      </c>
    </row>
    <row r="13" spans="1:2">
      <c r="A13" s="275" t="s">
        <v>2353</v>
      </c>
      <c r="B13" s="275" t="s">
        <v>2353</v>
      </c>
    </row>
    <row r="14" spans="1:2">
      <c r="A14" s="275" t="s">
        <v>2793</v>
      </c>
      <c r="B14" s="275" t="s">
        <v>2793</v>
      </c>
    </row>
    <row r="15" spans="1:2">
      <c r="A15" s="275" t="s">
        <v>2163</v>
      </c>
      <c r="B15" s="275" t="s">
        <v>2163</v>
      </c>
    </row>
    <row r="16" spans="1:2">
      <c r="A16" s="275" t="s">
        <v>2432</v>
      </c>
      <c r="B16" s="275" t="s">
        <v>2432</v>
      </c>
    </row>
    <row r="17" spans="1:2">
      <c r="A17" s="275" t="s">
        <v>2254</v>
      </c>
      <c r="B17" s="275" t="s">
        <v>2254</v>
      </c>
    </row>
    <row r="18" spans="1:2">
      <c r="A18" s="275" t="s">
        <v>2098</v>
      </c>
      <c r="B18" s="275" t="s">
        <v>2098</v>
      </c>
    </row>
    <row r="19" spans="1:2">
      <c r="A19" s="275" t="s">
        <v>2267</v>
      </c>
      <c r="B19" s="275" t="s">
        <v>2267</v>
      </c>
    </row>
    <row r="20" spans="1:2">
      <c r="A20" s="275" t="s">
        <v>2449</v>
      </c>
      <c r="B20" s="275" t="s">
        <v>2449</v>
      </c>
    </row>
    <row r="21" spans="1:2">
      <c r="A21" s="275" t="s">
        <v>2463</v>
      </c>
      <c r="B21" s="275" t="s">
        <v>2463</v>
      </c>
    </row>
    <row r="22" spans="1:2">
      <c r="A22" s="275" t="s">
        <v>2336</v>
      </c>
      <c r="B22" s="275" t="s">
        <v>2336</v>
      </c>
    </row>
    <row r="23" spans="1:2">
      <c r="A23" s="275" t="s">
        <v>2699</v>
      </c>
      <c r="B23" s="275" t="s">
        <v>2699</v>
      </c>
    </row>
    <row r="24" spans="1:2">
      <c r="A24" s="275" t="s">
        <v>2646</v>
      </c>
      <c r="B24" s="275" t="s">
        <v>2646</v>
      </c>
    </row>
    <row r="25" spans="1:2">
      <c r="A25" s="275" t="s">
        <v>6574</v>
      </c>
      <c r="B25" s="275" t="s">
        <v>6581</v>
      </c>
    </row>
    <row r="26" spans="1:2">
      <c r="A26" s="275" t="s">
        <v>2368</v>
      </c>
      <c r="B26" s="275" t="s">
        <v>2368</v>
      </c>
    </row>
    <row r="27" spans="1:2">
      <c r="A27" s="275" t="s">
        <v>2523</v>
      </c>
      <c r="B27" s="275" t="s">
        <v>2523</v>
      </c>
    </row>
    <row r="28" spans="1:2">
      <c r="A28" s="275" t="s">
        <v>2855</v>
      </c>
      <c r="B28" s="275" t="s">
        <v>2855</v>
      </c>
    </row>
    <row r="29" spans="1:2">
      <c r="A29" s="275" t="s">
        <v>6575</v>
      </c>
      <c r="B29" s="275" t="s">
        <v>6581</v>
      </c>
    </row>
    <row r="30" spans="1:2">
      <c r="A30" s="275" t="s">
        <v>2294</v>
      </c>
      <c r="B30" s="275" t="s">
        <v>2294</v>
      </c>
    </row>
    <row r="31" spans="1:2">
      <c r="A31" s="275" t="s">
        <v>2223</v>
      </c>
      <c r="B31" s="275" t="s">
        <v>2223</v>
      </c>
    </row>
    <row r="32" spans="1:2">
      <c r="A32" s="275" t="s">
        <v>2306</v>
      </c>
      <c r="B32" s="275" t="s">
        <v>2306</v>
      </c>
    </row>
    <row r="33" spans="1:2">
      <c r="A33" s="275" t="s">
        <v>2280</v>
      </c>
      <c r="B33" s="275" t="s">
        <v>2280</v>
      </c>
    </row>
    <row r="34" spans="1:2">
      <c r="A34" s="275" t="s">
        <v>2566</v>
      </c>
      <c r="B34" s="275" t="s">
        <v>2566</v>
      </c>
    </row>
    <row r="35" spans="1:2">
      <c r="A35" s="275" t="s">
        <v>2888</v>
      </c>
      <c r="B35" s="275" t="s">
        <v>6581</v>
      </c>
    </row>
    <row r="36" spans="1:2">
      <c r="A36" s="275" t="s">
        <v>2912</v>
      </c>
      <c r="B36" s="275" t="s">
        <v>6581</v>
      </c>
    </row>
    <row r="37" spans="1:2">
      <c r="A37" s="275" t="s">
        <v>2323</v>
      </c>
      <c r="B37" s="275" t="s">
        <v>2323</v>
      </c>
    </row>
    <row r="38" spans="1:2">
      <c r="A38" s="275" t="s">
        <v>2492</v>
      </c>
      <c r="B38" s="275" t="s">
        <v>2492</v>
      </c>
    </row>
    <row r="39" spans="1:2">
      <c r="A39" s="275" t="s">
        <v>6576</v>
      </c>
      <c r="B39" s="275" t="s">
        <v>6581</v>
      </c>
    </row>
    <row r="40" spans="1:2">
      <c r="A40" s="275" t="s">
        <v>2762</v>
      </c>
      <c r="B40" s="275" t="s">
        <v>2762</v>
      </c>
    </row>
    <row r="41" spans="1:2">
      <c r="A41" s="275" t="s">
        <v>2580</v>
      </c>
      <c r="B41" s="275" t="s">
        <v>2580</v>
      </c>
    </row>
    <row r="42" spans="1:2">
      <c r="A42" s="275" t="s">
        <v>2624</v>
      </c>
      <c r="B42" s="275" t="s">
        <v>2624</v>
      </c>
    </row>
    <row r="43" spans="1:2">
      <c r="A43" s="275" t="s">
        <v>2667</v>
      </c>
      <c r="B43" s="275" t="s">
        <v>2667</v>
      </c>
    </row>
    <row r="44" spans="1:2">
      <c r="A44" s="275" t="s">
        <v>6577</v>
      </c>
      <c r="B44" s="275" t="s">
        <v>6581</v>
      </c>
    </row>
    <row r="45" spans="1:2">
      <c r="A45" s="275" t="s">
        <v>2636</v>
      </c>
      <c r="B45" s="275" t="s">
        <v>2636</v>
      </c>
    </row>
    <row r="46" spans="1:2">
      <c r="A46" s="275" t="s">
        <v>6578</v>
      </c>
      <c r="B46" s="275" t="s">
        <v>6581</v>
      </c>
    </row>
    <row r="47" spans="1:2">
      <c r="A47" s="275" t="s">
        <v>2537</v>
      </c>
      <c r="B47" s="275" t="s">
        <v>2537</v>
      </c>
    </row>
    <row r="48" spans="1:2">
      <c r="A48" s="275" t="s">
        <v>2734</v>
      </c>
      <c r="B48" s="275" t="s">
        <v>2734</v>
      </c>
    </row>
    <row r="49" spans="1:2">
      <c r="A49" s="275" t="s">
        <v>2804</v>
      </c>
      <c r="B49" s="275" t="s">
        <v>2804</v>
      </c>
    </row>
    <row r="50" spans="1:2">
      <c r="A50" s="275" t="s">
        <v>2592</v>
      </c>
      <c r="B50" s="275" t="s">
        <v>2592</v>
      </c>
    </row>
    <row r="51" spans="1:2">
      <c r="A51" s="275" t="s">
        <v>2544</v>
      </c>
      <c r="B51" s="275" t="s">
        <v>2544</v>
      </c>
    </row>
    <row r="52" spans="1:2">
      <c r="A52" s="275" t="s">
        <v>2900</v>
      </c>
      <c r="B52" s="275" t="s">
        <v>6581</v>
      </c>
    </row>
    <row r="53" spans="1:2">
      <c r="A53" s="275" t="s">
        <v>2724</v>
      </c>
      <c r="B53" s="275" t="s">
        <v>2724</v>
      </c>
    </row>
    <row r="54" spans="1:2">
      <c r="A54" s="275" t="s">
        <v>2549</v>
      </c>
      <c r="B54" s="275" t="s">
        <v>2549</v>
      </c>
    </row>
    <row r="55" spans="1:2">
      <c r="A55" s="275" t="s">
        <v>2773</v>
      </c>
      <c r="B55" s="275" t="s">
        <v>2773</v>
      </c>
    </row>
    <row r="56" spans="1:2">
      <c r="A56" s="275" t="s">
        <v>2743</v>
      </c>
      <c r="B56" s="275" t="s">
        <v>2743</v>
      </c>
    </row>
    <row r="57" spans="1:2">
      <c r="A57" s="275" t="s">
        <v>2476</v>
      </c>
      <c r="B57" s="275" t="s">
        <v>2476</v>
      </c>
    </row>
    <row r="58" spans="1:2">
      <c r="A58" s="275" t="s">
        <v>2656</v>
      </c>
      <c r="B58" s="275" t="s">
        <v>2656</v>
      </c>
    </row>
    <row r="59" spans="1:2">
      <c r="A59" s="275" t="s">
        <v>2815</v>
      </c>
      <c r="B59" s="275" t="s">
        <v>2815</v>
      </c>
    </row>
    <row r="60" spans="1:2">
      <c r="A60" s="275" t="s">
        <v>6579</v>
      </c>
      <c r="B60" s="275" t="s">
        <v>6581</v>
      </c>
    </row>
    <row r="61" spans="1:2">
      <c r="A61" s="275" t="s">
        <v>2864</v>
      </c>
      <c r="B61" s="275" t="s">
        <v>2864</v>
      </c>
    </row>
    <row r="62" spans="1:2">
      <c r="A62" s="275" t="s">
        <v>2690</v>
      </c>
      <c r="B62" s="275" t="s">
        <v>2690</v>
      </c>
    </row>
    <row r="63" spans="1:2">
      <c r="A63" s="275" t="s">
        <v>2873</v>
      </c>
      <c r="B63" s="275" t="s">
        <v>2872</v>
      </c>
    </row>
    <row r="64" spans="1:2">
      <c r="A64" s="275" t="s">
        <v>2711</v>
      </c>
      <c r="B64" s="275" t="s">
        <v>2711</v>
      </c>
    </row>
    <row r="65" spans="1:2">
      <c r="A65" s="275" t="s">
        <v>6580</v>
      </c>
      <c r="B65" s="275" t="s">
        <v>6581</v>
      </c>
    </row>
    <row r="66" spans="1:2">
      <c r="A66" s="275" t="s">
        <v>2608</v>
      </c>
      <c r="B66" s="275" t="s">
        <v>2608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DD991-58FC-421C-8D0F-AE0CBF7CB4A2}">
  <sheetPr codeName="Sheet7"/>
  <dimension ref="A1:AN777"/>
  <sheetViews>
    <sheetView topLeftCell="AG24" zoomScale="85" zoomScaleNormal="85" workbookViewId="0">
      <selection activeCell="AA32" sqref="AA32"/>
    </sheetView>
  </sheetViews>
  <sheetFormatPr defaultColWidth="8" defaultRowHeight="14"/>
  <cols>
    <col min="1" max="1" width="8" style="15"/>
    <col min="2" max="2" width="30.58203125" style="15" customWidth="1"/>
    <col min="3" max="3" width="21.08203125" style="15" customWidth="1"/>
    <col min="4" max="4" width="15" style="15" customWidth="1"/>
    <col min="5" max="5" width="18.83203125" style="15" customWidth="1"/>
    <col min="6" max="6" width="9.08203125" style="15" customWidth="1"/>
    <col min="7" max="7" width="18.33203125" style="15" customWidth="1"/>
    <col min="8" max="8" width="10.58203125" style="15" customWidth="1"/>
    <col min="9" max="9" width="12.58203125" style="15" customWidth="1"/>
    <col min="10" max="10" width="24.5" style="15" customWidth="1"/>
    <col min="11" max="11" width="8" style="15"/>
    <col min="12" max="12" width="18" style="15" customWidth="1"/>
    <col min="13" max="13" width="10" style="15" customWidth="1"/>
    <col min="14" max="14" width="10.08203125" style="15" customWidth="1"/>
    <col min="15" max="15" width="12.75" style="15" customWidth="1"/>
    <col min="16" max="16" width="20.08203125" style="15" customWidth="1"/>
    <col min="17" max="17" width="11" style="161" customWidth="1"/>
    <col min="18" max="18" width="35.5" style="161" customWidth="1"/>
    <col min="19" max="19" width="27.75" style="161" customWidth="1"/>
    <col min="20" max="20" width="12.33203125" style="156" customWidth="1"/>
    <col min="21" max="21" width="11.5" style="156" customWidth="1"/>
    <col min="22" max="22" width="23.33203125" style="161" customWidth="1"/>
    <col min="23" max="23" width="6.33203125" style="15" customWidth="1"/>
    <col min="24" max="24" width="24.83203125" style="15" customWidth="1"/>
    <col min="25" max="25" width="30.08203125" style="15" customWidth="1"/>
    <col min="26" max="26" width="13.33203125" style="15" customWidth="1"/>
    <col min="27" max="27" width="26.5" style="15" customWidth="1"/>
    <col min="28" max="28" width="26.75" style="15" customWidth="1"/>
    <col min="29" max="29" width="9.58203125" style="15" customWidth="1"/>
    <col min="30" max="30" width="26.5" style="15" customWidth="1"/>
    <col min="31" max="31" width="21.5" style="17" customWidth="1"/>
    <col min="32" max="32" width="13.5" style="17" customWidth="1"/>
    <col min="33" max="33" width="28.5" style="15" customWidth="1"/>
    <col min="34" max="34" width="6.83203125" style="17" customWidth="1"/>
    <col min="35" max="35" width="32" style="17" customWidth="1"/>
    <col min="36" max="37" width="12.75" style="17" customWidth="1"/>
    <col min="38" max="38" width="6.83203125" style="15" customWidth="1"/>
    <col min="39" max="40" width="12.75" style="18" customWidth="1"/>
    <col min="41" max="16384" width="8" style="15"/>
  </cols>
  <sheetData>
    <row r="1" spans="1:40">
      <c r="A1" s="14" t="s">
        <v>1914</v>
      </c>
      <c r="Q1" s="15"/>
      <c r="R1" s="15"/>
      <c r="S1" s="15"/>
      <c r="T1" s="16"/>
      <c r="U1" s="16"/>
      <c r="V1" s="15"/>
    </row>
    <row r="2" spans="1:40">
      <c r="A2" s="14"/>
      <c r="O2" s="19"/>
      <c r="P2" s="19"/>
      <c r="Q2" s="15"/>
      <c r="R2" s="15"/>
      <c r="S2" s="15"/>
      <c r="T2" s="16"/>
      <c r="U2" s="16"/>
      <c r="V2" s="15"/>
    </row>
    <row r="3" spans="1:40" ht="22.5">
      <c r="A3" s="20" t="s">
        <v>1915</v>
      </c>
      <c r="N3" s="19"/>
      <c r="O3" s="19"/>
      <c r="P3" s="19"/>
      <c r="Q3" s="19"/>
      <c r="R3" s="19"/>
      <c r="S3" s="19"/>
      <c r="T3" s="21"/>
      <c r="U3" s="21"/>
      <c r="V3" s="19"/>
    </row>
    <row r="4" spans="1:40">
      <c r="A4" s="22"/>
      <c r="M4" s="19"/>
      <c r="N4" s="19"/>
      <c r="O4" s="19"/>
      <c r="P4" s="19"/>
      <c r="Q4" s="19"/>
      <c r="R4" s="19"/>
      <c r="S4" s="19"/>
      <c r="T4" s="21"/>
      <c r="U4" s="21"/>
      <c r="V4" s="19"/>
    </row>
    <row r="5" spans="1:40">
      <c r="A5" s="22" t="s">
        <v>1916</v>
      </c>
      <c r="M5" s="19"/>
      <c r="N5" s="19"/>
      <c r="O5" s="19"/>
      <c r="P5" s="19"/>
      <c r="Q5" s="19"/>
      <c r="R5" s="19"/>
      <c r="S5" s="19"/>
      <c r="T5" s="21"/>
      <c r="U5" s="21"/>
      <c r="V5" s="19"/>
    </row>
    <row r="6" spans="1:40">
      <c r="A6" s="22" t="s">
        <v>1917</v>
      </c>
      <c r="M6" s="19"/>
      <c r="N6" s="19"/>
      <c r="O6" s="19"/>
      <c r="P6" s="19"/>
      <c r="Q6" s="19"/>
      <c r="R6" s="19"/>
      <c r="S6" s="19"/>
      <c r="T6" s="21"/>
      <c r="U6" s="21"/>
      <c r="V6" s="19"/>
    </row>
    <row r="7" spans="1:40" ht="15" customHeight="1">
      <c r="A7" s="287" t="s">
        <v>1918</v>
      </c>
      <c r="B7" s="288"/>
      <c r="C7" s="23" t="s">
        <v>1919</v>
      </c>
      <c r="D7" s="23" t="s">
        <v>1920</v>
      </c>
      <c r="E7" s="23"/>
      <c r="F7" s="24" t="s">
        <v>1921</v>
      </c>
      <c r="M7" s="19"/>
      <c r="N7" s="19"/>
      <c r="O7" s="25"/>
      <c r="P7" s="25"/>
      <c r="Q7" s="19"/>
      <c r="R7" s="19"/>
      <c r="S7" s="19"/>
      <c r="T7" s="21"/>
      <c r="U7" s="21"/>
      <c r="V7" s="19"/>
    </row>
    <row r="8" spans="1:40" s="29" customFormat="1">
      <c r="A8" s="26">
        <v>1</v>
      </c>
      <c r="B8" s="26" t="s">
        <v>1922</v>
      </c>
      <c r="C8" s="27" t="s">
        <v>1923</v>
      </c>
      <c r="D8" s="26" t="s">
        <v>1924</v>
      </c>
      <c r="E8" s="26"/>
      <c r="F8" s="28">
        <v>3</v>
      </c>
      <c r="M8" s="19"/>
      <c r="N8" s="19"/>
      <c r="O8" s="19"/>
      <c r="P8" s="19"/>
      <c r="Q8" s="19"/>
      <c r="R8" s="19"/>
      <c r="S8" s="19"/>
      <c r="T8" s="21"/>
      <c r="U8" s="21"/>
      <c r="V8" s="19"/>
      <c r="AE8" s="30"/>
      <c r="AF8" s="30"/>
      <c r="AH8" s="30"/>
      <c r="AI8" s="30"/>
      <c r="AJ8" s="30"/>
      <c r="AK8" s="30"/>
      <c r="AM8" s="31"/>
      <c r="AN8" s="31"/>
    </row>
    <row r="9" spans="1:40" s="29" customFormat="1">
      <c r="A9" s="26">
        <v>2</v>
      </c>
      <c r="B9" s="26" t="s">
        <v>1925</v>
      </c>
      <c r="C9" s="27" t="s">
        <v>1926</v>
      </c>
      <c r="D9" s="26" t="s">
        <v>1926</v>
      </c>
      <c r="E9" s="26"/>
      <c r="F9" s="28">
        <v>3</v>
      </c>
      <c r="M9" s="19"/>
      <c r="N9" s="19"/>
      <c r="O9" s="19"/>
      <c r="P9" s="19"/>
      <c r="Q9" s="19"/>
      <c r="R9" s="19"/>
      <c r="S9" s="19"/>
      <c r="T9" s="21"/>
      <c r="U9" s="21"/>
      <c r="V9" s="19"/>
      <c r="AE9" s="30"/>
      <c r="AF9" s="30"/>
      <c r="AH9" s="30"/>
      <c r="AI9" s="30"/>
      <c r="AJ9" s="30"/>
      <c r="AK9" s="30"/>
      <c r="AM9" s="31"/>
      <c r="AN9" s="31"/>
    </row>
    <row r="10" spans="1:40" s="29" customFormat="1">
      <c r="A10" s="26">
        <v>3</v>
      </c>
      <c r="B10" s="26" t="s">
        <v>1927</v>
      </c>
      <c r="C10" s="27" t="s">
        <v>1928</v>
      </c>
      <c r="D10" s="26" t="s">
        <v>1929</v>
      </c>
      <c r="E10" s="26"/>
      <c r="F10" s="28">
        <v>3</v>
      </c>
      <c r="M10" s="19"/>
      <c r="N10" s="19"/>
      <c r="O10" s="19"/>
      <c r="P10" s="19"/>
      <c r="Q10" s="19"/>
      <c r="R10" s="19"/>
      <c r="S10" s="19"/>
      <c r="T10" s="21"/>
      <c r="U10" s="21"/>
      <c r="V10" s="19"/>
      <c r="AE10" s="30"/>
      <c r="AF10" s="30"/>
      <c r="AH10" s="30"/>
      <c r="AI10" s="30"/>
      <c r="AJ10" s="30"/>
      <c r="AK10" s="30"/>
      <c r="AM10" s="31"/>
      <c r="AN10" s="31"/>
    </row>
    <row r="11" spans="1:40" s="29" customFormat="1">
      <c r="A11" s="26">
        <v>4</v>
      </c>
      <c r="B11" s="26" t="s">
        <v>1930</v>
      </c>
      <c r="C11" s="32" t="s">
        <v>1931</v>
      </c>
      <c r="D11" s="26" t="s">
        <v>1932</v>
      </c>
      <c r="E11" s="26"/>
      <c r="F11" s="28">
        <v>3</v>
      </c>
      <c r="M11" s="19"/>
      <c r="N11" s="19"/>
      <c r="O11" s="19"/>
      <c r="P11" s="19"/>
      <c r="Q11" s="33"/>
      <c r="R11" s="33"/>
      <c r="S11" s="33"/>
      <c r="T11" s="34"/>
      <c r="U11" s="21"/>
      <c r="V11" s="19"/>
      <c r="AE11" s="30"/>
      <c r="AF11" s="30"/>
      <c r="AH11" s="30"/>
      <c r="AI11" s="30"/>
      <c r="AJ11" s="30"/>
      <c r="AK11" s="30"/>
      <c r="AM11" s="31"/>
      <c r="AN11" s="31"/>
    </row>
    <row r="12" spans="1:40" s="29" customFormat="1">
      <c r="A12" s="26">
        <v>5</v>
      </c>
      <c r="B12" s="26" t="s">
        <v>1933</v>
      </c>
      <c r="C12" s="27" t="s">
        <v>1934</v>
      </c>
      <c r="D12" s="26" t="s">
        <v>1311</v>
      </c>
      <c r="E12" s="26"/>
      <c r="F12" s="28">
        <v>3</v>
      </c>
      <c r="T12" s="35"/>
      <c r="U12" s="35"/>
      <c r="AE12" s="30"/>
      <c r="AF12" s="30"/>
      <c r="AH12" s="30"/>
      <c r="AI12" s="30"/>
      <c r="AJ12" s="30"/>
      <c r="AK12" s="30"/>
      <c r="AM12" s="31"/>
      <c r="AN12" s="31"/>
    </row>
    <row r="13" spans="1:40" s="29" customFormat="1">
      <c r="A13" s="26">
        <v>6</v>
      </c>
      <c r="B13" s="26" t="s">
        <v>1935</v>
      </c>
      <c r="C13" s="27" t="s">
        <v>1936</v>
      </c>
      <c r="D13" s="26" t="s">
        <v>1937</v>
      </c>
      <c r="E13" s="26"/>
      <c r="F13" s="28">
        <v>3</v>
      </c>
      <c r="T13" s="35"/>
      <c r="U13" s="35"/>
      <c r="AE13" s="30"/>
      <c r="AF13" s="30"/>
      <c r="AH13" s="30"/>
      <c r="AI13" s="30"/>
      <c r="AJ13" s="30"/>
      <c r="AK13" s="30"/>
      <c r="AM13" s="31"/>
      <c r="AN13" s="31"/>
    </row>
    <row r="14" spans="1:40" s="29" customFormat="1">
      <c r="A14" s="26">
        <v>7</v>
      </c>
      <c r="B14" s="26" t="s">
        <v>1938</v>
      </c>
      <c r="C14" s="27" t="s">
        <v>1939</v>
      </c>
      <c r="D14" s="26" t="s">
        <v>1939</v>
      </c>
      <c r="E14" s="26"/>
      <c r="F14" s="28">
        <v>3</v>
      </c>
      <c r="T14" s="35"/>
      <c r="U14" s="35"/>
      <c r="AE14" s="30"/>
      <c r="AF14" s="30"/>
      <c r="AH14" s="30"/>
      <c r="AI14" s="30"/>
      <c r="AJ14" s="30"/>
      <c r="AK14" s="30"/>
      <c r="AM14" s="31"/>
      <c r="AN14" s="31"/>
    </row>
    <row r="15" spans="1:40" s="29" customFormat="1">
      <c r="B15" s="36"/>
      <c r="C15" s="31"/>
      <c r="F15" s="37" t="s">
        <v>1940</v>
      </c>
      <c r="T15" s="35"/>
      <c r="U15" s="35"/>
      <c r="AE15" s="30"/>
      <c r="AF15" s="30"/>
      <c r="AH15" s="30"/>
      <c r="AI15" s="30"/>
      <c r="AJ15" s="30"/>
      <c r="AK15" s="30"/>
      <c r="AM15" s="31"/>
      <c r="AN15" s="31"/>
    </row>
    <row r="16" spans="1:40" s="29" customFormat="1">
      <c r="B16" s="38" t="s">
        <v>1941</v>
      </c>
      <c r="J16" s="37"/>
      <c r="T16" s="35"/>
      <c r="U16" s="35"/>
      <c r="AE16" s="30"/>
      <c r="AF16" s="30"/>
      <c r="AH16" s="30"/>
      <c r="AI16" s="30"/>
      <c r="AJ16" s="30"/>
      <c r="AK16" s="30"/>
      <c r="AM16" s="31"/>
      <c r="AN16" s="31"/>
    </row>
    <row r="17" spans="1:40">
      <c r="H17" s="29"/>
      <c r="I17" s="29"/>
      <c r="Q17" s="15"/>
      <c r="R17" s="15"/>
      <c r="S17" s="15"/>
      <c r="T17" s="16"/>
      <c r="U17" s="16"/>
      <c r="V17" s="15"/>
    </row>
    <row r="18" spans="1:40">
      <c r="A18" s="22" t="s">
        <v>1942</v>
      </c>
      <c r="Q18" s="15"/>
      <c r="R18" s="15"/>
      <c r="S18" s="15"/>
      <c r="T18" s="16"/>
      <c r="U18" s="16"/>
      <c r="V18" s="15"/>
    </row>
    <row r="19" spans="1:40" customFormat="1" ht="15.75" customHeight="1">
      <c r="A19" s="39" t="s">
        <v>1943</v>
      </c>
      <c r="B19" s="39"/>
      <c r="G19" s="15"/>
      <c r="H19" s="39"/>
      <c r="T19" s="40"/>
      <c r="U19" s="40"/>
      <c r="AE19" s="41"/>
      <c r="AF19" s="41"/>
      <c r="AH19" s="41"/>
      <c r="AI19" s="41"/>
      <c r="AJ19" s="41"/>
      <c r="AK19" s="41"/>
      <c r="AM19" s="42"/>
      <c r="AN19" s="42"/>
    </row>
    <row r="20" spans="1:40" customFormat="1" ht="18.75" customHeight="1">
      <c r="A20" s="39"/>
      <c r="B20" s="39" t="s">
        <v>1944</v>
      </c>
      <c r="G20" s="15"/>
      <c r="H20" s="39"/>
      <c r="T20" s="40"/>
      <c r="U20" s="40"/>
      <c r="AE20" s="41"/>
      <c r="AF20" s="41"/>
      <c r="AH20" s="41"/>
      <c r="AI20" s="41"/>
      <c r="AJ20" s="41"/>
      <c r="AK20" s="41"/>
      <c r="AM20" s="42"/>
      <c r="AN20" s="42"/>
    </row>
    <row r="21" spans="1:40" customFormat="1" ht="16.5" customHeight="1">
      <c r="A21" s="39"/>
      <c r="B21" s="39" t="s">
        <v>1945</v>
      </c>
      <c r="G21" s="15"/>
      <c r="H21" s="39"/>
      <c r="T21" s="40"/>
      <c r="U21" s="40"/>
      <c r="AE21" s="41"/>
      <c r="AF21" s="41"/>
      <c r="AH21" s="41"/>
      <c r="AI21" s="41"/>
      <c r="AJ21" s="41"/>
      <c r="AK21" s="41"/>
      <c r="AM21" s="42"/>
      <c r="AN21" s="42"/>
    </row>
    <row r="22" spans="1:40" customFormat="1" ht="21" customHeight="1">
      <c r="A22" s="39"/>
      <c r="B22" s="39" t="s">
        <v>1946</v>
      </c>
      <c r="G22" s="15"/>
      <c r="H22" s="39"/>
      <c r="T22" s="40"/>
      <c r="U22" s="40"/>
      <c r="AE22" s="41"/>
      <c r="AF22" s="41"/>
      <c r="AH22" s="41"/>
      <c r="AI22" s="41"/>
      <c r="AJ22" s="41"/>
      <c r="AK22" s="41"/>
      <c r="AM22" s="42"/>
      <c r="AN22" s="42"/>
    </row>
    <row r="23" spans="1:40" s="43" customFormat="1" ht="21" thickBot="1">
      <c r="T23" s="44"/>
      <c r="U23" s="44"/>
      <c r="AM23" s="45"/>
      <c r="AN23" s="45"/>
    </row>
    <row r="24" spans="1:40" ht="37.4" customHeight="1" thickBot="1">
      <c r="A24" s="289" t="s">
        <v>1947</v>
      </c>
      <c r="B24" s="290"/>
      <c r="C24" s="290"/>
      <c r="D24" s="290"/>
      <c r="E24" s="46"/>
      <c r="F24" s="291" t="s">
        <v>1948</v>
      </c>
      <c r="G24" s="291"/>
      <c r="H24" s="291"/>
      <c r="I24" s="291"/>
      <c r="J24" s="292"/>
      <c r="K24" s="293" t="s">
        <v>1949</v>
      </c>
      <c r="L24" s="294"/>
      <c r="M24" s="294"/>
      <c r="N24" s="294"/>
      <c r="O24" s="294"/>
      <c r="P24" s="47"/>
      <c r="Q24" s="295" t="s">
        <v>1950</v>
      </c>
      <c r="R24" s="295"/>
      <c r="S24" s="295"/>
      <c r="T24" s="295"/>
      <c r="U24" s="296"/>
      <c r="V24" s="48"/>
      <c r="W24" s="297" t="s">
        <v>1951</v>
      </c>
      <c r="X24" s="297"/>
      <c r="Y24" s="297"/>
      <c r="Z24" s="297"/>
      <c r="AA24" s="297"/>
      <c r="AB24" s="298"/>
      <c r="AC24" s="276" t="s">
        <v>1952</v>
      </c>
      <c r="AD24" s="277"/>
      <c r="AE24" s="278"/>
      <c r="AF24" s="278"/>
      <c r="AG24" s="279"/>
      <c r="AH24" s="280" t="s">
        <v>1953</v>
      </c>
      <c r="AI24" s="281"/>
      <c r="AJ24" s="282"/>
      <c r="AK24" s="283"/>
      <c r="AL24" s="284" t="s">
        <v>1954</v>
      </c>
      <c r="AM24" s="285"/>
      <c r="AN24" s="286"/>
    </row>
    <row r="25" spans="1:40" s="17" customFormat="1" ht="23.9" customHeight="1" thickBot="1">
      <c r="A25" s="49" t="s">
        <v>1955</v>
      </c>
      <c r="B25" s="50" t="s">
        <v>1956</v>
      </c>
      <c r="C25" s="51" t="s">
        <v>1957</v>
      </c>
      <c r="D25" s="52" t="s">
        <v>1919</v>
      </c>
      <c r="E25" s="53" t="s">
        <v>1958</v>
      </c>
      <c r="F25" s="54" t="s">
        <v>1955</v>
      </c>
      <c r="G25" s="55" t="s">
        <v>1959</v>
      </c>
      <c r="H25" s="55" t="s">
        <v>1960</v>
      </c>
      <c r="I25" s="55" t="s">
        <v>1961</v>
      </c>
      <c r="J25" s="56" t="s">
        <v>1958</v>
      </c>
      <c r="K25" s="57" t="s">
        <v>1955</v>
      </c>
      <c r="L25" s="58" t="s">
        <v>1962</v>
      </c>
      <c r="M25" s="58" t="s">
        <v>1960</v>
      </c>
      <c r="N25" s="58" t="s">
        <v>1961</v>
      </c>
      <c r="O25" s="59" t="s">
        <v>1963</v>
      </c>
      <c r="P25" s="60"/>
      <c r="Q25" s="61" t="s">
        <v>1955</v>
      </c>
      <c r="R25" s="62" t="s">
        <v>1962</v>
      </c>
      <c r="S25" s="63" t="s">
        <v>1957</v>
      </c>
      <c r="T25" s="64" t="s">
        <v>1919</v>
      </c>
      <c r="U25" s="65" t="s">
        <v>1961</v>
      </c>
      <c r="V25" s="66" t="s">
        <v>1964</v>
      </c>
      <c r="W25" s="67" t="s">
        <v>1955</v>
      </c>
      <c r="X25" s="68" t="s">
        <v>1965</v>
      </c>
      <c r="Y25" s="69" t="s">
        <v>1957</v>
      </c>
      <c r="Z25" s="68" t="s">
        <v>1919</v>
      </c>
      <c r="AA25" s="70" t="s">
        <v>1961</v>
      </c>
      <c r="AB25" s="71" t="s">
        <v>1958</v>
      </c>
      <c r="AC25" s="72" t="s">
        <v>1955</v>
      </c>
      <c r="AD25" s="73" t="s">
        <v>1962</v>
      </c>
      <c r="AE25" s="73" t="s">
        <v>1919</v>
      </c>
      <c r="AF25" s="73" t="s">
        <v>1961</v>
      </c>
      <c r="AG25" s="74" t="s">
        <v>1964</v>
      </c>
      <c r="AH25" s="75" t="s">
        <v>1955</v>
      </c>
      <c r="AI25" s="76" t="s">
        <v>1962</v>
      </c>
      <c r="AJ25" s="76" t="s">
        <v>1960</v>
      </c>
      <c r="AK25" s="77" t="s">
        <v>1961</v>
      </c>
      <c r="AL25" s="78" t="s">
        <v>1955</v>
      </c>
      <c r="AM25" s="79" t="s">
        <v>1962</v>
      </c>
      <c r="AN25" s="80" t="s">
        <v>1960</v>
      </c>
    </row>
    <row r="26" spans="1:40" ht="14.15" customHeight="1">
      <c r="A26" s="81">
        <v>1</v>
      </c>
      <c r="B26" s="82" t="s">
        <v>1966</v>
      </c>
      <c r="C26" s="82" t="s">
        <v>1967</v>
      </c>
      <c r="D26" s="83" t="s">
        <v>1910</v>
      </c>
      <c r="E26" s="84"/>
      <c r="F26" s="85">
        <v>1</v>
      </c>
      <c r="G26" s="86" t="s">
        <v>1968</v>
      </c>
      <c r="H26" s="86" t="s">
        <v>1969</v>
      </c>
      <c r="I26" s="87" t="s">
        <v>1923</v>
      </c>
      <c r="J26" s="88"/>
      <c r="K26" s="89">
        <v>1</v>
      </c>
      <c r="L26" s="90" t="s">
        <v>1970</v>
      </c>
      <c r="M26" s="90" t="s">
        <v>1939</v>
      </c>
      <c r="N26" s="90" t="s">
        <v>1926</v>
      </c>
      <c r="O26" s="91" t="s">
        <v>1971</v>
      </c>
      <c r="P26" s="92" t="s">
        <v>1972</v>
      </c>
      <c r="Q26" s="93" t="s">
        <v>1973</v>
      </c>
      <c r="R26" s="94"/>
      <c r="S26" s="95"/>
      <c r="T26" s="96"/>
      <c r="U26" s="96"/>
      <c r="V26" s="97"/>
      <c r="W26" s="98" t="s">
        <v>1974</v>
      </c>
      <c r="X26" s="99" t="s">
        <v>1973</v>
      </c>
      <c r="Y26" s="100"/>
      <c r="Z26" s="99"/>
      <c r="AA26" s="101"/>
      <c r="AB26" s="102"/>
      <c r="AC26" s="103" t="s">
        <v>1975</v>
      </c>
      <c r="AD26" s="104" t="s">
        <v>1976</v>
      </c>
      <c r="AE26" s="105" t="s">
        <v>1977</v>
      </c>
      <c r="AF26" s="105" t="s">
        <v>1978</v>
      </c>
      <c r="AG26" s="106" t="s">
        <v>1979</v>
      </c>
      <c r="AH26" s="107" t="s">
        <v>1980</v>
      </c>
      <c r="AI26" s="108" t="s">
        <v>1981</v>
      </c>
      <c r="AJ26" s="108" t="s">
        <v>1982</v>
      </c>
      <c r="AK26" s="109" t="s">
        <v>1983</v>
      </c>
      <c r="AL26" s="110">
        <v>1</v>
      </c>
      <c r="AM26" s="111">
        <v>2</v>
      </c>
      <c r="AN26" s="112">
        <v>2</v>
      </c>
    </row>
    <row r="27" spans="1:40" ht="14.15" customHeight="1">
      <c r="A27" s="113">
        <v>2</v>
      </c>
      <c r="B27" s="114" t="s">
        <v>1984</v>
      </c>
      <c r="C27" s="114" t="s">
        <v>1985</v>
      </c>
      <c r="D27" s="115" t="s">
        <v>1986</v>
      </c>
      <c r="E27" s="116" t="s">
        <v>1987</v>
      </c>
      <c r="F27" s="117">
        <v>2</v>
      </c>
      <c r="G27" s="118" t="s">
        <v>1988</v>
      </c>
      <c r="H27" s="118" t="s">
        <v>1989</v>
      </c>
      <c r="I27" s="119" t="s">
        <v>1990</v>
      </c>
      <c r="J27" s="120"/>
      <c r="K27" s="121">
        <v>2</v>
      </c>
      <c r="L27" s="118" t="s">
        <v>1991</v>
      </c>
      <c r="M27" s="118" t="s">
        <v>1992</v>
      </c>
      <c r="N27" s="118" t="s">
        <v>1993</v>
      </c>
      <c r="O27" s="122" t="s">
        <v>1994</v>
      </c>
      <c r="P27" s="123"/>
      <c r="Q27" s="124">
        <v>1</v>
      </c>
      <c r="R27" s="118" t="s">
        <v>1995</v>
      </c>
      <c r="S27" s="125" t="s">
        <v>1996</v>
      </c>
      <c r="T27" s="126" t="s">
        <v>1997</v>
      </c>
      <c r="U27" s="126" t="s">
        <v>1928</v>
      </c>
      <c r="V27" s="122"/>
      <c r="W27" s="127">
        <v>1</v>
      </c>
      <c r="X27" s="128" t="s">
        <v>1998</v>
      </c>
      <c r="Y27" s="129" t="s">
        <v>1999</v>
      </c>
      <c r="Z27" s="128" t="s">
        <v>2000</v>
      </c>
      <c r="AA27" s="130" t="s">
        <v>2001</v>
      </c>
      <c r="AB27" s="131" t="s">
        <v>2000</v>
      </c>
      <c r="AC27" s="132" t="s">
        <v>1975</v>
      </c>
      <c r="AD27" s="133" t="s">
        <v>2002</v>
      </c>
      <c r="AE27" s="134" t="s">
        <v>2003</v>
      </c>
      <c r="AF27" s="134" t="s">
        <v>2004</v>
      </c>
      <c r="AG27" s="135" t="s">
        <v>1979</v>
      </c>
      <c r="AH27" s="136" t="s">
        <v>1980</v>
      </c>
      <c r="AI27" s="137" t="s">
        <v>2005</v>
      </c>
      <c r="AJ27" s="137" t="s">
        <v>2006</v>
      </c>
      <c r="AK27" s="138" t="s">
        <v>2007</v>
      </c>
      <c r="AL27" s="139">
        <v>2</v>
      </c>
      <c r="AM27" s="140">
        <v>4</v>
      </c>
      <c r="AN27" s="141">
        <v>4</v>
      </c>
    </row>
    <row r="28" spans="1:40" ht="14.15" customHeight="1">
      <c r="A28" s="113">
        <v>3</v>
      </c>
      <c r="B28" s="142" t="s">
        <v>2008</v>
      </c>
      <c r="C28" s="142" t="s">
        <v>2009</v>
      </c>
      <c r="D28" s="143" t="s">
        <v>2010</v>
      </c>
      <c r="E28" s="144"/>
      <c r="F28" s="117">
        <v>3</v>
      </c>
      <c r="G28" s="118" t="s">
        <v>2011</v>
      </c>
      <c r="H28" s="118" t="s">
        <v>2012</v>
      </c>
      <c r="I28" s="119" t="s">
        <v>2013</v>
      </c>
      <c r="J28" s="120"/>
      <c r="K28" s="121">
        <v>3</v>
      </c>
      <c r="L28" s="118" t="s">
        <v>2014</v>
      </c>
      <c r="M28" s="118" t="s">
        <v>2015</v>
      </c>
      <c r="N28" s="118" t="s">
        <v>2016</v>
      </c>
      <c r="O28" s="122" t="s">
        <v>2017</v>
      </c>
      <c r="P28" s="123"/>
      <c r="Q28" s="124">
        <v>2</v>
      </c>
      <c r="R28" s="118" t="s">
        <v>2018</v>
      </c>
      <c r="S28" s="125" t="s">
        <v>2019</v>
      </c>
      <c r="T28" s="126" t="s">
        <v>2020</v>
      </c>
      <c r="U28" s="126" t="s">
        <v>2021</v>
      </c>
      <c r="V28" s="122"/>
      <c r="W28" s="127">
        <v>2</v>
      </c>
      <c r="X28" s="128" t="s">
        <v>2022</v>
      </c>
      <c r="Y28" s="129" t="s">
        <v>2023</v>
      </c>
      <c r="Z28" s="128" t="s">
        <v>2024</v>
      </c>
      <c r="AA28" s="130" t="s">
        <v>2025</v>
      </c>
      <c r="AB28" s="131" t="s">
        <v>2024</v>
      </c>
      <c r="AC28" s="132" t="s">
        <v>1975</v>
      </c>
      <c r="AD28" s="133" t="s">
        <v>2026</v>
      </c>
      <c r="AE28" s="134" t="s">
        <v>2027</v>
      </c>
      <c r="AF28" s="134" t="s">
        <v>2028</v>
      </c>
      <c r="AG28" s="135" t="s">
        <v>1979</v>
      </c>
      <c r="AH28" s="136" t="s">
        <v>1980</v>
      </c>
      <c r="AI28" s="137" t="s">
        <v>2029</v>
      </c>
      <c r="AJ28" s="137" t="s">
        <v>2030</v>
      </c>
      <c r="AK28" s="138" t="s">
        <v>2030</v>
      </c>
      <c r="AL28" s="139">
        <v>3</v>
      </c>
      <c r="AM28" s="140">
        <v>6</v>
      </c>
      <c r="AN28" s="141">
        <v>6</v>
      </c>
    </row>
    <row r="29" spans="1:40" ht="14.15" customHeight="1" thickBot="1">
      <c r="A29" s="145">
        <v>4</v>
      </c>
      <c r="B29" s="146" t="s">
        <v>2031</v>
      </c>
      <c r="C29" s="146" t="s">
        <v>2032</v>
      </c>
      <c r="D29" s="147" t="s">
        <v>2033</v>
      </c>
      <c r="E29" s="148"/>
      <c r="F29" s="117">
        <v>4</v>
      </c>
      <c r="G29" s="118" t="s">
        <v>2034</v>
      </c>
      <c r="H29" s="118" t="s">
        <v>2035</v>
      </c>
      <c r="I29" s="119" t="s">
        <v>2036</v>
      </c>
      <c r="J29" s="120"/>
      <c r="K29" s="149">
        <v>4</v>
      </c>
      <c r="L29" s="150" t="s">
        <v>2037</v>
      </c>
      <c r="M29" s="150" t="s">
        <v>2038</v>
      </c>
      <c r="N29" s="150" t="s">
        <v>2039</v>
      </c>
      <c r="O29" s="151"/>
      <c r="P29" s="123"/>
      <c r="Q29" s="124">
        <v>3</v>
      </c>
      <c r="R29" s="118" t="s">
        <v>2040</v>
      </c>
      <c r="S29" s="125" t="s">
        <v>2041</v>
      </c>
      <c r="T29" s="126" t="s">
        <v>2042</v>
      </c>
      <c r="U29" s="126" t="s">
        <v>2043</v>
      </c>
      <c r="V29" s="131" t="s">
        <v>2044</v>
      </c>
      <c r="W29" s="127">
        <v>3</v>
      </c>
      <c r="X29" s="128" t="s">
        <v>2045</v>
      </c>
      <c r="Y29" s="129" t="s">
        <v>2046</v>
      </c>
      <c r="Z29" s="128" t="s">
        <v>2047</v>
      </c>
      <c r="AA29" s="130" t="s">
        <v>2048</v>
      </c>
      <c r="AB29" s="131"/>
      <c r="AC29" s="132" t="s">
        <v>1975</v>
      </c>
      <c r="AD29" s="152" t="s">
        <v>176</v>
      </c>
      <c r="AE29" s="153" t="s">
        <v>2049</v>
      </c>
      <c r="AF29" s="153" t="s">
        <v>2049</v>
      </c>
      <c r="AG29" s="135"/>
      <c r="AH29" s="136" t="s">
        <v>1980</v>
      </c>
      <c r="AI29" s="154" t="s">
        <v>2050</v>
      </c>
      <c r="AJ29" s="137" t="s">
        <v>2051</v>
      </c>
      <c r="AK29" s="138" t="s">
        <v>2052</v>
      </c>
      <c r="AL29" s="139">
        <v>4</v>
      </c>
      <c r="AM29" s="140">
        <v>8</v>
      </c>
      <c r="AN29" s="141">
        <v>8</v>
      </c>
    </row>
    <row r="30" spans="1:40" ht="14.15" customHeight="1">
      <c r="F30" s="121">
        <v>5</v>
      </c>
      <c r="G30" s="118" t="s">
        <v>2053</v>
      </c>
      <c r="H30" s="118" t="s">
        <v>2054</v>
      </c>
      <c r="I30" s="119" t="s">
        <v>2055</v>
      </c>
      <c r="J30" s="120"/>
      <c r="K30" s="155"/>
      <c r="L30" s="156"/>
      <c r="M30" s="156"/>
      <c r="N30" s="156"/>
      <c r="O30" s="156"/>
      <c r="P30" s="157"/>
      <c r="Q30" s="124">
        <v>4</v>
      </c>
      <c r="R30" s="118" t="s">
        <v>2056</v>
      </c>
      <c r="S30" s="125" t="s">
        <v>2057</v>
      </c>
      <c r="T30" s="126" t="s">
        <v>2058</v>
      </c>
      <c r="U30" s="126" t="s">
        <v>2059</v>
      </c>
      <c r="V30" s="122"/>
      <c r="W30" s="127">
        <v>4</v>
      </c>
      <c r="X30" s="128" t="s">
        <v>2060</v>
      </c>
      <c r="Y30" s="129" t="s">
        <v>2061</v>
      </c>
      <c r="Z30" s="128" t="s">
        <v>2062</v>
      </c>
      <c r="AA30" s="128" t="s">
        <v>2063</v>
      </c>
      <c r="AB30" s="131"/>
      <c r="AC30" s="132" t="s">
        <v>1975</v>
      </c>
      <c r="AD30" s="152" t="s">
        <v>26</v>
      </c>
      <c r="AE30" s="153" t="s">
        <v>2064</v>
      </c>
      <c r="AF30" s="153" t="s">
        <v>2064</v>
      </c>
      <c r="AG30" s="135"/>
      <c r="AH30" s="158" t="s">
        <v>2065</v>
      </c>
      <c r="AI30" s="159" t="s">
        <v>2066</v>
      </c>
      <c r="AJ30" s="159" t="s">
        <v>2067</v>
      </c>
      <c r="AK30" s="160" t="s">
        <v>2067</v>
      </c>
      <c r="AL30" s="139">
        <v>5</v>
      </c>
      <c r="AM30" s="140">
        <v>10</v>
      </c>
      <c r="AN30" s="141">
        <v>10</v>
      </c>
    </row>
    <row r="31" spans="1:40" ht="14.15" customHeight="1">
      <c r="F31" s="121">
        <v>6</v>
      </c>
      <c r="G31" s="118" t="s">
        <v>2068</v>
      </c>
      <c r="H31" s="118" t="s">
        <v>2069</v>
      </c>
      <c r="I31" s="119" t="s">
        <v>2069</v>
      </c>
      <c r="J31" s="120" t="s">
        <v>2070</v>
      </c>
      <c r="K31" s="155"/>
      <c r="L31" s="161"/>
      <c r="M31" s="161"/>
      <c r="N31" s="161"/>
      <c r="O31" s="161"/>
      <c r="P31" s="123"/>
      <c r="Q31" s="124">
        <v>5</v>
      </c>
      <c r="R31" s="118" t="s">
        <v>2071</v>
      </c>
      <c r="S31" s="125" t="s">
        <v>2072</v>
      </c>
      <c r="T31" s="126" t="s">
        <v>2073</v>
      </c>
      <c r="U31" s="126" t="s">
        <v>2074</v>
      </c>
      <c r="V31" s="122"/>
      <c r="W31" s="127">
        <v>5</v>
      </c>
      <c r="X31" s="128" t="s">
        <v>2075</v>
      </c>
      <c r="Y31" s="129" t="s">
        <v>2076</v>
      </c>
      <c r="Z31" s="130" t="s">
        <v>2077</v>
      </c>
      <c r="AA31" s="130" t="s">
        <v>2078</v>
      </c>
      <c r="AB31" s="131"/>
      <c r="AC31" s="162" t="s">
        <v>1975</v>
      </c>
      <c r="AD31" s="163" t="s">
        <v>665</v>
      </c>
      <c r="AE31" s="137" t="s">
        <v>2079</v>
      </c>
      <c r="AF31" s="137" t="s">
        <v>2079</v>
      </c>
      <c r="AG31" s="164"/>
      <c r="AH31" s="158" t="s">
        <v>2065</v>
      </c>
      <c r="AI31" s="159" t="s">
        <v>2080</v>
      </c>
      <c r="AJ31" s="159" t="s">
        <v>2081</v>
      </c>
      <c r="AK31" s="160" t="s">
        <v>2081</v>
      </c>
      <c r="AL31" s="139">
        <v>6</v>
      </c>
      <c r="AM31" s="140">
        <v>12</v>
      </c>
      <c r="AN31" s="141">
        <v>12</v>
      </c>
    </row>
    <row r="32" spans="1:40" ht="14.15" customHeight="1">
      <c r="F32" s="121">
        <v>7</v>
      </c>
      <c r="G32" s="118" t="s">
        <v>2082</v>
      </c>
      <c r="H32" s="118" t="s">
        <v>2083</v>
      </c>
      <c r="I32" s="119" t="s">
        <v>2084</v>
      </c>
      <c r="J32" s="120"/>
      <c r="K32" s="155"/>
      <c r="L32" s="161"/>
      <c r="M32" s="161"/>
      <c r="N32" s="161"/>
      <c r="O32" s="161"/>
      <c r="P32" s="123"/>
      <c r="Q32" s="124">
        <v>6</v>
      </c>
      <c r="R32" s="163" t="s">
        <v>2085</v>
      </c>
      <c r="S32" s="165" t="s">
        <v>2086</v>
      </c>
      <c r="T32" s="166" t="s">
        <v>2087</v>
      </c>
      <c r="U32" s="166" t="s">
        <v>2088</v>
      </c>
      <c r="V32" s="122"/>
      <c r="W32" s="127">
        <v>6</v>
      </c>
      <c r="X32" s="128" t="s">
        <v>2089</v>
      </c>
      <c r="Y32" s="129" t="s">
        <v>2090</v>
      </c>
      <c r="Z32" s="130" t="s">
        <v>2091</v>
      </c>
      <c r="AA32" s="130" t="s">
        <v>2092</v>
      </c>
      <c r="AB32" s="131"/>
      <c r="AC32" s="132" t="s">
        <v>1975</v>
      </c>
      <c r="AD32" s="167" t="s">
        <v>223</v>
      </c>
      <c r="AE32" s="153" t="s">
        <v>2093</v>
      </c>
      <c r="AF32" s="153" t="s">
        <v>2094</v>
      </c>
      <c r="AG32" s="135" t="s">
        <v>2095</v>
      </c>
      <c r="AH32" s="158" t="s">
        <v>2065</v>
      </c>
      <c r="AI32" s="168" t="s">
        <v>2096</v>
      </c>
      <c r="AJ32" s="168" t="s">
        <v>2027</v>
      </c>
      <c r="AK32" s="169" t="s">
        <v>2097</v>
      </c>
      <c r="AL32" s="139">
        <v>7</v>
      </c>
      <c r="AM32" s="140" t="s">
        <v>2098</v>
      </c>
      <c r="AN32" s="141" t="s">
        <v>2098</v>
      </c>
    </row>
    <row r="33" spans="6:40" ht="14.15" customHeight="1">
      <c r="F33" s="121">
        <v>8</v>
      </c>
      <c r="G33" s="126" t="s">
        <v>2099</v>
      </c>
      <c r="H33" s="126" t="s">
        <v>2065</v>
      </c>
      <c r="I33" s="119" t="s">
        <v>2100</v>
      </c>
      <c r="J33" s="170"/>
      <c r="K33" s="155"/>
      <c r="L33" s="161"/>
      <c r="M33" s="161"/>
      <c r="N33" s="161"/>
      <c r="O33" s="161"/>
      <c r="P33" s="123"/>
      <c r="Q33" s="124">
        <v>7</v>
      </c>
      <c r="R33" s="118" t="s">
        <v>2101</v>
      </c>
      <c r="S33" s="125" t="s">
        <v>2102</v>
      </c>
      <c r="T33" s="126" t="s">
        <v>2103</v>
      </c>
      <c r="U33" s="126" t="s">
        <v>2104</v>
      </c>
      <c r="V33" s="131" t="s">
        <v>2105</v>
      </c>
      <c r="W33" s="127">
        <v>7</v>
      </c>
      <c r="X33" s="171" t="s">
        <v>2106</v>
      </c>
      <c r="Y33" s="172" t="s">
        <v>2107</v>
      </c>
      <c r="Z33" s="171" t="s">
        <v>2108</v>
      </c>
      <c r="AA33" s="173" t="s">
        <v>2109</v>
      </c>
      <c r="AB33" s="131"/>
      <c r="AC33" s="132" t="s">
        <v>1975</v>
      </c>
      <c r="AD33" s="167" t="s">
        <v>2110</v>
      </c>
      <c r="AE33" s="153" t="s">
        <v>2111</v>
      </c>
      <c r="AF33" s="153" t="s">
        <v>2112</v>
      </c>
      <c r="AG33" s="135" t="s">
        <v>1979</v>
      </c>
      <c r="AH33" s="158" t="s">
        <v>2065</v>
      </c>
      <c r="AI33" s="168" t="s">
        <v>2096</v>
      </c>
      <c r="AJ33" s="168" t="s">
        <v>2113</v>
      </c>
      <c r="AK33" s="169" t="s">
        <v>2097</v>
      </c>
      <c r="AL33" s="139">
        <v>8</v>
      </c>
      <c r="AM33" s="140" t="s">
        <v>2114</v>
      </c>
      <c r="AN33" s="141" t="s">
        <v>2114</v>
      </c>
    </row>
    <row r="34" spans="6:40" ht="14.15" customHeight="1">
      <c r="F34" s="121">
        <v>9</v>
      </c>
      <c r="G34" s="118" t="s">
        <v>2115</v>
      </c>
      <c r="H34" s="118" t="s">
        <v>2116</v>
      </c>
      <c r="I34" s="119" t="s">
        <v>2116</v>
      </c>
      <c r="J34" s="120"/>
      <c r="K34" s="155"/>
      <c r="L34" s="161"/>
      <c r="M34" s="161"/>
      <c r="N34" s="161"/>
      <c r="O34" s="161"/>
      <c r="P34" s="123"/>
      <c r="Q34" s="124">
        <v>8</v>
      </c>
      <c r="R34" s="118" t="s">
        <v>2117</v>
      </c>
      <c r="S34" s="125" t="s">
        <v>2118</v>
      </c>
      <c r="T34" s="126" t="s">
        <v>2119</v>
      </c>
      <c r="U34" s="126" t="s">
        <v>2120</v>
      </c>
      <c r="V34" s="131"/>
      <c r="W34" s="127">
        <v>8</v>
      </c>
      <c r="X34" s="128" t="s">
        <v>2121</v>
      </c>
      <c r="Y34" s="129" t="s">
        <v>2122</v>
      </c>
      <c r="Z34" s="130" t="s">
        <v>2123</v>
      </c>
      <c r="AA34" s="130" t="s">
        <v>2124</v>
      </c>
      <c r="AB34" s="131"/>
      <c r="AC34" s="132" t="s">
        <v>1975</v>
      </c>
      <c r="AD34" s="152" t="s">
        <v>1811</v>
      </c>
      <c r="AE34" s="153" t="s">
        <v>2125</v>
      </c>
      <c r="AF34" s="153" t="s">
        <v>2125</v>
      </c>
      <c r="AG34" s="135"/>
      <c r="AH34" s="158" t="s">
        <v>2065</v>
      </c>
      <c r="AI34" s="168" t="s">
        <v>2126</v>
      </c>
      <c r="AJ34" s="168" t="s">
        <v>2127</v>
      </c>
      <c r="AK34" s="174" t="s">
        <v>2128</v>
      </c>
      <c r="AL34" s="139">
        <v>9</v>
      </c>
      <c r="AM34" s="140" t="s">
        <v>1939</v>
      </c>
      <c r="AN34" s="141" t="s">
        <v>1939</v>
      </c>
    </row>
    <row r="35" spans="6:40" ht="14.25" customHeight="1">
      <c r="F35" s="121">
        <v>10</v>
      </c>
      <c r="G35" s="118" t="s">
        <v>2129</v>
      </c>
      <c r="H35" s="118" t="s">
        <v>2130</v>
      </c>
      <c r="I35" s="119" t="s">
        <v>2130</v>
      </c>
      <c r="J35" s="120"/>
      <c r="K35" s="155"/>
      <c r="L35" s="161"/>
      <c r="M35" s="161"/>
      <c r="N35" s="161"/>
      <c r="O35" s="161"/>
      <c r="P35" s="123"/>
      <c r="Q35" s="124">
        <v>9</v>
      </c>
      <c r="R35" s="118" t="s">
        <v>2131</v>
      </c>
      <c r="S35" s="125" t="s">
        <v>2132</v>
      </c>
      <c r="T35" s="126" t="s">
        <v>2133</v>
      </c>
      <c r="U35" s="126" t="s">
        <v>2134</v>
      </c>
      <c r="V35" s="131" t="s">
        <v>2135</v>
      </c>
      <c r="W35" s="127">
        <v>9</v>
      </c>
      <c r="X35" s="128" t="s">
        <v>2136</v>
      </c>
      <c r="Y35" s="129" t="s">
        <v>2137</v>
      </c>
      <c r="Z35" s="130" t="s">
        <v>1939</v>
      </c>
      <c r="AA35" s="130" t="s">
        <v>2138</v>
      </c>
      <c r="AB35" s="131" t="s">
        <v>2139</v>
      </c>
      <c r="AC35" s="132" t="s">
        <v>1975</v>
      </c>
      <c r="AD35" s="167" t="s">
        <v>2140</v>
      </c>
      <c r="AE35" s="153" t="s">
        <v>2141</v>
      </c>
      <c r="AF35" s="153" t="s">
        <v>2142</v>
      </c>
      <c r="AG35" s="135" t="s">
        <v>1979</v>
      </c>
      <c r="AH35" s="136" t="s">
        <v>2065</v>
      </c>
      <c r="AI35" s="175" t="s">
        <v>2143</v>
      </c>
      <c r="AJ35" s="175" t="s">
        <v>2144</v>
      </c>
      <c r="AK35" s="176" t="s">
        <v>2145</v>
      </c>
      <c r="AL35" s="139">
        <v>10</v>
      </c>
      <c r="AM35" s="140" t="s">
        <v>2146</v>
      </c>
      <c r="AN35" s="141" t="s">
        <v>2146</v>
      </c>
    </row>
    <row r="36" spans="6:40" ht="14.15" customHeight="1">
      <c r="F36" s="121">
        <v>11</v>
      </c>
      <c r="G36" s="118" t="s">
        <v>2147</v>
      </c>
      <c r="H36" s="118" t="s">
        <v>2148</v>
      </c>
      <c r="I36" s="119" t="s">
        <v>2149</v>
      </c>
      <c r="J36" s="120"/>
      <c r="K36" s="155"/>
      <c r="L36" s="161"/>
      <c r="M36" s="161"/>
      <c r="N36" s="161"/>
      <c r="O36" s="161"/>
      <c r="P36" s="123"/>
      <c r="Q36" s="124">
        <v>10</v>
      </c>
      <c r="R36" s="118" t="s">
        <v>2150</v>
      </c>
      <c r="S36" s="125" t="s">
        <v>2151</v>
      </c>
      <c r="T36" s="126" t="s">
        <v>2152</v>
      </c>
      <c r="U36" s="126" t="s">
        <v>2153</v>
      </c>
      <c r="V36" s="177"/>
      <c r="W36" s="127">
        <v>10</v>
      </c>
      <c r="X36" s="171" t="s">
        <v>2154</v>
      </c>
      <c r="Y36" s="172" t="s">
        <v>2155</v>
      </c>
      <c r="Z36" s="171" t="s">
        <v>2156</v>
      </c>
      <c r="AA36" s="173" t="s">
        <v>2157</v>
      </c>
      <c r="AB36" s="178"/>
      <c r="AC36" s="132" t="s">
        <v>1975</v>
      </c>
      <c r="AD36" s="167" t="s">
        <v>2158</v>
      </c>
      <c r="AE36" s="153" t="s">
        <v>2159</v>
      </c>
      <c r="AF36" s="153" t="s">
        <v>2160</v>
      </c>
      <c r="AG36" s="135" t="s">
        <v>1979</v>
      </c>
      <c r="AH36" s="158" t="s">
        <v>2065</v>
      </c>
      <c r="AI36" s="168" t="s">
        <v>2161</v>
      </c>
      <c r="AJ36" s="168" t="s">
        <v>2003</v>
      </c>
      <c r="AK36" s="174" t="s">
        <v>2162</v>
      </c>
      <c r="AL36" s="139">
        <v>11</v>
      </c>
      <c r="AM36" s="140" t="s">
        <v>2163</v>
      </c>
      <c r="AN36" s="141" t="s">
        <v>2163</v>
      </c>
    </row>
    <row r="37" spans="6:40" ht="14.15" customHeight="1">
      <c r="F37" s="121">
        <v>12</v>
      </c>
      <c r="G37" s="163" t="s">
        <v>2164</v>
      </c>
      <c r="H37" s="163" t="s">
        <v>2165</v>
      </c>
      <c r="I37" s="163" t="s">
        <v>2166</v>
      </c>
      <c r="J37" s="164"/>
      <c r="K37" s="155"/>
      <c r="L37" s="161"/>
      <c r="M37" s="161"/>
      <c r="N37" s="161"/>
      <c r="O37" s="161"/>
      <c r="P37" s="123"/>
      <c r="Q37" s="124">
        <v>11</v>
      </c>
      <c r="R37" s="118" t="s">
        <v>2167</v>
      </c>
      <c r="S37" s="125" t="s">
        <v>2168</v>
      </c>
      <c r="T37" s="126" t="s">
        <v>2169</v>
      </c>
      <c r="U37" s="126" t="s">
        <v>2170</v>
      </c>
      <c r="V37" s="177"/>
      <c r="W37" s="127">
        <v>11</v>
      </c>
      <c r="X37" s="128" t="s">
        <v>2171</v>
      </c>
      <c r="Y37" s="129" t="s">
        <v>2172</v>
      </c>
      <c r="Z37" s="128" t="s">
        <v>2173</v>
      </c>
      <c r="AA37" s="130" t="s">
        <v>2174</v>
      </c>
      <c r="AB37" s="131"/>
      <c r="AC37" s="132" t="s">
        <v>1975</v>
      </c>
      <c r="AD37" s="152" t="s">
        <v>2175</v>
      </c>
      <c r="AE37" s="153" t="s">
        <v>2176</v>
      </c>
      <c r="AF37" s="153" t="s">
        <v>2177</v>
      </c>
      <c r="AG37" s="135" t="s">
        <v>1979</v>
      </c>
      <c r="AH37" s="158" t="s">
        <v>2065</v>
      </c>
      <c r="AI37" s="168" t="s">
        <v>2178</v>
      </c>
      <c r="AJ37" s="168" t="s">
        <v>2179</v>
      </c>
      <c r="AK37" s="174" t="s">
        <v>2180</v>
      </c>
      <c r="AL37" s="139">
        <v>12</v>
      </c>
      <c r="AM37" s="140" t="s">
        <v>2181</v>
      </c>
      <c r="AN37" s="141" t="s">
        <v>2181</v>
      </c>
    </row>
    <row r="38" spans="6:40" ht="14.15" customHeight="1">
      <c r="F38" s="121">
        <v>13</v>
      </c>
      <c r="G38" s="163" t="s">
        <v>2182</v>
      </c>
      <c r="H38" s="163" t="s">
        <v>2183</v>
      </c>
      <c r="I38" s="163" t="s">
        <v>2183</v>
      </c>
      <c r="J38" s="164"/>
      <c r="K38" s="155"/>
      <c r="L38" s="161"/>
      <c r="M38" s="161"/>
      <c r="N38" s="161"/>
      <c r="O38" s="161"/>
      <c r="P38" s="123"/>
      <c r="Q38" s="124">
        <v>12</v>
      </c>
      <c r="R38" s="118" t="s">
        <v>2184</v>
      </c>
      <c r="S38" s="125" t="s">
        <v>2185</v>
      </c>
      <c r="T38" s="126" t="s">
        <v>2081</v>
      </c>
      <c r="U38" s="126" t="s">
        <v>2186</v>
      </c>
      <c r="V38" s="177"/>
      <c r="W38" s="127">
        <v>12</v>
      </c>
      <c r="X38" s="128" t="s">
        <v>2187</v>
      </c>
      <c r="Y38" s="129" t="s">
        <v>2188</v>
      </c>
      <c r="Z38" s="128" t="s">
        <v>1939</v>
      </c>
      <c r="AA38" s="130" t="s">
        <v>2189</v>
      </c>
      <c r="AB38" s="131" t="s">
        <v>2139</v>
      </c>
      <c r="AC38" s="132" t="s">
        <v>1975</v>
      </c>
      <c r="AD38" s="167" t="s">
        <v>517</v>
      </c>
      <c r="AE38" s="153" t="s">
        <v>2190</v>
      </c>
      <c r="AF38" s="153" t="s">
        <v>2191</v>
      </c>
      <c r="AG38" s="135" t="s">
        <v>2192</v>
      </c>
      <c r="AH38" s="136" t="s">
        <v>1980</v>
      </c>
      <c r="AI38" s="175" t="s">
        <v>2193</v>
      </c>
      <c r="AJ38" s="175" t="s">
        <v>2194</v>
      </c>
      <c r="AK38" s="176" t="s">
        <v>2195</v>
      </c>
      <c r="AL38" s="139">
        <v>13</v>
      </c>
      <c r="AM38" s="140" t="s">
        <v>2196</v>
      </c>
      <c r="AN38" s="141" t="s">
        <v>2196</v>
      </c>
    </row>
    <row r="39" spans="6:40" ht="14.15" customHeight="1">
      <c r="F39" s="121">
        <v>14</v>
      </c>
      <c r="G39" s="179" t="s">
        <v>2197</v>
      </c>
      <c r="H39" s="179" t="s">
        <v>2198</v>
      </c>
      <c r="I39" s="179" t="s">
        <v>2198</v>
      </c>
      <c r="J39" s="180" t="s">
        <v>2199</v>
      </c>
      <c r="K39" s="155"/>
      <c r="L39" s="161"/>
      <c r="M39" s="161"/>
      <c r="N39" s="161"/>
      <c r="O39" s="161"/>
      <c r="P39" s="123"/>
      <c r="Q39" s="124">
        <v>13</v>
      </c>
      <c r="R39" s="118" t="s">
        <v>2200</v>
      </c>
      <c r="S39" s="125" t="s">
        <v>2201</v>
      </c>
      <c r="T39" s="126" t="s">
        <v>2202</v>
      </c>
      <c r="U39" s="126" t="s">
        <v>2203</v>
      </c>
      <c r="V39" s="177"/>
      <c r="W39" s="181" t="s">
        <v>2204</v>
      </c>
      <c r="X39" s="182" t="s">
        <v>2205</v>
      </c>
      <c r="Y39" s="183"/>
      <c r="Z39" s="182"/>
      <c r="AA39" s="182"/>
      <c r="AB39" s="131"/>
      <c r="AC39" s="132" t="s">
        <v>1975</v>
      </c>
      <c r="AD39" s="167" t="s">
        <v>2206</v>
      </c>
      <c r="AE39" s="153" t="s">
        <v>2207</v>
      </c>
      <c r="AF39" s="153" t="s">
        <v>2207</v>
      </c>
      <c r="AG39" s="135" t="s">
        <v>1979</v>
      </c>
      <c r="AH39" s="136" t="s">
        <v>1980</v>
      </c>
      <c r="AI39" s="175" t="s">
        <v>2193</v>
      </c>
      <c r="AJ39" s="175" t="s">
        <v>2195</v>
      </c>
      <c r="AK39" s="176" t="s">
        <v>2195</v>
      </c>
      <c r="AL39" s="139">
        <v>14</v>
      </c>
      <c r="AM39" s="140" t="s">
        <v>2208</v>
      </c>
      <c r="AN39" s="141" t="s">
        <v>2208</v>
      </c>
    </row>
    <row r="40" spans="6:40" ht="14.15" customHeight="1">
      <c r="F40" s="121">
        <v>15</v>
      </c>
      <c r="G40" s="179" t="s">
        <v>2209</v>
      </c>
      <c r="H40" s="179" t="s">
        <v>2210</v>
      </c>
      <c r="I40" s="179" t="s">
        <v>2210</v>
      </c>
      <c r="J40" s="180" t="s">
        <v>2199</v>
      </c>
      <c r="K40" s="155"/>
      <c r="L40" s="161"/>
      <c r="M40" s="161"/>
      <c r="N40" s="161"/>
      <c r="O40" s="161"/>
      <c r="P40" s="123"/>
      <c r="Q40" s="124">
        <v>14</v>
      </c>
      <c r="R40" s="118" t="s">
        <v>2211</v>
      </c>
      <c r="S40" s="125" t="s">
        <v>2212</v>
      </c>
      <c r="T40" s="126" t="s">
        <v>2213</v>
      </c>
      <c r="U40" s="126" t="s">
        <v>2214</v>
      </c>
      <c r="V40" s="177"/>
      <c r="W40" s="127">
        <v>1</v>
      </c>
      <c r="X40" s="128" t="s">
        <v>2215</v>
      </c>
      <c r="Y40" s="129" t="s">
        <v>2216</v>
      </c>
      <c r="Z40" s="128" t="s">
        <v>2217</v>
      </c>
      <c r="AA40" s="130" t="s">
        <v>2218</v>
      </c>
      <c r="AB40" s="131"/>
      <c r="AC40" s="132" t="s">
        <v>1975</v>
      </c>
      <c r="AD40" s="167" t="s">
        <v>146</v>
      </c>
      <c r="AE40" s="153" t="s">
        <v>2159</v>
      </c>
      <c r="AF40" s="153" t="s">
        <v>2219</v>
      </c>
      <c r="AG40" s="135" t="s">
        <v>2192</v>
      </c>
      <c r="AH40" s="136" t="s">
        <v>1980</v>
      </c>
      <c r="AI40" s="175" t="s">
        <v>2220</v>
      </c>
      <c r="AJ40" s="175" t="s">
        <v>2221</v>
      </c>
      <c r="AK40" s="176" t="s">
        <v>2222</v>
      </c>
      <c r="AL40" s="139">
        <v>15</v>
      </c>
      <c r="AM40" s="184" t="s">
        <v>2223</v>
      </c>
      <c r="AN40" s="185" t="s">
        <v>2223</v>
      </c>
    </row>
    <row r="41" spans="6:40" ht="15" customHeight="1">
      <c r="F41" s="121">
        <v>16</v>
      </c>
      <c r="G41" s="179" t="s">
        <v>2224</v>
      </c>
      <c r="H41" s="179" t="s">
        <v>2225</v>
      </c>
      <c r="I41" s="179" t="s">
        <v>2226</v>
      </c>
      <c r="J41" s="180" t="s">
        <v>2199</v>
      </c>
      <c r="K41" s="155"/>
      <c r="L41" s="161"/>
      <c r="M41" s="161"/>
      <c r="N41" s="161"/>
      <c r="O41" s="161"/>
      <c r="P41" s="123"/>
      <c r="Q41" s="124">
        <v>15</v>
      </c>
      <c r="R41" s="118" t="s">
        <v>2227</v>
      </c>
      <c r="S41" s="125" t="s">
        <v>2228</v>
      </c>
      <c r="T41" s="126" t="s">
        <v>2213</v>
      </c>
      <c r="U41" s="126" t="s">
        <v>2229</v>
      </c>
      <c r="V41" s="177"/>
      <c r="W41" s="127">
        <v>2</v>
      </c>
      <c r="X41" s="128" t="s">
        <v>2230</v>
      </c>
      <c r="Y41" s="129" t="s">
        <v>2231</v>
      </c>
      <c r="Z41" s="128" t="s">
        <v>2232</v>
      </c>
      <c r="AA41" s="130" t="s">
        <v>2233</v>
      </c>
      <c r="AB41" s="131"/>
      <c r="AC41" s="132" t="s">
        <v>1975</v>
      </c>
      <c r="AD41" s="152" t="s">
        <v>2234</v>
      </c>
      <c r="AE41" s="153" t="s">
        <v>2235</v>
      </c>
      <c r="AF41" s="153" t="s">
        <v>2236</v>
      </c>
      <c r="AG41" s="135" t="s">
        <v>1979</v>
      </c>
      <c r="AH41" s="136" t="s">
        <v>1980</v>
      </c>
      <c r="AI41" s="175" t="s">
        <v>2237</v>
      </c>
      <c r="AJ41" s="175" t="s">
        <v>2238</v>
      </c>
      <c r="AK41" s="176" t="s">
        <v>2238</v>
      </c>
      <c r="AL41" s="139">
        <v>16</v>
      </c>
      <c r="AM41" s="140"/>
      <c r="AN41" s="141"/>
    </row>
    <row r="42" spans="6:40" ht="14.15" customHeight="1">
      <c r="F42" s="121">
        <v>17</v>
      </c>
      <c r="G42" s="118" t="s">
        <v>2239</v>
      </c>
      <c r="H42" s="118" t="s">
        <v>2240</v>
      </c>
      <c r="I42" s="119" t="s">
        <v>2240</v>
      </c>
      <c r="J42" s="120"/>
      <c r="K42" s="155"/>
      <c r="L42" s="161"/>
      <c r="M42" s="161"/>
      <c r="N42" s="161"/>
      <c r="O42" s="161"/>
      <c r="P42" s="123"/>
      <c r="Q42" s="124">
        <v>16</v>
      </c>
      <c r="R42" s="163" t="s">
        <v>2241</v>
      </c>
      <c r="S42" s="165" t="s">
        <v>2228</v>
      </c>
      <c r="T42" s="166" t="s">
        <v>2242</v>
      </c>
      <c r="U42" s="166" t="s">
        <v>2242</v>
      </c>
      <c r="V42" s="122"/>
      <c r="W42" s="127">
        <v>3</v>
      </c>
      <c r="X42" s="128" t="s">
        <v>2243</v>
      </c>
      <c r="Y42" s="129" t="s">
        <v>2244</v>
      </c>
      <c r="Z42" s="128" t="s">
        <v>2245</v>
      </c>
      <c r="AA42" s="130" t="s">
        <v>2246</v>
      </c>
      <c r="AB42" s="131"/>
      <c r="AC42" s="132" t="s">
        <v>1975</v>
      </c>
      <c r="AD42" s="152" t="s">
        <v>2247</v>
      </c>
      <c r="AE42" s="153" t="s">
        <v>2248</v>
      </c>
      <c r="AF42" s="153" t="s">
        <v>2249</v>
      </c>
      <c r="AG42" s="135" t="s">
        <v>1979</v>
      </c>
      <c r="AH42" s="117" t="s">
        <v>2250</v>
      </c>
      <c r="AI42" s="186" t="s">
        <v>2251</v>
      </c>
      <c r="AJ42" s="186" t="s">
        <v>2252</v>
      </c>
      <c r="AK42" s="187" t="s">
        <v>2253</v>
      </c>
      <c r="AL42" s="139">
        <v>17</v>
      </c>
      <c r="AM42" s="140" t="s">
        <v>2254</v>
      </c>
      <c r="AN42" s="141" t="s">
        <v>2254</v>
      </c>
    </row>
    <row r="43" spans="6:40" ht="14.15" customHeight="1">
      <c r="F43" s="121">
        <v>18</v>
      </c>
      <c r="G43" s="118" t="s">
        <v>2255</v>
      </c>
      <c r="H43" s="118" t="s">
        <v>2256</v>
      </c>
      <c r="I43" s="119" t="s">
        <v>2257</v>
      </c>
      <c r="J43" s="120"/>
      <c r="K43" s="155"/>
      <c r="L43" s="161"/>
      <c r="M43" s="161"/>
      <c r="N43" s="161"/>
      <c r="O43" s="161"/>
      <c r="P43" s="123"/>
      <c r="Q43" s="124">
        <v>17</v>
      </c>
      <c r="R43" s="163" t="s">
        <v>2258</v>
      </c>
      <c r="S43" s="165" t="s">
        <v>2212</v>
      </c>
      <c r="T43" s="166" t="s">
        <v>2073</v>
      </c>
      <c r="U43" s="166" t="s">
        <v>2259</v>
      </c>
      <c r="V43" s="122"/>
      <c r="W43" s="127">
        <v>4</v>
      </c>
      <c r="X43" s="128" t="s">
        <v>2260</v>
      </c>
      <c r="Y43" s="129" t="s">
        <v>2261</v>
      </c>
      <c r="Z43" s="128" t="s">
        <v>2262</v>
      </c>
      <c r="AA43" s="130" t="s">
        <v>2263</v>
      </c>
      <c r="AB43" s="131"/>
      <c r="AC43" s="132" t="s">
        <v>1975</v>
      </c>
      <c r="AD43" s="163" t="s">
        <v>1375</v>
      </c>
      <c r="AE43" s="137" t="s">
        <v>2264</v>
      </c>
      <c r="AF43" s="137" t="s">
        <v>2264</v>
      </c>
      <c r="AG43" s="164"/>
      <c r="AH43" s="136" t="s">
        <v>1980</v>
      </c>
      <c r="AI43" s="175" t="s">
        <v>2265</v>
      </c>
      <c r="AJ43" s="175" t="s">
        <v>2265</v>
      </c>
      <c r="AK43" s="176" t="s">
        <v>2266</v>
      </c>
      <c r="AL43" s="139">
        <v>18</v>
      </c>
      <c r="AM43" s="140" t="s">
        <v>2267</v>
      </c>
      <c r="AN43" s="141" t="s">
        <v>2267</v>
      </c>
    </row>
    <row r="44" spans="6:40" ht="14.15" customHeight="1">
      <c r="F44" s="121">
        <v>19</v>
      </c>
      <c r="G44" s="118" t="s">
        <v>2268</v>
      </c>
      <c r="H44" s="118" t="s">
        <v>2269</v>
      </c>
      <c r="I44" s="119" t="s">
        <v>2242</v>
      </c>
      <c r="J44" s="120"/>
      <c r="K44" s="155"/>
      <c r="L44" s="161"/>
      <c r="M44" s="161"/>
      <c r="N44" s="161"/>
      <c r="O44" s="161"/>
      <c r="P44" s="123"/>
      <c r="Q44" s="124">
        <v>18</v>
      </c>
      <c r="R44" s="163" t="s">
        <v>2270</v>
      </c>
      <c r="S44" s="165" t="s">
        <v>2271</v>
      </c>
      <c r="T44" s="166" t="s">
        <v>2272</v>
      </c>
      <c r="U44" s="166" t="s">
        <v>2273</v>
      </c>
      <c r="V44" s="122"/>
      <c r="W44" s="181" t="s">
        <v>2274</v>
      </c>
      <c r="X44" s="182" t="s">
        <v>2275</v>
      </c>
      <c r="Y44" s="183"/>
      <c r="Z44" s="182" t="s">
        <v>2276</v>
      </c>
      <c r="AA44" s="182" t="s">
        <v>2276</v>
      </c>
      <c r="AB44" s="131"/>
      <c r="AC44" s="132" t="s">
        <v>1975</v>
      </c>
      <c r="AD44" s="133" t="s">
        <v>2277</v>
      </c>
      <c r="AE44" s="134" t="s">
        <v>2269</v>
      </c>
      <c r="AF44" s="134" t="s">
        <v>2278</v>
      </c>
      <c r="AG44" s="135" t="s">
        <v>1979</v>
      </c>
      <c r="AH44" s="188" t="s">
        <v>1980</v>
      </c>
      <c r="AI44" s="189" t="s">
        <v>2279</v>
      </c>
      <c r="AJ44" s="189" t="s">
        <v>2266</v>
      </c>
      <c r="AK44" s="190" t="s">
        <v>2266</v>
      </c>
      <c r="AL44" s="139">
        <v>19</v>
      </c>
      <c r="AM44" s="140" t="s">
        <v>2280</v>
      </c>
      <c r="AN44" s="141" t="s">
        <v>2280</v>
      </c>
    </row>
    <row r="45" spans="6:40" ht="14.15" customHeight="1">
      <c r="F45" s="121">
        <v>20</v>
      </c>
      <c r="G45" s="163" t="s">
        <v>2281</v>
      </c>
      <c r="H45" s="163" t="s">
        <v>2282</v>
      </c>
      <c r="I45" s="163" t="s">
        <v>2283</v>
      </c>
      <c r="J45" s="164"/>
      <c r="K45" s="155"/>
      <c r="L45" s="161"/>
      <c r="M45" s="161"/>
      <c r="N45" s="161"/>
      <c r="O45" s="161"/>
      <c r="P45" s="123"/>
      <c r="Q45" s="124">
        <v>19</v>
      </c>
      <c r="R45" s="163" t="s">
        <v>2284</v>
      </c>
      <c r="S45" s="165" t="s">
        <v>2285</v>
      </c>
      <c r="T45" s="166" t="s">
        <v>2286</v>
      </c>
      <c r="U45" s="166" t="s">
        <v>2287</v>
      </c>
      <c r="V45" s="122"/>
      <c r="W45" s="127">
        <v>1</v>
      </c>
      <c r="X45" s="128" t="s">
        <v>2288</v>
      </c>
      <c r="Y45" s="129" t="s">
        <v>2289</v>
      </c>
      <c r="Z45" s="129" t="s">
        <v>2290</v>
      </c>
      <c r="AA45" s="128" t="s">
        <v>2290</v>
      </c>
      <c r="AB45" s="131"/>
      <c r="AC45" s="132" t="s">
        <v>1975</v>
      </c>
      <c r="AD45" s="133" t="s">
        <v>2291</v>
      </c>
      <c r="AE45" s="134" t="s">
        <v>2292</v>
      </c>
      <c r="AF45" s="134" t="s">
        <v>2293</v>
      </c>
      <c r="AG45" s="135" t="s">
        <v>1979</v>
      </c>
      <c r="AH45" s="136" t="s">
        <v>1980</v>
      </c>
      <c r="AI45" s="175" t="s">
        <v>2279</v>
      </c>
      <c r="AJ45" s="175" t="s">
        <v>2273</v>
      </c>
      <c r="AK45" s="176" t="s">
        <v>2266</v>
      </c>
      <c r="AL45" s="139">
        <v>20</v>
      </c>
      <c r="AM45" s="140" t="s">
        <v>2294</v>
      </c>
      <c r="AN45" s="141" t="s">
        <v>2294</v>
      </c>
    </row>
    <row r="46" spans="6:40" ht="14.15" customHeight="1">
      <c r="F46" s="121">
        <v>21</v>
      </c>
      <c r="G46" s="163" t="s">
        <v>2295</v>
      </c>
      <c r="H46" s="163" t="s">
        <v>2296</v>
      </c>
      <c r="I46" s="163" t="s">
        <v>2297</v>
      </c>
      <c r="J46" s="164"/>
      <c r="K46" s="155"/>
      <c r="L46" s="161"/>
      <c r="M46" s="161"/>
      <c r="N46" s="161"/>
      <c r="O46" s="161"/>
      <c r="P46" s="123"/>
      <c r="Q46" s="124">
        <v>20</v>
      </c>
      <c r="R46" s="163" t="s">
        <v>2298</v>
      </c>
      <c r="S46" s="165" t="s">
        <v>2299</v>
      </c>
      <c r="T46" s="166" t="s">
        <v>2300</v>
      </c>
      <c r="U46" s="166" t="s">
        <v>2301</v>
      </c>
      <c r="V46" s="122"/>
      <c r="W46" s="127">
        <v>2</v>
      </c>
      <c r="X46" s="128" t="s">
        <v>2302</v>
      </c>
      <c r="Y46" s="129" t="s">
        <v>2289</v>
      </c>
      <c r="Z46" s="129" t="s">
        <v>2303</v>
      </c>
      <c r="AA46" s="128" t="s">
        <v>2303</v>
      </c>
      <c r="AB46" s="131"/>
      <c r="AC46" s="132" t="s">
        <v>1975</v>
      </c>
      <c r="AD46" s="167" t="s">
        <v>2304</v>
      </c>
      <c r="AE46" s="153" t="s">
        <v>2305</v>
      </c>
      <c r="AF46" s="153" t="s">
        <v>2305</v>
      </c>
      <c r="AG46" s="135" t="s">
        <v>2192</v>
      </c>
      <c r="AH46" s="191" t="s">
        <v>2065</v>
      </c>
      <c r="AI46" s="192" t="s">
        <v>2279</v>
      </c>
      <c r="AJ46" s="192" t="s">
        <v>2265</v>
      </c>
      <c r="AK46" s="193" t="s">
        <v>2266</v>
      </c>
      <c r="AL46" s="139">
        <v>21</v>
      </c>
      <c r="AM46" s="140" t="s">
        <v>2306</v>
      </c>
      <c r="AN46" s="141" t="s">
        <v>2306</v>
      </c>
    </row>
    <row r="47" spans="6:40" ht="14.15" customHeight="1">
      <c r="F47" s="121">
        <v>22</v>
      </c>
      <c r="G47" s="163" t="s">
        <v>2307</v>
      </c>
      <c r="H47" s="163" t="s">
        <v>2308</v>
      </c>
      <c r="I47" s="163" t="s">
        <v>2309</v>
      </c>
      <c r="J47" s="164"/>
      <c r="K47" s="155"/>
      <c r="L47" s="155"/>
      <c r="M47" s="155"/>
      <c r="N47" s="155"/>
      <c r="O47" s="155"/>
      <c r="P47" s="194"/>
      <c r="Q47" s="124">
        <v>21</v>
      </c>
      <c r="R47" s="118" t="s">
        <v>2310</v>
      </c>
      <c r="S47" s="125" t="s">
        <v>2311</v>
      </c>
      <c r="T47" s="126" t="s">
        <v>2312</v>
      </c>
      <c r="U47" s="126" t="s">
        <v>2313</v>
      </c>
      <c r="V47" s="122"/>
      <c r="W47" s="127">
        <v>3</v>
      </c>
      <c r="X47" s="128" t="s">
        <v>20</v>
      </c>
      <c r="Y47" s="129" t="s">
        <v>2314</v>
      </c>
      <c r="Z47" s="129" t="s">
        <v>2315</v>
      </c>
      <c r="AA47" s="128" t="s">
        <v>2316</v>
      </c>
      <c r="AB47" s="131"/>
      <c r="AC47" s="132" t="s">
        <v>1975</v>
      </c>
      <c r="AD47" s="167" t="s">
        <v>2317</v>
      </c>
      <c r="AE47" s="153" t="s">
        <v>2318</v>
      </c>
      <c r="AF47" s="153" t="s">
        <v>2319</v>
      </c>
      <c r="AG47" s="135" t="s">
        <v>1979</v>
      </c>
      <c r="AH47" s="158" t="s">
        <v>2065</v>
      </c>
      <c r="AI47" s="168" t="s">
        <v>2320</v>
      </c>
      <c r="AJ47" s="168" t="s">
        <v>2321</v>
      </c>
      <c r="AK47" s="174" t="s">
        <v>2322</v>
      </c>
      <c r="AL47" s="139">
        <v>22</v>
      </c>
      <c r="AM47" s="140" t="s">
        <v>2323</v>
      </c>
      <c r="AN47" s="141" t="s">
        <v>2323</v>
      </c>
    </row>
    <row r="48" spans="6:40" ht="14.15" customHeight="1">
      <c r="F48" s="121">
        <v>23</v>
      </c>
      <c r="G48" s="163" t="s">
        <v>2324</v>
      </c>
      <c r="H48" s="163" t="s">
        <v>2250</v>
      </c>
      <c r="I48" s="163" t="s">
        <v>2325</v>
      </c>
      <c r="J48" s="164"/>
      <c r="K48" s="155"/>
      <c r="L48" s="155"/>
      <c r="M48" s="155"/>
      <c r="N48" s="155"/>
      <c r="O48" s="155"/>
      <c r="P48" s="194"/>
      <c r="Q48" s="124">
        <v>22</v>
      </c>
      <c r="R48" s="118" t="s">
        <v>2326</v>
      </c>
      <c r="S48" s="125" t="s">
        <v>2327</v>
      </c>
      <c r="T48" s="126" t="s">
        <v>2328</v>
      </c>
      <c r="U48" s="126" t="s">
        <v>2329</v>
      </c>
      <c r="V48" s="122"/>
      <c r="W48" s="127">
        <v>4</v>
      </c>
      <c r="X48" s="128" t="s">
        <v>1375</v>
      </c>
      <c r="Y48" s="129" t="s">
        <v>2330</v>
      </c>
      <c r="Z48" s="129" t="s">
        <v>2264</v>
      </c>
      <c r="AA48" s="128" t="s">
        <v>2264</v>
      </c>
      <c r="AB48" s="131"/>
      <c r="AC48" s="132" t="s">
        <v>1975</v>
      </c>
      <c r="AD48" s="133" t="s">
        <v>2331</v>
      </c>
      <c r="AE48" s="134" t="s">
        <v>69</v>
      </c>
      <c r="AF48" s="134" t="s">
        <v>2332</v>
      </c>
      <c r="AG48" s="135" t="s">
        <v>1979</v>
      </c>
      <c r="AH48" s="136" t="s">
        <v>1980</v>
      </c>
      <c r="AI48" s="175" t="s">
        <v>2333</v>
      </c>
      <c r="AJ48" s="175" t="s">
        <v>2334</v>
      </c>
      <c r="AK48" s="176" t="s">
        <v>2335</v>
      </c>
      <c r="AL48" s="139">
        <v>23</v>
      </c>
      <c r="AM48" s="140" t="s">
        <v>2336</v>
      </c>
      <c r="AN48" s="141" t="s">
        <v>2336</v>
      </c>
    </row>
    <row r="49" spans="6:40" ht="14.15" customHeight="1">
      <c r="F49" s="121">
        <v>24</v>
      </c>
      <c r="G49" s="163" t="s">
        <v>2337</v>
      </c>
      <c r="H49" s="163" t="s">
        <v>2338</v>
      </c>
      <c r="I49" s="163" t="s">
        <v>2339</v>
      </c>
      <c r="J49" s="164"/>
      <c r="K49" s="155"/>
      <c r="L49" s="155"/>
      <c r="M49" s="155"/>
      <c r="N49" s="155"/>
      <c r="O49" s="155"/>
      <c r="P49" s="194"/>
      <c r="Q49" s="124">
        <v>23</v>
      </c>
      <c r="R49" s="163" t="s">
        <v>2340</v>
      </c>
      <c r="S49" s="165" t="s">
        <v>2341</v>
      </c>
      <c r="T49" s="166" t="s">
        <v>2342</v>
      </c>
      <c r="U49" s="166" t="s">
        <v>2343</v>
      </c>
      <c r="V49" s="122"/>
      <c r="W49" s="127">
        <v>5</v>
      </c>
      <c r="X49" s="128" t="s">
        <v>2344</v>
      </c>
      <c r="Y49" s="129" t="s">
        <v>2345</v>
      </c>
      <c r="Z49" s="129" t="s">
        <v>2346</v>
      </c>
      <c r="AA49" s="128" t="s">
        <v>2347</v>
      </c>
      <c r="AB49" s="131"/>
      <c r="AC49" s="132" t="s">
        <v>1975</v>
      </c>
      <c r="AD49" s="167" t="s">
        <v>815</v>
      </c>
      <c r="AE49" s="153" t="s">
        <v>2348</v>
      </c>
      <c r="AF49" s="153" t="s">
        <v>2349</v>
      </c>
      <c r="AG49" s="135" t="s">
        <v>2095</v>
      </c>
      <c r="AH49" s="136" t="s">
        <v>1980</v>
      </c>
      <c r="AI49" s="175" t="s">
        <v>2350</v>
      </c>
      <c r="AJ49" s="175" t="s">
        <v>2351</v>
      </c>
      <c r="AK49" s="176" t="s">
        <v>2352</v>
      </c>
      <c r="AL49" s="139">
        <v>24</v>
      </c>
      <c r="AM49" s="140" t="s">
        <v>2353</v>
      </c>
      <c r="AN49" s="141" t="s">
        <v>2353</v>
      </c>
    </row>
    <row r="50" spans="6:40" ht="14.15" customHeight="1">
      <c r="F50" s="121">
        <v>25</v>
      </c>
      <c r="G50" s="163" t="s">
        <v>2354</v>
      </c>
      <c r="H50" s="163" t="s">
        <v>2355</v>
      </c>
      <c r="I50" s="163" t="s">
        <v>2124</v>
      </c>
      <c r="J50" s="164"/>
      <c r="K50" s="161"/>
      <c r="L50" s="161"/>
      <c r="M50" s="161"/>
      <c r="N50" s="161"/>
      <c r="O50" s="161"/>
      <c r="P50" s="123"/>
      <c r="Q50" s="124">
        <v>24</v>
      </c>
      <c r="R50" s="163" t="s">
        <v>2356</v>
      </c>
      <c r="S50" s="165" t="s">
        <v>2357</v>
      </c>
      <c r="T50" s="166" t="s">
        <v>2358</v>
      </c>
      <c r="U50" s="166" t="s">
        <v>2359</v>
      </c>
      <c r="V50" s="122"/>
      <c r="W50" s="181" t="s">
        <v>2360</v>
      </c>
      <c r="X50" s="182" t="s">
        <v>2361</v>
      </c>
      <c r="Y50" s="183"/>
      <c r="Z50" s="182" t="s">
        <v>2362</v>
      </c>
      <c r="AA50" s="182" t="s">
        <v>2362</v>
      </c>
      <c r="AB50" s="131"/>
      <c r="AC50" s="132" t="s">
        <v>1975</v>
      </c>
      <c r="AD50" s="152" t="s">
        <v>2363</v>
      </c>
      <c r="AE50" s="153" t="s">
        <v>2364</v>
      </c>
      <c r="AF50" s="153" t="s">
        <v>2365</v>
      </c>
      <c r="AG50" s="135" t="s">
        <v>1979</v>
      </c>
      <c r="AH50" s="136" t="s">
        <v>1980</v>
      </c>
      <c r="AI50" s="175" t="s">
        <v>2366</v>
      </c>
      <c r="AJ50" s="175" t="s">
        <v>2367</v>
      </c>
      <c r="AK50" s="176" t="s">
        <v>2367</v>
      </c>
      <c r="AL50" s="139">
        <v>25</v>
      </c>
      <c r="AM50" s="140" t="s">
        <v>2368</v>
      </c>
      <c r="AN50" s="141" t="s">
        <v>2368</v>
      </c>
    </row>
    <row r="51" spans="6:40" ht="14.15" customHeight="1">
      <c r="F51" s="121">
        <v>26</v>
      </c>
      <c r="G51" s="163" t="s">
        <v>2369</v>
      </c>
      <c r="H51" s="163" t="s">
        <v>2370</v>
      </c>
      <c r="I51" s="163" t="s">
        <v>2371</v>
      </c>
      <c r="J51" s="164"/>
      <c r="K51" s="161"/>
      <c r="L51" s="161"/>
      <c r="M51" s="161"/>
      <c r="N51" s="161"/>
      <c r="O51" s="161"/>
      <c r="P51" s="123"/>
      <c r="Q51" s="124">
        <v>25</v>
      </c>
      <c r="R51" s="118" t="s">
        <v>2372</v>
      </c>
      <c r="S51" s="125" t="s">
        <v>2373</v>
      </c>
      <c r="T51" s="126" t="s">
        <v>2374</v>
      </c>
      <c r="U51" s="126" t="s">
        <v>2375</v>
      </c>
      <c r="V51" s="122"/>
      <c r="W51" s="127">
        <v>1</v>
      </c>
      <c r="X51" s="128" t="s">
        <v>2376</v>
      </c>
      <c r="Y51" s="129" t="s">
        <v>2377</v>
      </c>
      <c r="Z51" s="129" t="s">
        <v>2378</v>
      </c>
      <c r="AA51" s="128" t="s">
        <v>2379</v>
      </c>
      <c r="AB51" s="131"/>
      <c r="AC51" s="132" t="s">
        <v>1975</v>
      </c>
      <c r="AD51" s="167" t="s">
        <v>2380</v>
      </c>
      <c r="AE51" s="153" t="s">
        <v>2381</v>
      </c>
      <c r="AF51" s="153" t="s">
        <v>2381</v>
      </c>
      <c r="AG51" s="135" t="s">
        <v>1979</v>
      </c>
      <c r="AH51" s="136" t="s">
        <v>1980</v>
      </c>
      <c r="AI51" s="175" t="s">
        <v>2382</v>
      </c>
      <c r="AJ51" s="175" t="s">
        <v>2383</v>
      </c>
      <c r="AK51" s="176" t="s">
        <v>2384</v>
      </c>
      <c r="AL51" s="139">
        <v>26</v>
      </c>
      <c r="AM51" s="140" t="s">
        <v>2385</v>
      </c>
      <c r="AN51" s="141" t="s">
        <v>2196</v>
      </c>
    </row>
    <row r="52" spans="6:40" ht="14.15" customHeight="1">
      <c r="F52" s="121">
        <v>27</v>
      </c>
      <c r="G52" s="163" t="s">
        <v>2386</v>
      </c>
      <c r="H52" s="163" t="s">
        <v>2387</v>
      </c>
      <c r="I52" s="163" t="s">
        <v>2388</v>
      </c>
      <c r="J52" s="164"/>
      <c r="K52" s="161"/>
      <c r="L52" s="161"/>
      <c r="M52" s="161"/>
      <c r="N52" s="161"/>
      <c r="O52" s="161"/>
      <c r="P52" s="123"/>
      <c r="Q52" s="124">
        <v>25</v>
      </c>
      <c r="R52" s="118" t="s">
        <v>2389</v>
      </c>
      <c r="S52" s="125" t="s">
        <v>2390</v>
      </c>
      <c r="T52" s="126" t="s">
        <v>2374</v>
      </c>
      <c r="U52" s="126" t="s">
        <v>2391</v>
      </c>
      <c r="V52" s="122"/>
      <c r="W52" s="127">
        <v>2</v>
      </c>
      <c r="X52" s="128" t="s">
        <v>2392</v>
      </c>
      <c r="Y52" s="129" t="s">
        <v>2393</v>
      </c>
      <c r="Z52" s="129" t="s">
        <v>2394</v>
      </c>
      <c r="AA52" s="128" t="s">
        <v>2394</v>
      </c>
      <c r="AB52" s="131"/>
      <c r="AC52" s="132" t="s">
        <v>1975</v>
      </c>
      <c r="AD52" s="167" t="s">
        <v>2395</v>
      </c>
      <c r="AE52" s="153" t="s">
        <v>2396</v>
      </c>
      <c r="AF52" s="153" t="s">
        <v>2397</v>
      </c>
      <c r="AG52" s="135" t="s">
        <v>2398</v>
      </c>
      <c r="AH52" s="136" t="s">
        <v>1980</v>
      </c>
      <c r="AI52" s="175" t="s">
        <v>2399</v>
      </c>
      <c r="AJ52" s="175" t="s">
        <v>2400</v>
      </c>
      <c r="AK52" s="176" t="s">
        <v>2401</v>
      </c>
      <c r="AL52" s="139">
        <v>27</v>
      </c>
      <c r="AM52" s="140" t="s">
        <v>2402</v>
      </c>
      <c r="AN52" s="141" t="s">
        <v>2208</v>
      </c>
    </row>
    <row r="53" spans="6:40" ht="14.25" customHeight="1">
      <c r="F53" s="121">
        <v>28</v>
      </c>
      <c r="G53" s="163" t="s">
        <v>2403</v>
      </c>
      <c r="H53" s="163" t="s">
        <v>2404</v>
      </c>
      <c r="I53" s="163" t="s">
        <v>2405</v>
      </c>
      <c r="J53" s="164"/>
      <c r="K53" s="161"/>
      <c r="L53" s="161"/>
      <c r="M53" s="161"/>
      <c r="N53" s="161"/>
      <c r="O53" s="161"/>
      <c r="P53" s="123"/>
      <c r="Q53" s="124">
        <v>26</v>
      </c>
      <c r="R53" s="163" t="s">
        <v>2406</v>
      </c>
      <c r="S53" s="165" t="s">
        <v>2407</v>
      </c>
      <c r="T53" s="166" t="s">
        <v>2408</v>
      </c>
      <c r="U53" s="166" t="s">
        <v>2408</v>
      </c>
      <c r="V53" s="122"/>
      <c r="W53" s="127">
        <v>3</v>
      </c>
      <c r="X53" s="128" t="s">
        <v>2409</v>
      </c>
      <c r="Y53" s="129" t="s">
        <v>2410</v>
      </c>
      <c r="Z53" s="128" t="s">
        <v>2411</v>
      </c>
      <c r="AA53" s="128" t="s">
        <v>2411</v>
      </c>
      <c r="AB53" s="131"/>
      <c r="AC53" s="132" t="s">
        <v>1975</v>
      </c>
      <c r="AD53" s="133" t="s">
        <v>2412</v>
      </c>
      <c r="AE53" s="134" t="s">
        <v>2413</v>
      </c>
      <c r="AF53" s="134" t="s">
        <v>2414</v>
      </c>
      <c r="AG53" s="135" t="s">
        <v>1979</v>
      </c>
      <c r="AH53" s="136" t="s">
        <v>1980</v>
      </c>
      <c r="AI53" s="175" t="s">
        <v>2399</v>
      </c>
      <c r="AJ53" s="175" t="s">
        <v>2415</v>
      </c>
      <c r="AK53" s="176" t="s">
        <v>2401</v>
      </c>
      <c r="AL53" s="139">
        <v>28</v>
      </c>
      <c r="AM53" s="184" t="s">
        <v>2416</v>
      </c>
      <c r="AN53" s="185" t="s">
        <v>2416</v>
      </c>
    </row>
    <row r="54" spans="6:40" ht="14.25" customHeight="1">
      <c r="F54" s="121">
        <v>29</v>
      </c>
      <c r="G54" s="163" t="s">
        <v>2417</v>
      </c>
      <c r="H54" s="163" t="s">
        <v>2418</v>
      </c>
      <c r="I54" s="163" t="s">
        <v>1898</v>
      </c>
      <c r="J54" s="164"/>
      <c r="K54" s="161"/>
      <c r="L54" s="161"/>
      <c r="M54" s="161"/>
      <c r="N54" s="161"/>
      <c r="O54" s="161"/>
      <c r="P54" s="123"/>
      <c r="Q54" s="124">
        <v>27</v>
      </c>
      <c r="R54" s="163" t="s">
        <v>2419</v>
      </c>
      <c r="S54" s="165" t="s">
        <v>2420</v>
      </c>
      <c r="T54" s="166" t="s">
        <v>2421</v>
      </c>
      <c r="U54" s="166" t="s">
        <v>2422</v>
      </c>
      <c r="V54" s="122"/>
      <c r="W54" s="127">
        <v>5</v>
      </c>
      <c r="X54" s="128" t="s">
        <v>2423</v>
      </c>
      <c r="Y54" s="129" t="s">
        <v>2424</v>
      </c>
      <c r="Z54" s="129" t="s">
        <v>2425</v>
      </c>
      <c r="AA54" s="128" t="s">
        <v>2425</v>
      </c>
      <c r="AB54" s="131"/>
      <c r="AC54" s="132" t="s">
        <v>1975</v>
      </c>
      <c r="AD54" s="133" t="s">
        <v>2426</v>
      </c>
      <c r="AE54" s="134" t="s">
        <v>2427</v>
      </c>
      <c r="AF54" s="134" t="s">
        <v>2428</v>
      </c>
      <c r="AG54" s="135" t="s">
        <v>1979</v>
      </c>
      <c r="AH54" s="136" t="s">
        <v>1980</v>
      </c>
      <c r="AI54" s="175" t="s">
        <v>2429</v>
      </c>
      <c r="AJ54" s="175" t="s">
        <v>2430</v>
      </c>
      <c r="AK54" s="176" t="s">
        <v>2431</v>
      </c>
      <c r="AL54" s="139">
        <v>29</v>
      </c>
      <c r="AM54" s="140" t="s">
        <v>2432</v>
      </c>
      <c r="AN54" s="141" t="s">
        <v>2432</v>
      </c>
    </row>
    <row r="55" spans="6:40" ht="14.25" customHeight="1">
      <c r="F55" s="121">
        <v>30</v>
      </c>
      <c r="G55" s="163" t="s">
        <v>2433</v>
      </c>
      <c r="H55" s="163" t="s">
        <v>2434</v>
      </c>
      <c r="I55" s="163" t="s">
        <v>2435</v>
      </c>
      <c r="J55" s="164"/>
      <c r="K55" s="161"/>
      <c r="L55" s="161"/>
      <c r="M55" s="161"/>
      <c r="N55" s="161"/>
      <c r="O55" s="161"/>
      <c r="P55" s="123"/>
      <c r="Q55" s="124">
        <v>28</v>
      </c>
      <c r="R55" s="163" t="s">
        <v>2436</v>
      </c>
      <c r="S55" s="165" t="s">
        <v>2437</v>
      </c>
      <c r="T55" s="166" t="s">
        <v>2438</v>
      </c>
      <c r="U55" s="166" t="s">
        <v>2439</v>
      </c>
      <c r="V55" s="122"/>
      <c r="W55" s="127">
        <v>6</v>
      </c>
      <c r="X55" s="128" t="s">
        <v>2440</v>
      </c>
      <c r="Y55" s="129" t="s">
        <v>2441</v>
      </c>
      <c r="Z55" s="129" t="s">
        <v>2442</v>
      </c>
      <c r="AA55" s="128" t="s">
        <v>2442</v>
      </c>
      <c r="AB55" s="131"/>
      <c r="AC55" s="132" t="s">
        <v>1975</v>
      </c>
      <c r="AD55" s="133" t="s">
        <v>2443</v>
      </c>
      <c r="AE55" s="134" t="s">
        <v>2444</v>
      </c>
      <c r="AF55" s="134" t="s">
        <v>2445</v>
      </c>
      <c r="AG55" s="135" t="s">
        <v>1979</v>
      </c>
      <c r="AH55" s="136" t="s">
        <v>1980</v>
      </c>
      <c r="AI55" s="175" t="s">
        <v>2446</v>
      </c>
      <c r="AJ55" s="175" t="s">
        <v>2447</v>
      </c>
      <c r="AK55" s="176" t="s">
        <v>2448</v>
      </c>
      <c r="AL55" s="139">
        <v>30</v>
      </c>
      <c r="AM55" s="140" t="s">
        <v>2449</v>
      </c>
      <c r="AN55" s="141" t="s">
        <v>2449</v>
      </c>
    </row>
    <row r="56" spans="6:40" ht="14.25" customHeight="1">
      <c r="F56" s="121">
        <v>31</v>
      </c>
      <c r="G56" s="163" t="s">
        <v>2450</v>
      </c>
      <c r="H56" s="163" t="s">
        <v>2451</v>
      </c>
      <c r="I56" s="163" t="s">
        <v>2452</v>
      </c>
      <c r="J56" s="164" t="s">
        <v>1979</v>
      </c>
      <c r="K56" s="161"/>
      <c r="L56" s="161"/>
      <c r="M56" s="161"/>
      <c r="N56" s="161"/>
      <c r="O56" s="161"/>
      <c r="P56" s="123"/>
      <c r="Q56" s="124">
        <v>29</v>
      </c>
      <c r="R56" s="118" t="s">
        <v>2453</v>
      </c>
      <c r="S56" s="165" t="s">
        <v>2454</v>
      </c>
      <c r="T56" s="126" t="s">
        <v>2455</v>
      </c>
      <c r="U56" s="126" t="s">
        <v>2456</v>
      </c>
      <c r="V56" s="122"/>
      <c r="W56" s="181" t="s">
        <v>2360</v>
      </c>
      <c r="X56" s="182" t="s">
        <v>2457</v>
      </c>
      <c r="Y56" s="183"/>
      <c r="Z56" s="182" t="s">
        <v>2458</v>
      </c>
      <c r="AA56" s="182" t="s">
        <v>2458</v>
      </c>
      <c r="AB56" s="131"/>
      <c r="AC56" s="132" t="s">
        <v>1975</v>
      </c>
      <c r="AD56" s="152" t="s">
        <v>2459</v>
      </c>
      <c r="AE56" s="153" t="s">
        <v>2460</v>
      </c>
      <c r="AF56" s="153" t="s">
        <v>2460</v>
      </c>
      <c r="AG56" s="135" t="s">
        <v>1979</v>
      </c>
      <c r="AH56" s="136" t="s">
        <v>1980</v>
      </c>
      <c r="AI56" s="175" t="s">
        <v>2461</v>
      </c>
      <c r="AJ56" s="175" t="s">
        <v>2462</v>
      </c>
      <c r="AK56" s="176" t="s">
        <v>2462</v>
      </c>
      <c r="AL56" s="139">
        <v>31</v>
      </c>
      <c r="AM56" s="140" t="s">
        <v>2463</v>
      </c>
      <c r="AN56" s="140" t="s">
        <v>2463</v>
      </c>
    </row>
    <row r="57" spans="6:40" ht="14.25" customHeight="1">
      <c r="F57" s="121">
        <v>32</v>
      </c>
      <c r="G57" s="163" t="s">
        <v>2464</v>
      </c>
      <c r="H57" s="163" t="s">
        <v>2465</v>
      </c>
      <c r="I57" s="163" t="s">
        <v>2465</v>
      </c>
      <c r="J57" s="164"/>
      <c r="K57" s="161"/>
      <c r="L57" s="161"/>
      <c r="M57" s="161"/>
      <c r="N57" s="161"/>
      <c r="O57" s="161"/>
      <c r="P57" s="123"/>
      <c r="Q57" s="124">
        <v>30</v>
      </c>
      <c r="R57" s="118" t="s">
        <v>2466</v>
      </c>
      <c r="S57" s="125" t="s">
        <v>2467</v>
      </c>
      <c r="T57" s="126" t="s">
        <v>2468</v>
      </c>
      <c r="U57" s="126" t="s">
        <v>2469</v>
      </c>
      <c r="V57" s="122"/>
      <c r="W57" s="127">
        <v>4</v>
      </c>
      <c r="X57" s="128" t="s">
        <v>2470</v>
      </c>
      <c r="Y57" s="129" t="s">
        <v>2471</v>
      </c>
      <c r="Z57" s="129" t="s">
        <v>2472</v>
      </c>
      <c r="AA57" s="128" t="s">
        <v>2473</v>
      </c>
      <c r="AB57" s="131"/>
      <c r="AC57" s="132" t="s">
        <v>1975</v>
      </c>
      <c r="AD57" s="167" t="s">
        <v>2474</v>
      </c>
      <c r="AE57" s="153" t="s">
        <v>2475</v>
      </c>
      <c r="AF57" s="153" t="s">
        <v>2475</v>
      </c>
      <c r="AG57" s="135" t="s">
        <v>1979</v>
      </c>
      <c r="AH57" s="158" t="s">
        <v>2065</v>
      </c>
      <c r="AI57" s="168" t="s">
        <v>2461</v>
      </c>
      <c r="AJ57" s="168" t="s">
        <v>2269</v>
      </c>
      <c r="AK57" s="174" t="s">
        <v>2462</v>
      </c>
      <c r="AL57" s="139">
        <v>32</v>
      </c>
      <c r="AM57" s="140" t="s">
        <v>2476</v>
      </c>
      <c r="AN57" s="140" t="s">
        <v>2476</v>
      </c>
    </row>
    <row r="58" spans="6:40" ht="14.15" customHeight="1">
      <c r="F58" s="121">
        <v>33</v>
      </c>
      <c r="G58" s="163" t="s">
        <v>2477</v>
      </c>
      <c r="H58" s="163" t="s">
        <v>2478</v>
      </c>
      <c r="I58" s="163" t="s">
        <v>2479</v>
      </c>
      <c r="J58" s="164"/>
      <c r="K58" s="161"/>
      <c r="L58" s="161"/>
      <c r="M58" s="161"/>
      <c r="N58" s="161"/>
      <c r="O58" s="161"/>
      <c r="P58" s="123"/>
      <c r="Q58" s="124">
        <v>36</v>
      </c>
      <c r="R58" s="163" t="s">
        <v>2480</v>
      </c>
      <c r="S58" s="165" t="s">
        <v>2481</v>
      </c>
      <c r="T58" s="166" t="s">
        <v>2482</v>
      </c>
      <c r="U58" s="166" t="s">
        <v>2483</v>
      </c>
      <c r="V58" s="122"/>
      <c r="W58" s="127">
        <v>4</v>
      </c>
      <c r="X58" s="128" t="s">
        <v>2484</v>
      </c>
      <c r="Y58" s="129" t="s">
        <v>2485</v>
      </c>
      <c r="Z58" s="129" t="s">
        <v>2486</v>
      </c>
      <c r="AA58" s="128" t="s">
        <v>2487</v>
      </c>
      <c r="AB58" s="131"/>
      <c r="AC58" s="132" t="s">
        <v>1975</v>
      </c>
      <c r="AD58" s="167" t="s">
        <v>2488</v>
      </c>
      <c r="AE58" s="153" t="s">
        <v>2444</v>
      </c>
      <c r="AF58" s="153" t="s">
        <v>2489</v>
      </c>
      <c r="AG58" s="135" t="s">
        <v>2192</v>
      </c>
      <c r="AH58" s="158" t="s">
        <v>2065</v>
      </c>
      <c r="AI58" s="168" t="s">
        <v>2490</v>
      </c>
      <c r="AJ58" s="168" t="s">
        <v>2047</v>
      </c>
      <c r="AK58" s="174" t="s">
        <v>2491</v>
      </c>
      <c r="AL58" s="139">
        <v>33</v>
      </c>
      <c r="AM58" s="140" t="s">
        <v>2492</v>
      </c>
      <c r="AN58" s="140" t="s">
        <v>2492</v>
      </c>
    </row>
    <row r="59" spans="6:40" ht="14.15" customHeight="1">
      <c r="F59" s="121">
        <v>34</v>
      </c>
      <c r="G59" s="163" t="s">
        <v>2493</v>
      </c>
      <c r="H59" s="163" t="s">
        <v>1980</v>
      </c>
      <c r="I59" s="163" t="s">
        <v>1980</v>
      </c>
      <c r="J59" s="164"/>
      <c r="K59" s="161"/>
      <c r="L59" s="161"/>
      <c r="M59" s="161"/>
      <c r="N59" s="161"/>
      <c r="O59" s="161"/>
      <c r="P59" s="123"/>
      <c r="Q59" s="124">
        <v>31</v>
      </c>
      <c r="R59" s="163" t="s">
        <v>2494</v>
      </c>
      <c r="S59" s="165" t="s">
        <v>2495</v>
      </c>
      <c r="T59" s="166" t="s">
        <v>2496</v>
      </c>
      <c r="U59" s="166" t="s">
        <v>2497</v>
      </c>
      <c r="V59" s="122"/>
      <c r="W59" s="127">
        <v>4</v>
      </c>
      <c r="X59" s="128" t="s">
        <v>2498</v>
      </c>
      <c r="Y59" s="129" t="s">
        <v>2499</v>
      </c>
      <c r="Z59" s="129" t="s">
        <v>2500</v>
      </c>
      <c r="AA59" s="129" t="s">
        <v>2500</v>
      </c>
      <c r="AB59" s="131"/>
      <c r="AC59" s="132" t="s">
        <v>1975</v>
      </c>
      <c r="AD59" s="133" t="s">
        <v>45</v>
      </c>
      <c r="AE59" s="134" t="s">
        <v>2501</v>
      </c>
      <c r="AF59" s="134" t="s">
        <v>2502</v>
      </c>
      <c r="AG59" s="135" t="s">
        <v>2503</v>
      </c>
      <c r="AH59" s="136" t="s">
        <v>1980</v>
      </c>
      <c r="AI59" s="175" t="s">
        <v>2504</v>
      </c>
      <c r="AJ59" s="175" t="s">
        <v>2505</v>
      </c>
      <c r="AK59" s="176" t="s">
        <v>2506</v>
      </c>
      <c r="AL59" s="139">
        <v>34</v>
      </c>
      <c r="AM59" s="140" t="s">
        <v>2507</v>
      </c>
      <c r="AN59" s="140" t="s">
        <v>2507</v>
      </c>
    </row>
    <row r="60" spans="6:40" ht="14.15" customHeight="1">
      <c r="F60" s="121">
        <v>35</v>
      </c>
      <c r="G60" s="118" t="s">
        <v>2508</v>
      </c>
      <c r="H60" s="118" t="s">
        <v>2509</v>
      </c>
      <c r="I60" s="118" t="s">
        <v>2510</v>
      </c>
      <c r="J60" s="120"/>
      <c r="K60" s="161"/>
      <c r="L60" s="161"/>
      <c r="M60" s="161"/>
      <c r="N60" s="161"/>
      <c r="O60" s="161"/>
      <c r="P60" s="123"/>
      <c r="Q60" s="124">
        <v>32</v>
      </c>
      <c r="R60" s="163" t="s">
        <v>2511</v>
      </c>
      <c r="S60" s="165" t="s">
        <v>2512</v>
      </c>
      <c r="T60" s="166" t="s">
        <v>2513</v>
      </c>
      <c r="U60" s="166"/>
      <c r="V60" s="122"/>
      <c r="W60" s="127">
        <v>4</v>
      </c>
      <c r="X60" s="128" t="s">
        <v>2514</v>
      </c>
      <c r="Y60" s="129" t="s">
        <v>2515</v>
      </c>
      <c r="Z60" s="129" t="s">
        <v>2516</v>
      </c>
      <c r="AA60" s="129" t="s">
        <v>2516</v>
      </c>
      <c r="AB60" s="131"/>
      <c r="AC60" s="132" t="s">
        <v>1975</v>
      </c>
      <c r="AD60" s="133" t="s">
        <v>2517</v>
      </c>
      <c r="AE60" s="134" t="s">
        <v>2518</v>
      </c>
      <c r="AF60" s="134" t="s">
        <v>2519</v>
      </c>
      <c r="AG60" s="135" t="s">
        <v>2192</v>
      </c>
      <c r="AH60" s="158" t="s">
        <v>2065</v>
      </c>
      <c r="AI60" s="168" t="s">
        <v>2520</v>
      </c>
      <c r="AJ60" s="168" t="s">
        <v>2521</v>
      </c>
      <c r="AK60" s="174" t="s">
        <v>2522</v>
      </c>
      <c r="AL60" s="139">
        <v>35</v>
      </c>
      <c r="AM60" s="140" t="s">
        <v>2523</v>
      </c>
      <c r="AN60" s="140" t="s">
        <v>2523</v>
      </c>
    </row>
    <row r="61" spans="6:40">
      <c r="F61" s="121">
        <v>36</v>
      </c>
      <c r="G61" s="118" t="s">
        <v>2524</v>
      </c>
      <c r="H61" s="118" t="s">
        <v>2525</v>
      </c>
      <c r="I61" s="118" t="s">
        <v>2213</v>
      </c>
      <c r="J61" s="120"/>
      <c r="K61" s="161"/>
      <c r="L61" s="161"/>
      <c r="M61" s="161"/>
      <c r="N61" s="161"/>
      <c r="O61" s="161"/>
      <c r="P61" s="123"/>
      <c r="Q61" s="124">
        <v>33</v>
      </c>
      <c r="R61" s="163" t="s">
        <v>2526</v>
      </c>
      <c r="S61" s="165" t="s">
        <v>2527</v>
      </c>
      <c r="T61" s="166" t="s">
        <v>2528</v>
      </c>
      <c r="U61" s="166"/>
      <c r="V61" s="122"/>
      <c r="W61" s="127">
        <v>6</v>
      </c>
      <c r="X61" s="128" t="s">
        <v>2529</v>
      </c>
      <c r="Y61" s="129" t="s">
        <v>2530</v>
      </c>
      <c r="Z61" s="129" t="s">
        <v>2531</v>
      </c>
      <c r="AA61" s="128" t="s">
        <v>2531</v>
      </c>
      <c r="AB61" s="131"/>
      <c r="AC61" s="132" t="s">
        <v>1975</v>
      </c>
      <c r="AD61" s="152" t="s">
        <v>2532</v>
      </c>
      <c r="AE61" s="153" t="s">
        <v>2533</v>
      </c>
      <c r="AF61" s="153" t="s">
        <v>2533</v>
      </c>
      <c r="AG61" s="135" t="s">
        <v>1979</v>
      </c>
      <c r="AH61" s="136" t="s">
        <v>1980</v>
      </c>
      <c r="AI61" s="175" t="s">
        <v>2534</v>
      </c>
      <c r="AJ61" s="175" t="s">
        <v>2535</v>
      </c>
      <c r="AK61" s="176" t="s">
        <v>2536</v>
      </c>
      <c r="AL61" s="139">
        <v>36</v>
      </c>
      <c r="AM61" s="140" t="s">
        <v>2537</v>
      </c>
      <c r="AN61" s="140" t="s">
        <v>2537</v>
      </c>
    </row>
    <row r="62" spans="6:40">
      <c r="F62" s="121">
        <v>37</v>
      </c>
      <c r="G62" s="118" t="s">
        <v>2538</v>
      </c>
      <c r="H62" s="118" t="s">
        <v>2539</v>
      </c>
      <c r="I62" s="118" t="s">
        <v>2539</v>
      </c>
      <c r="J62" s="120"/>
      <c r="K62" s="161"/>
      <c r="L62" s="161"/>
      <c r="M62" s="161"/>
      <c r="N62" s="161"/>
      <c r="O62" s="161"/>
      <c r="P62" s="123"/>
      <c r="Q62" s="124">
        <v>34</v>
      </c>
      <c r="R62" s="163" t="s">
        <v>2540</v>
      </c>
      <c r="S62" s="165" t="s">
        <v>2541</v>
      </c>
      <c r="T62" s="166" t="s">
        <v>2542</v>
      </c>
      <c r="U62" s="166"/>
      <c r="V62" s="122"/>
      <c r="W62" s="181" t="s">
        <v>2543</v>
      </c>
      <c r="X62" s="182" t="s">
        <v>2544</v>
      </c>
      <c r="Y62" s="183"/>
      <c r="Z62" s="182"/>
      <c r="AA62" s="182"/>
      <c r="AB62" s="131"/>
      <c r="AC62" s="132" t="s">
        <v>1975</v>
      </c>
      <c r="AD62" s="152" t="s">
        <v>2545</v>
      </c>
      <c r="AE62" s="153" t="s">
        <v>2546</v>
      </c>
      <c r="AF62" s="153" t="s">
        <v>2546</v>
      </c>
      <c r="AG62" s="135" t="s">
        <v>1979</v>
      </c>
      <c r="AH62" s="158" t="s">
        <v>2065</v>
      </c>
      <c r="AI62" s="168" t="s">
        <v>2547</v>
      </c>
      <c r="AJ62" s="168" t="s">
        <v>2248</v>
      </c>
      <c r="AK62" s="174" t="s">
        <v>2548</v>
      </c>
      <c r="AL62" s="139">
        <v>37</v>
      </c>
      <c r="AM62" s="140" t="s">
        <v>2549</v>
      </c>
      <c r="AN62" s="140" t="s">
        <v>2549</v>
      </c>
    </row>
    <row r="63" spans="6:40">
      <c r="F63" s="121">
        <v>38</v>
      </c>
      <c r="G63" s="118" t="s">
        <v>2550</v>
      </c>
      <c r="H63" s="118" t="s">
        <v>2551</v>
      </c>
      <c r="I63" s="118" t="s">
        <v>2552</v>
      </c>
      <c r="J63" s="120"/>
      <c r="K63" s="161"/>
      <c r="L63" s="161"/>
      <c r="M63" s="161"/>
      <c r="N63" s="161"/>
      <c r="O63" s="161"/>
      <c r="P63" s="123"/>
      <c r="Q63" s="124">
        <v>35</v>
      </c>
      <c r="R63" s="163" t="s">
        <v>2553</v>
      </c>
      <c r="S63" s="165" t="s">
        <v>2554</v>
      </c>
      <c r="T63" s="166" t="s">
        <v>2555</v>
      </c>
      <c r="U63" s="166"/>
      <c r="V63" s="122"/>
      <c r="W63" s="127">
        <v>1</v>
      </c>
      <c r="X63" s="128" t="s">
        <v>2556</v>
      </c>
      <c r="Y63" s="129" t="s">
        <v>2557</v>
      </c>
      <c r="Z63" s="129" t="s">
        <v>2558</v>
      </c>
      <c r="AA63" s="128" t="s">
        <v>2559</v>
      </c>
      <c r="AB63" s="131"/>
      <c r="AC63" s="132" t="s">
        <v>1975</v>
      </c>
      <c r="AD63" s="152" t="s">
        <v>2560</v>
      </c>
      <c r="AE63" s="153" t="s">
        <v>2561</v>
      </c>
      <c r="AF63" s="153" t="s">
        <v>2562</v>
      </c>
      <c r="AG63" s="135" t="s">
        <v>1979</v>
      </c>
      <c r="AH63" s="136" t="s">
        <v>1980</v>
      </c>
      <c r="AI63" s="175" t="s">
        <v>2563</v>
      </c>
      <c r="AJ63" s="175" t="s">
        <v>2564</v>
      </c>
      <c r="AK63" s="176" t="s">
        <v>2565</v>
      </c>
      <c r="AL63" s="139">
        <v>38</v>
      </c>
      <c r="AM63" s="140" t="s">
        <v>2566</v>
      </c>
      <c r="AN63" s="140" t="s">
        <v>2566</v>
      </c>
    </row>
    <row r="64" spans="6:40">
      <c r="F64" s="121">
        <v>39</v>
      </c>
      <c r="G64" s="118" t="s">
        <v>2567</v>
      </c>
      <c r="H64" s="118" t="s">
        <v>2568</v>
      </c>
      <c r="I64" s="118" t="s">
        <v>2568</v>
      </c>
      <c r="J64" s="120"/>
      <c r="K64" s="161"/>
      <c r="L64" s="161"/>
      <c r="M64" s="161"/>
      <c r="N64" s="161"/>
      <c r="O64" s="161"/>
      <c r="P64" s="123"/>
      <c r="Q64" s="124">
        <v>37</v>
      </c>
      <c r="R64" s="163" t="s">
        <v>2569</v>
      </c>
      <c r="S64" s="165" t="s">
        <v>2570</v>
      </c>
      <c r="T64" s="166" t="s">
        <v>2571</v>
      </c>
      <c r="U64" s="166"/>
      <c r="V64" s="122"/>
      <c r="W64" s="127">
        <v>2</v>
      </c>
      <c r="X64" s="128" t="s">
        <v>2572</v>
      </c>
      <c r="Y64" s="129" t="s">
        <v>2573</v>
      </c>
      <c r="Z64" s="129" t="s">
        <v>2574</v>
      </c>
      <c r="AA64" s="128" t="s">
        <v>2574</v>
      </c>
      <c r="AB64" s="131"/>
      <c r="AC64" s="162" t="s">
        <v>1975</v>
      </c>
      <c r="AD64" s="163" t="s">
        <v>2575</v>
      </c>
      <c r="AE64" s="137" t="s">
        <v>2576</v>
      </c>
      <c r="AF64" s="137" t="s">
        <v>2577</v>
      </c>
      <c r="AG64" s="164"/>
      <c r="AH64" s="136" t="s">
        <v>1980</v>
      </c>
      <c r="AI64" s="175" t="s">
        <v>2578</v>
      </c>
      <c r="AJ64" s="175" t="s">
        <v>2579</v>
      </c>
      <c r="AK64" s="176" t="s">
        <v>2401</v>
      </c>
      <c r="AL64" s="139">
        <v>39</v>
      </c>
      <c r="AM64" s="140" t="s">
        <v>2580</v>
      </c>
      <c r="AN64" s="140" t="s">
        <v>2580</v>
      </c>
    </row>
    <row r="65" spans="6:40" ht="14.15" customHeight="1">
      <c r="F65" s="121">
        <v>40</v>
      </c>
      <c r="G65" s="163" t="s">
        <v>2486</v>
      </c>
      <c r="H65" s="163" t="s">
        <v>2229</v>
      </c>
      <c r="I65" s="163" t="s">
        <v>2229</v>
      </c>
      <c r="J65" s="164"/>
      <c r="K65" s="161"/>
      <c r="L65" s="161"/>
      <c r="M65" s="161"/>
      <c r="N65" s="161"/>
      <c r="O65" s="161"/>
      <c r="P65" s="123"/>
      <c r="Q65" s="124">
        <v>38</v>
      </c>
      <c r="R65" s="163" t="s">
        <v>2581</v>
      </c>
      <c r="S65" s="165" t="s">
        <v>2582</v>
      </c>
      <c r="T65" s="166" t="s">
        <v>2583</v>
      </c>
      <c r="U65" s="166" t="s">
        <v>2584</v>
      </c>
      <c r="V65" s="122"/>
      <c r="W65" s="127">
        <v>3</v>
      </c>
      <c r="X65" s="128" t="s">
        <v>2585</v>
      </c>
      <c r="Y65" s="129" t="s">
        <v>2586</v>
      </c>
      <c r="Z65" s="129" t="s">
        <v>2329</v>
      </c>
      <c r="AA65" s="128" t="s">
        <v>2329</v>
      </c>
      <c r="AB65" s="131"/>
      <c r="AC65" s="132" t="s">
        <v>1975</v>
      </c>
      <c r="AD65" s="152" t="s">
        <v>2587</v>
      </c>
      <c r="AE65" s="153" t="s">
        <v>2156</v>
      </c>
      <c r="AF65" s="153" t="s">
        <v>2588</v>
      </c>
      <c r="AG65" s="135" t="s">
        <v>1979</v>
      </c>
      <c r="AH65" s="136" t="s">
        <v>1980</v>
      </c>
      <c r="AI65" s="175" t="s">
        <v>2589</v>
      </c>
      <c r="AJ65" s="175" t="s">
        <v>2590</v>
      </c>
      <c r="AK65" s="176" t="s">
        <v>2591</v>
      </c>
      <c r="AL65" s="139">
        <v>40</v>
      </c>
      <c r="AM65" s="140" t="s">
        <v>2592</v>
      </c>
      <c r="AN65" s="140" t="s">
        <v>2592</v>
      </c>
    </row>
    <row r="66" spans="6:40" ht="14.15" customHeight="1">
      <c r="F66" s="121">
        <v>41</v>
      </c>
      <c r="G66" s="163" t="s">
        <v>2593</v>
      </c>
      <c r="H66" s="163" t="s">
        <v>2594</v>
      </c>
      <c r="I66" s="163" t="s">
        <v>2595</v>
      </c>
      <c r="J66" s="164"/>
      <c r="K66" s="161"/>
      <c r="L66" s="161"/>
      <c r="M66" s="161"/>
      <c r="N66" s="161"/>
      <c r="O66" s="161"/>
      <c r="P66" s="123"/>
      <c r="Q66" s="124">
        <v>39</v>
      </c>
      <c r="R66" s="163" t="s">
        <v>2596</v>
      </c>
      <c r="S66" s="165" t="s">
        <v>2597</v>
      </c>
      <c r="T66" s="166"/>
      <c r="U66" s="166" t="s">
        <v>2598</v>
      </c>
      <c r="V66" s="122"/>
      <c r="W66" s="127">
        <v>4</v>
      </c>
      <c r="X66" s="128" t="s">
        <v>2599</v>
      </c>
      <c r="Y66" s="129" t="s">
        <v>2600</v>
      </c>
      <c r="Z66" s="129" t="s">
        <v>2601</v>
      </c>
      <c r="AA66" s="128" t="s">
        <v>2601</v>
      </c>
      <c r="AB66" s="131"/>
      <c r="AC66" s="132" t="s">
        <v>1975</v>
      </c>
      <c r="AD66" s="152" t="s">
        <v>2602</v>
      </c>
      <c r="AE66" s="153" t="s">
        <v>2603</v>
      </c>
      <c r="AF66" s="153" t="s">
        <v>2604</v>
      </c>
      <c r="AG66" s="135" t="s">
        <v>1979</v>
      </c>
      <c r="AH66" s="136" t="s">
        <v>1980</v>
      </c>
      <c r="AI66" s="175" t="s">
        <v>2605</v>
      </c>
      <c r="AJ66" s="175" t="s">
        <v>2606</v>
      </c>
      <c r="AK66" s="176" t="s">
        <v>2607</v>
      </c>
      <c r="AL66" s="139">
        <v>41</v>
      </c>
      <c r="AM66" s="140" t="s">
        <v>2608</v>
      </c>
      <c r="AN66" s="140" t="s">
        <v>2608</v>
      </c>
    </row>
    <row r="67" spans="6:40" ht="14.15" customHeight="1" thickBot="1">
      <c r="F67" s="149">
        <v>42</v>
      </c>
      <c r="G67" s="150" t="s">
        <v>2609</v>
      </c>
      <c r="H67" s="150" t="s">
        <v>2610</v>
      </c>
      <c r="I67" s="150" t="s">
        <v>2610</v>
      </c>
      <c r="J67" s="195"/>
      <c r="K67" s="161"/>
      <c r="L67" s="161"/>
      <c r="M67" s="161"/>
      <c r="N67" s="161"/>
      <c r="O67" s="161"/>
      <c r="P67" s="123"/>
      <c r="Q67" s="124">
        <v>40</v>
      </c>
      <c r="R67" s="163" t="s">
        <v>2611</v>
      </c>
      <c r="S67" s="165" t="s">
        <v>2612</v>
      </c>
      <c r="T67" s="166" t="s">
        <v>2613</v>
      </c>
      <c r="U67" s="166" t="s">
        <v>2614</v>
      </c>
      <c r="V67" s="122"/>
      <c r="W67" s="127">
        <v>5</v>
      </c>
      <c r="X67" s="128" t="s">
        <v>2615</v>
      </c>
      <c r="Y67" s="129" t="s">
        <v>2616</v>
      </c>
      <c r="Z67" s="129" t="s">
        <v>2421</v>
      </c>
      <c r="AA67" s="128" t="s">
        <v>2617</v>
      </c>
      <c r="AB67" s="131"/>
      <c r="AC67" s="132" t="s">
        <v>1975</v>
      </c>
      <c r="AD67" s="133" t="s">
        <v>2618</v>
      </c>
      <c r="AE67" s="134" t="s">
        <v>2619</v>
      </c>
      <c r="AF67" s="134" t="s">
        <v>2620</v>
      </c>
      <c r="AG67" s="135" t="s">
        <v>1979</v>
      </c>
      <c r="AH67" s="136" t="s">
        <v>1980</v>
      </c>
      <c r="AI67" s="175" t="s">
        <v>2621</v>
      </c>
      <c r="AJ67" s="175" t="s">
        <v>2622</v>
      </c>
      <c r="AK67" s="176" t="s">
        <v>2623</v>
      </c>
      <c r="AL67" s="139">
        <v>42</v>
      </c>
      <c r="AM67" s="196" t="s">
        <v>2624</v>
      </c>
      <c r="AN67" s="196" t="s">
        <v>2624</v>
      </c>
    </row>
    <row r="68" spans="6:40" ht="14.25" customHeight="1">
      <c r="F68" s="15" t="s">
        <v>2625</v>
      </c>
      <c r="K68" s="161"/>
      <c r="L68" s="161"/>
      <c r="M68" s="161"/>
      <c r="N68" s="161"/>
      <c r="O68" s="161"/>
      <c r="P68" s="123"/>
      <c r="Q68" s="197" t="s">
        <v>2626</v>
      </c>
      <c r="R68" s="198"/>
      <c r="S68" s="199"/>
      <c r="T68" s="200"/>
      <c r="U68" s="200"/>
      <c r="V68" s="201"/>
      <c r="W68" s="127">
        <v>6</v>
      </c>
      <c r="X68" s="128" t="s">
        <v>2627</v>
      </c>
      <c r="Y68" s="129" t="s">
        <v>2628</v>
      </c>
      <c r="Z68" s="129" t="s">
        <v>2159</v>
      </c>
      <c r="AA68" s="128" t="s">
        <v>2629</v>
      </c>
      <c r="AB68" s="131"/>
      <c r="AC68" s="132" t="s">
        <v>1975</v>
      </c>
      <c r="AD68" s="152" t="s">
        <v>2630</v>
      </c>
      <c r="AE68" s="153" t="s">
        <v>2631</v>
      </c>
      <c r="AF68" s="153" t="s">
        <v>2632</v>
      </c>
      <c r="AG68" s="135" t="s">
        <v>1979</v>
      </c>
      <c r="AH68" s="136" t="s">
        <v>1980</v>
      </c>
      <c r="AI68" s="175" t="s">
        <v>2633</v>
      </c>
      <c r="AJ68" s="175" t="s">
        <v>2634</v>
      </c>
      <c r="AK68" s="176" t="s">
        <v>2635</v>
      </c>
      <c r="AL68" s="139">
        <v>43</v>
      </c>
      <c r="AM68" s="196" t="s">
        <v>2636</v>
      </c>
      <c r="AN68" s="196" t="s">
        <v>2636</v>
      </c>
    </row>
    <row r="69" spans="6:40" ht="14.15" customHeight="1"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23"/>
      <c r="Q69" s="202">
        <v>1</v>
      </c>
      <c r="R69" s="163" t="s">
        <v>2637</v>
      </c>
      <c r="S69" s="165" t="s">
        <v>2638</v>
      </c>
      <c r="T69" s="166" t="s">
        <v>2047</v>
      </c>
      <c r="U69" s="166" t="s">
        <v>2639</v>
      </c>
      <c r="V69" s="122"/>
      <c r="W69" s="127">
        <v>7</v>
      </c>
      <c r="X69" s="128" t="s">
        <v>2640</v>
      </c>
      <c r="Y69" s="129" t="s">
        <v>2641</v>
      </c>
      <c r="Z69" s="129" t="s">
        <v>2642</v>
      </c>
      <c r="AA69" s="129" t="s">
        <v>2643</v>
      </c>
      <c r="AB69" s="131"/>
      <c r="AC69" s="132" t="s">
        <v>1975</v>
      </c>
      <c r="AD69" s="152" t="s">
        <v>1608</v>
      </c>
      <c r="AE69" s="153" t="s">
        <v>2644</v>
      </c>
      <c r="AF69" s="153" t="s">
        <v>2645</v>
      </c>
      <c r="AG69" s="135"/>
      <c r="AH69" s="158" t="s">
        <v>2065</v>
      </c>
      <c r="AI69" s="168" t="s">
        <v>2633</v>
      </c>
      <c r="AJ69" s="168" t="s">
        <v>2634</v>
      </c>
      <c r="AK69" s="174" t="s">
        <v>2635</v>
      </c>
      <c r="AL69" s="139">
        <v>44</v>
      </c>
      <c r="AM69" s="140">
        <v>18</v>
      </c>
      <c r="AN69" s="185" t="s">
        <v>2646</v>
      </c>
    </row>
    <row r="70" spans="6:40" ht="14.15" customHeight="1"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23"/>
      <c r="Q70" s="202">
        <v>2</v>
      </c>
      <c r="R70" s="163" t="s">
        <v>2647</v>
      </c>
      <c r="S70" s="165" t="s">
        <v>2648</v>
      </c>
      <c r="T70" s="166" t="s">
        <v>2108</v>
      </c>
      <c r="U70" s="166" t="s">
        <v>2649</v>
      </c>
      <c r="V70" s="122"/>
      <c r="W70" s="127">
        <v>8</v>
      </c>
      <c r="X70" s="128" t="s">
        <v>2650</v>
      </c>
      <c r="Y70" s="129" t="s">
        <v>2651</v>
      </c>
      <c r="Z70" s="129"/>
      <c r="AA70" s="129" t="s">
        <v>2652</v>
      </c>
      <c r="AB70" s="131"/>
      <c r="AC70" s="132" t="s">
        <v>1975</v>
      </c>
      <c r="AD70" s="163" t="s">
        <v>1361</v>
      </c>
      <c r="AE70" s="137" t="s">
        <v>2413</v>
      </c>
      <c r="AF70" s="137" t="s">
        <v>2653</v>
      </c>
      <c r="AG70" s="164"/>
      <c r="AH70" s="136" t="s">
        <v>1980</v>
      </c>
      <c r="AI70" s="186" t="s">
        <v>2654</v>
      </c>
      <c r="AJ70" s="175" t="s">
        <v>2655</v>
      </c>
      <c r="AK70" s="176" t="s">
        <v>2219</v>
      </c>
      <c r="AL70" s="139">
        <v>45</v>
      </c>
      <c r="AM70" s="140">
        <v>14</v>
      </c>
      <c r="AN70" s="185" t="s">
        <v>2656</v>
      </c>
    </row>
    <row r="71" spans="6:40" ht="14.15" customHeight="1"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23"/>
      <c r="Q71" s="202">
        <v>3</v>
      </c>
      <c r="R71" s="163" t="s">
        <v>2657</v>
      </c>
      <c r="S71" s="165" t="s">
        <v>2658</v>
      </c>
      <c r="T71" s="166" t="s">
        <v>2659</v>
      </c>
      <c r="U71" s="166" t="s">
        <v>2660</v>
      </c>
      <c r="V71" s="122"/>
      <c r="W71" s="127">
        <v>9</v>
      </c>
      <c r="X71" s="128" t="s">
        <v>2661</v>
      </c>
      <c r="Y71" s="129" t="s">
        <v>2662</v>
      </c>
      <c r="Z71" s="129" t="s">
        <v>2663</v>
      </c>
      <c r="AA71" s="128" t="s">
        <v>2663</v>
      </c>
      <c r="AB71" s="131"/>
      <c r="AC71" s="162" t="s">
        <v>1975</v>
      </c>
      <c r="AD71" s="163" t="s">
        <v>1108</v>
      </c>
      <c r="AE71" s="137" t="s">
        <v>2664</v>
      </c>
      <c r="AF71" s="137" t="s">
        <v>2664</v>
      </c>
      <c r="AG71" s="164"/>
      <c r="AH71" s="117" t="s">
        <v>2250</v>
      </c>
      <c r="AI71" s="175" t="s">
        <v>2665</v>
      </c>
      <c r="AJ71" s="175" t="s">
        <v>2666</v>
      </c>
      <c r="AK71" s="176" t="s">
        <v>2635</v>
      </c>
      <c r="AL71" s="139">
        <v>46</v>
      </c>
      <c r="AM71" s="140" t="s">
        <v>2667</v>
      </c>
      <c r="AN71" s="141" t="s">
        <v>2667</v>
      </c>
    </row>
    <row r="72" spans="6:40" ht="14.15" customHeight="1"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23"/>
      <c r="Q72" s="202">
        <v>4</v>
      </c>
      <c r="R72" s="163" t="s">
        <v>2668</v>
      </c>
      <c r="S72" s="165" t="s">
        <v>2658</v>
      </c>
      <c r="T72" s="166" t="s">
        <v>2355</v>
      </c>
      <c r="U72" s="166" t="s">
        <v>2588</v>
      </c>
      <c r="V72" s="122"/>
      <c r="W72" s="127">
        <v>10</v>
      </c>
      <c r="X72" s="128" t="s">
        <v>2669</v>
      </c>
      <c r="Y72" s="129" t="s">
        <v>2670</v>
      </c>
      <c r="Z72" s="129" t="s">
        <v>2671</v>
      </c>
      <c r="AA72" s="128" t="s">
        <v>2671</v>
      </c>
      <c r="AB72" s="131"/>
      <c r="AC72" s="132" t="s">
        <v>1975</v>
      </c>
      <c r="AD72" s="167" t="s">
        <v>2672</v>
      </c>
      <c r="AE72" s="153" t="s">
        <v>2673</v>
      </c>
      <c r="AF72" s="153" t="s">
        <v>2674</v>
      </c>
      <c r="AG72" s="135" t="s">
        <v>1979</v>
      </c>
      <c r="AH72" s="136" t="s">
        <v>1980</v>
      </c>
      <c r="AI72" s="175" t="s">
        <v>2675</v>
      </c>
      <c r="AJ72" s="175" t="s">
        <v>2676</v>
      </c>
      <c r="AK72" s="176" t="s">
        <v>2677</v>
      </c>
      <c r="AL72" s="139">
        <v>47</v>
      </c>
      <c r="AM72" s="140">
        <v>40</v>
      </c>
      <c r="AN72" s="185" t="s">
        <v>2267</v>
      </c>
    </row>
    <row r="73" spans="6:40" ht="14.15" customHeight="1"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23"/>
      <c r="Q73" s="202">
        <v>5</v>
      </c>
      <c r="R73" s="163" t="s">
        <v>2678</v>
      </c>
      <c r="S73" s="165" t="s">
        <v>2679</v>
      </c>
      <c r="T73" s="166" t="s">
        <v>2680</v>
      </c>
      <c r="U73" s="166" t="s">
        <v>2681</v>
      </c>
      <c r="V73" s="122"/>
      <c r="W73" s="127">
        <v>11</v>
      </c>
      <c r="X73" s="128" t="s">
        <v>2682</v>
      </c>
      <c r="Y73" s="129" t="s">
        <v>2683</v>
      </c>
      <c r="Z73" s="129" t="s">
        <v>2684</v>
      </c>
      <c r="AA73" s="128" t="s">
        <v>2684</v>
      </c>
      <c r="AB73" s="131"/>
      <c r="AC73" s="132" t="s">
        <v>1975</v>
      </c>
      <c r="AD73" s="133" t="s">
        <v>2685</v>
      </c>
      <c r="AE73" s="134" t="s">
        <v>2686</v>
      </c>
      <c r="AF73" s="134" t="s">
        <v>2687</v>
      </c>
      <c r="AG73" s="135" t="s">
        <v>1979</v>
      </c>
      <c r="AH73" s="136" t="s">
        <v>1980</v>
      </c>
      <c r="AI73" s="175" t="s">
        <v>2688</v>
      </c>
      <c r="AJ73" s="203" t="s">
        <v>2689</v>
      </c>
      <c r="AK73" s="204" t="s">
        <v>2689</v>
      </c>
      <c r="AL73" s="139">
        <v>48</v>
      </c>
      <c r="AM73" s="140">
        <v>55</v>
      </c>
      <c r="AN73" s="185" t="s">
        <v>2690</v>
      </c>
    </row>
    <row r="74" spans="6:40" ht="14.15" customHeight="1"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205"/>
      <c r="Q74" s="197" t="s">
        <v>2691</v>
      </c>
      <c r="R74" s="198"/>
      <c r="S74" s="199"/>
      <c r="T74" s="200"/>
      <c r="U74" s="200"/>
      <c r="V74" s="201"/>
      <c r="W74" s="127">
        <v>12</v>
      </c>
      <c r="X74" s="128" t="s">
        <v>2692</v>
      </c>
      <c r="Y74" s="129" t="s">
        <v>2693</v>
      </c>
      <c r="Z74" s="129" t="s">
        <v>2694</v>
      </c>
      <c r="AA74" s="129" t="s">
        <v>2694</v>
      </c>
      <c r="AB74" s="131"/>
      <c r="AC74" s="132" t="s">
        <v>1975</v>
      </c>
      <c r="AD74" s="133" t="s">
        <v>2695</v>
      </c>
      <c r="AE74" s="134" t="s">
        <v>2696</v>
      </c>
      <c r="AF74" s="134" t="s">
        <v>2697</v>
      </c>
      <c r="AG74" s="135" t="s">
        <v>1979</v>
      </c>
      <c r="AH74" s="136" t="s">
        <v>1980</v>
      </c>
      <c r="AI74" s="175" t="s">
        <v>2698</v>
      </c>
      <c r="AJ74" s="175"/>
      <c r="AK74" s="176" t="s">
        <v>2565</v>
      </c>
      <c r="AL74" s="139">
        <v>49</v>
      </c>
      <c r="AM74" s="140">
        <v>56</v>
      </c>
      <c r="AN74" s="185" t="s">
        <v>2699</v>
      </c>
    </row>
    <row r="75" spans="6:40" ht="14.25" customHeight="1"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23"/>
      <c r="Q75" s="202">
        <v>1</v>
      </c>
      <c r="R75" s="163" t="s">
        <v>2700</v>
      </c>
      <c r="S75" s="165" t="s">
        <v>2701</v>
      </c>
      <c r="T75" s="166" t="s">
        <v>2702</v>
      </c>
      <c r="U75" s="166" t="s">
        <v>2703</v>
      </c>
      <c r="V75" s="122"/>
      <c r="W75" s="127">
        <v>13</v>
      </c>
      <c r="X75" s="128" t="s">
        <v>2704</v>
      </c>
      <c r="Y75" s="129" t="s">
        <v>2693</v>
      </c>
      <c r="Z75" s="128" t="s">
        <v>2705</v>
      </c>
      <c r="AA75" s="129" t="s">
        <v>2705</v>
      </c>
      <c r="AB75" s="131"/>
      <c r="AC75" s="132" t="s">
        <v>1975</v>
      </c>
      <c r="AD75" s="167" t="s">
        <v>2706</v>
      </c>
      <c r="AE75" s="153" t="s">
        <v>2707</v>
      </c>
      <c r="AF75" s="153" t="s">
        <v>2708</v>
      </c>
      <c r="AG75" s="135" t="s">
        <v>1979</v>
      </c>
      <c r="AH75" s="136" t="s">
        <v>1980</v>
      </c>
      <c r="AI75" s="186" t="s">
        <v>2709</v>
      </c>
      <c r="AJ75" s="175" t="s">
        <v>2710</v>
      </c>
      <c r="AK75" s="176" t="s">
        <v>2401</v>
      </c>
      <c r="AL75" s="139">
        <v>50</v>
      </c>
      <c r="AM75" s="140" t="s">
        <v>2711</v>
      </c>
      <c r="AN75" s="140" t="s">
        <v>2711</v>
      </c>
    </row>
    <row r="76" spans="6:40" ht="14.25" customHeight="1"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23"/>
      <c r="Q76" s="202">
        <v>2</v>
      </c>
      <c r="R76" s="163" t="s">
        <v>2712</v>
      </c>
      <c r="S76" s="165" t="s">
        <v>2713</v>
      </c>
      <c r="T76" s="166"/>
      <c r="U76" s="166" t="s">
        <v>2714</v>
      </c>
      <c r="V76" s="122"/>
      <c r="W76" s="127">
        <v>14</v>
      </c>
      <c r="X76" s="128" t="s">
        <v>2715</v>
      </c>
      <c r="Y76" s="129" t="s">
        <v>2716</v>
      </c>
      <c r="Z76" s="129" t="s">
        <v>2717</v>
      </c>
      <c r="AA76" s="128" t="s">
        <v>2717</v>
      </c>
      <c r="AB76" s="131"/>
      <c r="AC76" s="132" t="s">
        <v>1975</v>
      </c>
      <c r="AD76" s="133" t="s">
        <v>2718</v>
      </c>
      <c r="AE76" s="134" t="s">
        <v>2719</v>
      </c>
      <c r="AF76" s="134" t="s">
        <v>2720</v>
      </c>
      <c r="AG76" s="135" t="s">
        <v>1979</v>
      </c>
      <c r="AH76" s="136" t="s">
        <v>1980</v>
      </c>
      <c r="AI76" s="175" t="s">
        <v>2721</v>
      </c>
      <c r="AJ76" s="175" t="s">
        <v>2722</v>
      </c>
      <c r="AK76" s="176" t="s">
        <v>2723</v>
      </c>
      <c r="AL76" s="139">
        <v>51</v>
      </c>
      <c r="AM76" s="140" t="s">
        <v>2724</v>
      </c>
      <c r="AN76" s="140" t="s">
        <v>2724</v>
      </c>
    </row>
    <row r="77" spans="6:40" ht="14.25" customHeight="1"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23"/>
      <c r="Q77" s="202">
        <v>3</v>
      </c>
      <c r="R77" s="163" t="s">
        <v>2725</v>
      </c>
      <c r="S77" s="165" t="s">
        <v>2726</v>
      </c>
      <c r="T77" s="166"/>
      <c r="U77" s="166" t="s">
        <v>2727</v>
      </c>
      <c r="V77" s="122"/>
      <c r="W77" s="127">
        <v>15</v>
      </c>
      <c r="X77" s="128" t="s">
        <v>2728</v>
      </c>
      <c r="Y77" s="129" t="s">
        <v>2729</v>
      </c>
      <c r="Z77" s="129" t="s">
        <v>2730</v>
      </c>
      <c r="AA77" s="128" t="s">
        <v>2731</v>
      </c>
      <c r="AB77" s="131"/>
      <c r="AC77" s="132" t="s">
        <v>1975</v>
      </c>
      <c r="AD77" s="152" t="s">
        <v>509</v>
      </c>
      <c r="AE77" s="153" t="s">
        <v>2732</v>
      </c>
      <c r="AF77" s="153" t="s">
        <v>2733</v>
      </c>
      <c r="AG77" s="135"/>
      <c r="AH77" s="136" t="s">
        <v>1980</v>
      </c>
      <c r="AI77" s="175" t="s">
        <v>2721</v>
      </c>
      <c r="AJ77" s="175" t="s">
        <v>2292</v>
      </c>
      <c r="AK77" s="176" t="s">
        <v>2723</v>
      </c>
      <c r="AL77" s="139">
        <v>52</v>
      </c>
      <c r="AM77" s="140" t="s">
        <v>2734</v>
      </c>
      <c r="AN77" s="140" t="s">
        <v>2734</v>
      </c>
    </row>
    <row r="78" spans="6:40" ht="14.25" customHeight="1"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23"/>
      <c r="Q78" s="202">
        <v>4</v>
      </c>
      <c r="R78" s="163" t="s">
        <v>2735</v>
      </c>
      <c r="S78" s="165" t="s">
        <v>2736</v>
      </c>
      <c r="T78" s="166"/>
      <c r="U78" s="166" t="s">
        <v>2737</v>
      </c>
      <c r="V78" s="122"/>
      <c r="W78" s="127">
        <v>16</v>
      </c>
      <c r="X78" s="128" t="s">
        <v>2738</v>
      </c>
      <c r="Y78" s="129" t="s">
        <v>2739</v>
      </c>
      <c r="Z78" s="129" t="s">
        <v>2740</v>
      </c>
      <c r="AA78" s="129" t="s">
        <v>2740</v>
      </c>
      <c r="AB78" s="131"/>
      <c r="AC78" s="162" t="s">
        <v>1975</v>
      </c>
      <c r="AD78" s="163" t="s">
        <v>252</v>
      </c>
      <c r="AE78" s="137" t="s">
        <v>2741</v>
      </c>
      <c r="AF78" s="137" t="s">
        <v>2741</v>
      </c>
      <c r="AG78" s="164"/>
      <c r="AH78" s="117" t="s">
        <v>2250</v>
      </c>
      <c r="AI78" s="175" t="s">
        <v>2742</v>
      </c>
      <c r="AJ78" s="175" t="s">
        <v>2723</v>
      </c>
      <c r="AK78" s="176" t="s">
        <v>2723</v>
      </c>
      <c r="AL78" s="139">
        <v>53</v>
      </c>
      <c r="AM78" s="140" t="s">
        <v>2743</v>
      </c>
      <c r="AN78" s="140" t="s">
        <v>2743</v>
      </c>
    </row>
    <row r="79" spans="6:40" ht="14.15" customHeight="1"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23"/>
      <c r="Q79" s="202">
        <v>5</v>
      </c>
      <c r="R79" s="163" t="s">
        <v>2744</v>
      </c>
      <c r="S79" s="165" t="s">
        <v>2745</v>
      </c>
      <c r="T79" s="166"/>
      <c r="U79" s="166" t="s">
        <v>2568</v>
      </c>
      <c r="V79" s="177"/>
      <c r="W79" s="127">
        <v>17</v>
      </c>
      <c r="X79" s="128" t="s">
        <v>2746</v>
      </c>
      <c r="Y79" s="129" t="s">
        <v>2747</v>
      </c>
      <c r="Z79" s="129" t="s">
        <v>2748</v>
      </c>
      <c r="AA79" s="129" t="s">
        <v>2748</v>
      </c>
      <c r="AB79" s="131"/>
      <c r="AC79" s="132" t="s">
        <v>1975</v>
      </c>
      <c r="AD79" s="167" t="s">
        <v>2749</v>
      </c>
      <c r="AE79" s="153" t="s">
        <v>2750</v>
      </c>
      <c r="AF79" s="153" t="s">
        <v>2750</v>
      </c>
      <c r="AG79" s="135" t="s">
        <v>1979</v>
      </c>
      <c r="AH79" s="136" t="s">
        <v>1980</v>
      </c>
      <c r="AI79" s="175" t="s">
        <v>2742</v>
      </c>
      <c r="AJ79" s="175" t="s">
        <v>2723</v>
      </c>
      <c r="AK79" s="176" t="s">
        <v>2723</v>
      </c>
      <c r="AL79" s="139">
        <v>54</v>
      </c>
      <c r="AM79" s="140" t="s">
        <v>2751</v>
      </c>
      <c r="AN79" s="140" t="s">
        <v>2751</v>
      </c>
    </row>
    <row r="80" spans="6:40" ht="14.15" customHeight="1"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23"/>
      <c r="Q80" s="202">
        <v>6</v>
      </c>
      <c r="R80" s="163" t="s">
        <v>2752</v>
      </c>
      <c r="S80" s="165" t="s">
        <v>2753</v>
      </c>
      <c r="T80" s="166" t="s">
        <v>2525</v>
      </c>
      <c r="U80" s="166" t="s">
        <v>2754</v>
      </c>
      <c r="V80" s="122"/>
      <c r="W80" s="127">
        <v>18</v>
      </c>
      <c r="X80" s="128" t="s">
        <v>2755</v>
      </c>
      <c r="Y80" s="129" t="s">
        <v>2756</v>
      </c>
      <c r="Z80" s="129" t="s">
        <v>2610</v>
      </c>
      <c r="AA80" s="129" t="s">
        <v>2610</v>
      </c>
      <c r="AB80" s="131"/>
      <c r="AC80" s="132" t="s">
        <v>1975</v>
      </c>
      <c r="AD80" s="152" t="s">
        <v>2757</v>
      </c>
      <c r="AE80" s="153" t="s">
        <v>2758</v>
      </c>
      <c r="AF80" s="153" t="s">
        <v>2759</v>
      </c>
      <c r="AG80" s="135" t="s">
        <v>1979</v>
      </c>
      <c r="AH80" s="136" t="s">
        <v>1980</v>
      </c>
      <c r="AI80" s="175" t="s">
        <v>2760</v>
      </c>
      <c r="AJ80" s="175" t="s">
        <v>2761</v>
      </c>
      <c r="AK80" s="176" t="s">
        <v>2761</v>
      </c>
      <c r="AL80" s="139">
        <v>55</v>
      </c>
      <c r="AM80" s="140" t="s">
        <v>2762</v>
      </c>
      <c r="AN80" s="140" t="s">
        <v>2762</v>
      </c>
    </row>
    <row r="81" spans="6:40" ht="14.15" customHeight="1"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23"/>
      <c r="Q81" s="202">
        <v>7</v>
      </c>
      <c r="R81" s="163" t="s">
        <v>2763</v>
      </c>
      <c r="S81" s="165" t="s">
        <v>2764</v>
      </c>
      <c r="T81" s="166" t="s">
        <v>2765</v>
      </c>
      <c r="U81" s="166" t="s">
        <v>2765</v>
      </c>
      <c r="V81" s="122"/>
      <c r="W81" s="181" t="s">
        <v>2766</v>
      </c>
      <c r="X81" s="182" t="s">
        <v>2767</v>
      </c>
      <c r="Y81" s="183"/>
      <c r="Z81" s="182"/>
      <c r="AA81" s="182"/>
      <c r="AB81" s="131"/>
      <c r="AC81" s="132" t="s">
        <v>1975</v>
      </c>
      <c r="AD81" s="152" t="s">
        <v>2768</v>
      </c>
      <c r="AE81" s="153" t="s">
        <v>2769</v>
      </c>
      <c r="AF81" s="153" t="s">
        <v>2770</v>
      </c>
      <c r="AG81" s="135" t="s">
        <v>1979</v>
      </c>
      <c r="AH81" s="117" t="s">
        <v>2250</v>
      </c>
      <c r="AI81" s="175" t="s">
        <v>2771</v>
      </c>
      <c r="AJ81" s="175" t="s">
        <v>2190</v>
      </c>
      <c r="AK81" s="176" t="s">
        <v>2772</v>
      </c>
      <c r="AL81" s="139">
        <v>56</v>
      </c>
      <c r="AM81" s="140" t="s">
        <v>2773</v>
      </c>
      <c r="AN81" s="140" t="s">
        <v>2773</v>
      </c>
    </row>
    <row r="82" spans="6:40" ht="14.15" customHeight="1"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23"/>
      <c r="Q82" s="202">
        <v>8</v>
      </c>
      <c r="R82" s="163" t="s">
        <v>2774</v>
      </c>
      <c r="S82" s="165" t="s">
        <v>2775</v>
      </c>
      <c r="T82" s="166" t="s">
        <v>2776</v>
      </c>
      <c r="U82" s="166" t="s">
        <v>2776</v>
      </c>
      <c r="V82" s="177"/>
      <c r="W82" s="127">
        <v>1</v>
      </c>
      <c r="X82" s="128" t="s">
        <v>2777</v>
      </c>
      <c r="Y82" s="129" t="s">
        <v>2778</v>
      </c>
      <c r="Z82" s="129" t="s">
        <v>2779</v>
      </c>
      <c r="AA82" s="128" t="s">
        <v>2779</v>
      </c>
      <c r="AB82" s="131"/>
      <c r="AC82" s="132" t="s">
        <v>1975</v>
      </c>
      <c r="AD82" s="152" t="s">
        <v>928</v>
      </c>
      <c r="AE82" s="153" t="s">
        <v>2780</v>
      </c>
      <c r="AF82" s="153" t="s">
        <v>2425</v>
      </c>
      <c r="AG82" s="135"/>
      <c r="AH82" s="136" t="s">
        <v>1980</v>
      </c>
      <c r="AI82" s="175" t="s">
        <v>2781</v>
      </c>
      <c r="AJ82" s="175" t="s">
        <v>2782</v>
      </c>
      <c r="AK82" s="176" t="s">
        <v>2565</v>
      </c>
      <c r="AL82" s="139">
        <v>57</v>
      </c>
      <c r="AM82" s="140" t="s">
        <v>2783</v>
      </c>
      <c r="AN82" s="141" t="s">
        <v>2783</v>
      </c>
    </row>
    <row r="83" spans="6:40" ht="14.15" customHeight="1"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23"/>
      <c r="Q83" s="202">
        <v>9</v>
      </c>
      <c r="R83" s="163" t="s">
        <v>2784</v>
      </c>
      <c r="S83" s="165" t="s">
        <v>2785</v>
      </c>
      <c r="T83" s="166" t="s">
        <v>2786</v>
      </c>
      <c r="U83" s="166" t="s">
        <v>2787</v>
      </c>
      <c r="V83" s="177"/>
      <c r="W83" s="127">
        <v>2</v>
      </c>
      <c r="X83" s="128" t="s">
        <v>2788</v>
      </c>
      <c r="Y83" s="129" t="s">
        <v>2789</v>
      </c>
      <c r="Z83" s="129" t="s">
        <v>2634</v>
      </c>
      <c r="AA83" s="128" t="s">
        <v>2790</v>
      </c>
      <c r="AB83" s="131"/>
      <c r="AC83" s="132" t="s">
        <v>1975</v>
      </c>
      <c r="AD83" s="167" t="s">
        <v>7</v>
      </c>
      <c r="AE83" s="153" t="s">
        <v>2232</v>
      </c>
      <c r="AF83" s="153" t="s">
        <v>2791</v>
      </c>
      <c r="AG83" s="135" t="s">
        <v>2192</v>
      </c>
      <c r="AH83" s="136" t="s">
        <v>1980</v>
      </c>
      <c r="AI83" s="175" t="s">
        <v>2792</v>
      </c>
      <c r="AJ83" s="175" t="s">
        <v>2782</v>
      </c>
      <c r="AK83" s="176" t="s">
        <v>2565</v>
      </c>
      <c r="AL83" s="139">
        <v>58</v>
      </c>
      <c r="AM83" s="140" t="s">
        <v>2793</v>
      </c>
      <c r="AN83" s="141" t="s">
        <v>2793</v>
      </c>
    </row>
    <row r="84" spans="6:40" ht="14.15" customHeight="1"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23"/>
      <c r="Q84" s="202">
        <v>10</v>
      </c>
      <c r="R84" s="163" t="s">
        <v>2794</v>
      </c>
      <c r="S84" s="165" t="s">
        <v>2795</v>
      </c>
      <c r="T84" s="166" t="s">
        <v>2796</v>
      </c>
      <c r="U84" s="166" t="s">
        <v>2797</v>
      </c>
      <c r="V84" s="177"/>
      <c r="W84" s="127">
        <v>3</v>
      </c>
      <c r="X84" s="128" t="s">
        <v>2798</v>
      </c>
      <c r="Y84" s="129" t="s">
        <v>2799</v>
      </c>
      <c r="Z84" s="129" t="s">
        <v>2800</v>
      </c>
      <c r="AA84" s="128" t="s">
        <v>2800</v>
      </c>
      <c r="AB84" s="131"/>
      <c r="AC84" s="132" t="s">
        <v>1975</v>
      </c>
      <c r="AD84" s="152" t="s">
        <v>4</v>
      </c>
      <c r="AE84" s="153" t="s">
        <v>2801</v>
      </c>
      <c r="AF84" s="153" t="s">
        <v>2802</v>
      </c>
      <c r="AG84" s="135"/>
      <c r="AH84" s="158" t="s">
        <v>2065</v>
      </c>
      <c r="AI84" s="175" t="s">
        <v>2803</v>
      </c>
      <c r="AJ84" s="175" t="s">
        <v>2590</v>
      </c>
      <c r="AK84" s="176" t="s">
        <v>2591</v>
      </c>
      <c r="AL84" s="139">
        <v>59</v>
      </c>
      <c r="AM84" s="140" t="s">
        <v>2804</v>
      </c>
      <c r="AN84" s="141" t="s">
        <v>2804</v>
      </c>
    </row>
    <row r="85" spans="6:40" ht="14.15" customHeight="1"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23"/>
      <c r="Q85" s="202">
        <v>11</v>
      </c>
      <c r="R85" s="163" t="s">
        <v>2805</v>
      </c>
      <c r="S85" s="165" t="s">
        <v>2806</v>
      </c>
      <c r="T85" s="166" t="s">
        <v>2807</v>
      </c>
      <c r="U85" s="166" t="s">
        <v>2808</v>
      </c>
      <c r="V85" s="177"/>
      <c r="W85" s="127">
        <v>4</v>
      </c>
      <c r="X85" s="128" t="s">
        <v>2809</v>
      </c>
      <c r="Y85" s="129" t="s">
        <v>2810</v>
      </c>
      <c r="Z85" s="129" t="s">
        <v>2811</v>
      </c>
      <c r="AA85" s="128" t="s">
        <v>2811</v>
      </c>
      <c r="AB85" s="131"/>
      <c r="AC85" s="132" t="s">
        <v>1975</v>
      </c>
      <c r="AD85" s="167" t="s">
        <v>744</v>
      </c>
      <c r="AE85" s="153" t="s">
        <v>2801</v>
      </c>
      <c r="AF85" s="153" t="s">
        <v>2812</v>
      </c>
      <c r="AG85" s="135" t="s">
        <v>2192</v>
      </c>
      <c r="AH85" s="158" t="s">
        <v>2065</v>
      </c>
      <c r="AI85" s="175" t="s">
        <v>2813</v>
      </c>
      <c r="AJ85" s="175" t="s">
        <v>2468</v>
      </c>
      <c r="AK85" s="176" t="s">
        <v>2814</v>
      </c>
      <c r="AL85" s="139">
        <v>60</v>
      </c>
      <c r="AM85" s="140" t="s">
        <v>2815</v>
      </c>
      <c r="AN85" s="141" t="s">
        <v>2815</v>
      </c>
    </row>
    <row r="86" spans="6:40" ht="14.15" customHeight="1"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23"/>
      <c r="Q86" s="202">
        <v>12</v>
      </c>
      <c r="R86" s="163" t="s">
        <v>2816</v>
      </c>
      <c r="S86" s="165" t="s">
        <v>2817</v>
      </c>
      <c r="T86" s="206" t="s">
        <v>2818</v>
      </c>
      <c r="U86" s="166" t="s">
        <v>2591</v>
      </c>
      <c r="V86" s="177"/>
      <c r="W86" s="181" t="s">
        <v>2819</v>
      </c>
      <c r="X86" s="182" t="s">
        <v>2820</v>
      </c>
      <c r="Y86" s="183"/>
      <c r="Z86" s="182" t="s">
        <v>2821</v>
      </c>
      <c r="AA86" s="182" t="s">
        <v>2821</v>
      </c>
      <c r="AB86" s="131"/>
      <c r="AC86" s="132" t="s">
        <v>1975</v>
      </c>
      <c r="AD86" s="133" t="s">
        <v>2822</v>
      </c>
      <c r="AE86" s="134" t="s">
        <v>2823</v>
      </c>
      <c r="AF86" s="134" t="s">
        <v>2824</v>
      </c>
      <c r="AG86" s="135" t="s">
        <v>1979</v>
      </c>
      <c r="AH86" s="136" t="s">
        <v>1980</v>
      </c>
      <c r="AI86" s="175" t="s">
        <v>2825</v>
      </c>
      <c r="AJ86" s="175" t="s">
        <v>2814</v>
      </c>
      <c r="AK86" s="176" t="s">
        <v>2814</v>
      </c>
      <c r="AL86" s="139">
        <v>61</v>
      </c>
      <c r="AM86" s="140" t="s">
        <v>2432</v>
      </c>
      <c r="AN86" s="141" t="s">
        <v>2432</v>
      </c>
    </row>
    <row r="87" spans="6:40" ht="14.15" customHeight="1"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23"/>
      <c r="Q87" s="202">
        <v>13</v>
      </c>
      <c r="R87" s="163" t="s">
        <v>2826</v>
      </c>
      <c r="S87" s="165" t="s">
        <v>2827</v>
      </c>
      <c r="T87" s="206" t="s">
        <v>2828</v>
      </c>
      <c r="U87" s="166" t="s">
        <v>2829</v>
      </c>
      <c r="V87" s="177"/>
      <c r="W87" s="127">
        <v>1</v>
      </c>
      <c r="X87" s="128" t="s">
        <v>2830</v>
      </c>
      <c r="Y87" s="129" t="s">
        <v>2831</v>
      </c>
      <c r="Z87" s="129" t="s">
        <v>2832</v>
      </c>
      <c r="AA87" s="129" t="s">
        <v>2832</v>
      </c>
      <c r="AB87" s="131"/>
      <c r="AC87" s="132" t="s">
        <v>1975</v>
      </c>
      <c r="AD87" s="133" t="s">
        <v>2833</v>
      </c>
      <c r="AE87" s="134" t="s">
        <v>2834</v>
      </c>
      <c r="AF87" s="134" t="s">
        <v>2835</v>
      </c>
      <c r="AG87" s="135" t="s">
        <v>1979</v>
      </c>
      <c r="AH87" s="136" t="s">
        <v>1980</v>
      </c>
      <c r="AI87" s="175" t="s">
        <v>890</v>
      </c>
      <c r="AJ87" s="175" t="s">
        <v>2836</v>
      </c>
      <c r="AK87" s="176" t="s">
        <v>2290</v>
      </c>
      <c r="AL87" s="139">
        <v>62</v>
      </c>
      <c r="AM87" s="140" t="s">
        <v>2837</v>
      </c>
      <c r="AN87" s="141" t="s">
        <v>2127</v>
      </c>
    </row>
    <row r="88" spans="6:40" ht="14.15" customHeight="1"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207" t="s">
        <v>2838</v>
      </c>
      <c r="Q88" s="208" t="s">
        <v>2275</v>
      </c>
      <c r="R88" s="209"/>
      <c r="S88" s="209"/>
      <c r="T88" s="166" t="s">
        <v>2276</v>
      </c>
      <c r="U88" s="166" t="s">
        <v>2276</v>
      </c>
      <c r="V88" s="177" t="s">
        <v>2839</v>
      </c>
      <c r="W88" s="127">
        <v>2</v>
      </c>
      <c r="X88" s="128" t="s">
        <v>2840</v>
      </c>
      <c r="Y88" s="129" t="s">
        <v>2841</v>
      </c>
      <c r="Z88" s="128" t="s">
        <v>2842</v>
      </c>
      <c r="AA88" s="128" t="s">
        <v>2842</v>
      </c>
      <c r="AB88" s="131"/>
      <c r="AC88" s="132" t="s">
        <v>1975</v>
      </c>
      <c r="AD88" s="167" t="s">
        <v>2843</v>
      </c>
      <c r="AE88" s="153" t="s">
        <v>2769</v>
      </c>
      <c r="AF88" s="153" t="s">
        <v>2844</v>
      </c>
      <c r="AG88" s="135" t="s">
        <v>2192</v>
      </c>
      <c r="AH88" s="136" t="s">
        <v>1980</v>
      </c>
      <c r="AI88" s="175" t="s">
        <v>890</v>
      </c>
      <c r="AJ88" s="175" t="s">
        <v>2290</v>
      </c>
      <c r="AK88" s="176" t="s">
        <v>2290</v>
      </c>
      <c r="AL88" s="139">
        <v>63</v>
      </c>
      <c r="AM88" s="140" t="s">
        <v>2544</v>
      </c>
      <c r="AN88" s="141" t="s">
        <v>2544</v>
      </c>
    </row>
    <row r="89" spans="6:40" ht="14.15" customHeight="1"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23"/>
      <c r="Q89" s="210" t="s">
        <v>2845</v>
      </c>
      <c r="R89" s="211"/>
      <c r="S89" s="211"/>
      <c r="T89" s="126" t="s">
        <v>2362</v>
      </c>
      <c r="U89" s="126" t="s">
        <v>2362</v>
      </c>
      <c r="V89" s="122" t="s">
        <v>2846</v>
      </c>
      <c r="W89" s="127">
        <v>3</v>
      </c>
      <c r="X89" s="128" t="s">
        <v>2847</v>
      </c>
      <c r="Y89" s="129" t="s">
        <v>2848</v>
      </c>
      <c r="Z89" s="128" t="s">
        <v>2849</v>
      </c>
      <c r="AA89" s="128" t="s">
        <v>2849</v>
      </c>
      <c r="AB89" s="131"/>
      <c r="AC89" s="132" t="s">
        <v>1975</v>
      </c>
      <c r="AD89" s="133" t="s">
        <v>2850</v>
      </c>
      <c r="AE89" s="134" t="s">
        <v>2851</v>
      </c>
      <c r="AF89" s="134" t="s">
        <v>2852</v>
      </c>
      <c r="AG89" s="135" t="s">
        <v>1979</v>
      </c>
      <c r="AH89" s="136" t="s">
        <v>1980</v>
      </c>
      <c r="AI89" s="212" t="s">
        <v>2853</v>
      </c>
      <c r="AJ89" s="175" t="s">
        <v>2854</v>
      </c>
      <c r="AK89" s="176" t="s">
        <v>2854</v>
      </c>
      <c r="AL89" s="139">
        <v>64</v>
      </c>
      <c r="AM89" s="140" t="s">
        <v>2855</v>
      </c>
      <c r="AN89" s="141" t="s">
        <v>2855</v>
      </c>
    </row>
    <row r="90" spans="6:40"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213"/>
      <c r="Q90" s="210" t="s">
        <v>2457</v>
      </c>
      <c r="R90" s="118"/>
      <c r="S90" s="118"/>
      <c r="T90" s="126" t="s">
        <v>2458</v>
      </c>
      <c r="U90" s="126" t="s">
        <v>2458</v>
      </c>
      <c r="V90" s="122" t="s">
        <v>2856</v>
      </c>
      <c r="W90" s="181" t="s">
        <v>2857</v>
      </c>
      <c r="X90" s="182" t="s">
        <v>2858</v>
      </c>
      <c r="Y90" s="183"/>
      <c r="Z90" s="182" t="s">
        <v>2859</v>
      </c>
      <c r="AA90" s="182" t="s">
        <v>2859</v>
      </c>
      <c r="AB90" s="131" t="s">
        <v>2860</v>
      </c>
      <c r="AC90" s="132" t="s">
        <v>1975</v>
      </c>
      <c r="AD90" s="152" t="s">
        <v>48</v>
      </c>
      <c r="AE90" s="153" t="s">
        <v>2861</v>
      </c>
      <c r="AF90" s="153" t="s">
        <v>2861</v>
      </c>
      <c r="AG90" s="135"/>
      <c r="AH90" s="136" t="s">
        <v>1980</v>
      </c>
      <c r="AI90" s="212" t="s">
        <v>2862</v>
      </c>
      <c r="AJ90" s="175" t="s">
        <v>2863</v>
      </c>
      <c r="AK90" s="176" t="s">
        <v>2349</v>
      </c>
      <c r="AL90" s="139">
        <v>65</v>
      </c>
      <c r="AM90" s="140" t="s">
        <v>2864</v>
      </c>
      <c r="AN90" s="140" t="s">
        <v>2864</v>
      </c>
    </row>
    <row r="91" spans="6:40" ht="14.5" thickBot="1"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23"/>
      <c r="Q91" s="210" t="s">
        <v>2865</v>
      </c>
      <c r="R91" s="211"/>
      <c r="S91" s="211"/>
      <c r="T91" s="126" t="s">
        <v>2544</v>
      </c>
      <c r="U91" s="126" t="s">
        <v>2544</v>
      </c>
      <c r="V91" s="122" t="s">
        <v>2866</v>
      </c>
      <c r="W91" s="127">
        <v>1</v>
      </c>
      <c r="X91" s="128" t="s">
        <v>2867</v>
      </c>
      <c r="Y91" s="129" t="s">
        <v>2868</v>
      </c>
      <c r="Z91" s="128" t="s">
        <v>2869</v>
      </c>
      <c r="AA91" s="128" t="s">
        <v>2869</v>
      </c>
      <c r="AB91" s="131"/>
      <c r="AC91" s="132" t="s">
        <v>1975</v>
      </c>
      <c r="AD91" s="167" t="s">
        <v>204</v>
      </c>
      <c r="AE91" s="153" t="s">
        <v>2065</v>
      </c>
      <c r="AF91" s="153" t="s">
        <v>2870</v>
      </c>
      <c r="AG91" s="135" t="s">
        <v>1979</v>
      </c>
      <c r="AH91" s="136" t="s">
        <v>1980</v>
      </c>
      <c r="AI91" s="175" t="s">
        <v>2871</v>
      </c>
      <c r="AJ91" s="175" t="s">
        <v>2871</v>
      </c>
      <c r="AK91" s="176" t="s">
        <v>2871</v>
      </c>
      <c r="AL91" s="214">
        <v>66</v>
      </c>
      <c r="AM91" s="215" t="s">
        <v>2872</v>
      </c>
      <c r="AN91" s="216" t="s">
        <v>2873</v>
      </c>
    </row>
    <row r="92" spans="6:40"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23"/>
      <c r="Q92" s="210" t="s">
        <v>2874</v>
      </c>
      <c r="R92" s="118"/>
      <c r="S92" s="118"/>
      <c r="T92" s="126" t="s">
        <v>2875</v>
      </c>
      <c r="U92" s="217" t="s">
        <v>2875</v>
      </c>
      <c r="V92" s="122" t="s">
        <v>2876</v>
      </c>
      <c r="W92" s="127">
        <v>2</v>
      </c>
      <c r="X92" s="128" t="s">
        <v>2877</v>
      </c>
      <c r="Y92" s="129" t="s">
        <v>2878</v>
      </c>
      <c r="Z92" s="129" t="s">
        <v>2879</v>
      </c>
      <c r="AA92" s="128" t="s">
        <v>2879</v>
      </c>
      <c r="AB92" s="131"/>
      <c r="AC92" s="132" t="s">
        <v>1975</v>
      </c>
      <c r="AD92" s="167" t="s">
        <v>330</v>
      </c>
      <c r="AE92" s="153" t="s">
        <v>1989</v>
      </c>
      <c r="AF92" s="153" t="s">
        <v>2036</v>
      </c>
      <c r="AG92" s="135" t="s">
        <v>2192</v>
      </c>
      <c r="AH92" s="136" t="s">
        <v>1980</v>
      </c>
      <c r="AI92" s="175" t="s">
        <v>2880</v>
      </c>
      <c r="AJ92" s="175" t="s">
        <v>2871</v>
      </c>
      <c r="AK92" s="175" t="s">
        <v>2871</v>
      </c>
      <c r="AL92" s="161"/>
      <c r="AM92" s="218">
        <v>45</v>
      </c>
      <c r="AN92" s="218">
        <v>45</v>
      </c>
    </row>
    <row r="93" spans="6:40"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213"/>
      <c r="Q93" s="210" t="s">
        <v>2881</v>
      </c>
      <c r="R93" s="118"/>
      <c r="S93" s="118"/>
      <c r="T93" s="126" t="s">
        <v>2821</v>
      </c>
      <c r="U93" s="126" t="s">
        <v>2821</v>
      </c>
      <c r="V93" s="122" t="s">
        <v>2882</v>
      </c>
      <c r="W93" s="127">
        <v>3</v>
      </c>
      <c r="X93" s="128" t="s">
        <v>1052</v>
      </c>
      <c r="Y93" s="129" t="s">
        <v>2883</v>
      </c>
      <c r="Z93" s="129" t="s">
        <v>2884</v>
      </c>
      <c r="AA93" s="128" t="s">
        <v>2885</v>
      </c>
      <c r="AB93" s="131"/>
      <c r="AC93" s="132" t="s">
        <v>1975</v>
      </c>
      <c r="AD93" s="163" t="s">
        <v>1777</v>
      </c>
      <c r="AE93" s="137" t="s">
        <v>2886</v>
      </c>
      <c r="AF93" s="137" t="s">
        <v>2886</v>
      </c>
      <c r="AG93" s="164"/>
      <c r="AH93" s="136" t="s">
        <v>1980</v>
      </c>
      <c r="AI93" s="175" t="s">
        <v>2880</v>
      </c>
      <c r="AJ93" s="175" t="s">
        <v>2887</v>
      </c>
      <c r="AK93" s="175" t="s">
        <v>2871</v>
      </c>
      <c r="AL93" s="161"/>
      <c r="AM93" s="219" t="s">
        <v>2888</v>
      </c>
      <c r="AN93" s="220">
        <v>46</v>
      </c>
    </row>
    <row r="94" spans="6:40"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207" t="s">
        <v>2889</v>
      </c>
      <c r="Q94" s="210" t="s">
        <v>2890</v>
      </c>
      <c r="R94" s="211"/>
      <c r="S94" s="211"/>
      <c r="T94" s="126" t="s">
        <v>2891</v>
      </c>
      <c r="U94" s="166" t="s">
        <v>2891</v>
      </c>
      <c r="V94" s="177"/>
      <c r="W94" s="127">
        <v>4</v>
      </c>
      <c r="X94" s="128" t="s">
        <v>2892</v>
      </c>
      <c r="Y94" s="129" t="s">
        <v>2893</v>
      </c>
      <c r="Z94" s="129" t="s">
        <v>2894</v>
      </c>
      <c r="AA94" s="128" t="s">
        <v>2895</v>
      </c>
      <c r="AB94" s="131"/>
      <c r="AC94" s="132" t="s">
        <v>1975</v>
      </c>
      <c r="AD94" s="163" t="s">
        <v>2896</v>
      </c>
      <c r="AE94" s="137" t="s">
        <v>1311</v>
      </c>
      <c r="AF94" s="137" t="s">
        <v>1934</v>
      </c>
      <c r="AG94" s="164"/>
      <c r="AH94" s="136" t="s">
        <v>1980</v>
      </c>
      <c r="AI94" s="175" t="s">
        <v>2897</v>
      </c>
      <c r="AJ94" s="175" t="s">
        <v>2898</v>
      </c>
      <c r="AK94" s="175" t="s">
        <v>2899</v>
      </c>
      <c r="AL94" s="161"/>
      <c r="AM94" s="219" t="s">
        <v>2900</v>
      </c>
      <c r="AN94" s="220">
        <v>47</v>
      </c>
    </row>
    <row r="95" spans="6:40"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23"/>
      <c r="Q95" s="210" t="s">
        <v>2901</v>
      </c>
      <c r="R95" s="118"/>
      <c r="S95" s="118"/>
      <c r="T95" s="126" t="s">
        <v>2901</v>
      </c>
      <c r="U95" s="126" t="s">
        <v>2901</v>
      </c>
      <c r="V95" s="221"/>
      <c r="W95" s="127">
        <v>5</v>
      </c>
      <c r="X95" s="128" t="s">
        <v>2902</v>
      </c>
      <c r="Y95" s="129" t="s">
        <v>2903</v>
      </c>
      <c r="Z95" s="129" t="s">
        <v>2904</v>
      </c>
      <c r="AA95" s="128" t="s">
        <v>2905</v>
      </c>
      <c r="AB95" s="131"/>
      <c r="AC95" s="132" t="s">
        <v>1975</v>
      </c>
      <c r="AD95" s="167" t="s">
        <v>2906</v>
      </c>
      <c r="AE95" s="153" t="s">
        <v>2907</v>
      </c>
      <c r="AF95" s="153" t="s">
        <v>2908</v>
      </c>
      <c r="AG95" s="135" t="s">
        <v>1979</v>
      </c>
      <c r="AH95" s="136" t="s">
        <v>1980</v>
      </c>
      <c r="AI95" s="175" t="s">
        <v>2909</v>
      </c>
      <c r="AJ95" s="175" t="s">
        <v>2910</v>
      </c>
      <c r="AK95" s="175" t="s">
        <v>2911</v>
      </c>
      <c r="AL95" s="161"/>
      <c r="AM95" s="219" t="s">
        <v>2912</v>
      </c>
      <c r="AN95" s="218">
        <v>48</v>
      </c>
    </row>
    <row r="96" spans="6:40"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207" t="s">
        <v>2913</v>
      </c>
      <c r="Q96" s="210" t="s">
        <v>2858</v>
      </c>
      <c r="R96" s="211"/>
      <c r="S96" s="211"/>
      <c r="T96" s="126" t="s">
        <v>2859</v>
      </c>
      <c r="U96" s="166" t="s">
        <v>2859</v>
      </c>
      <c r="V96" s="177"/>
      <c r="W96" s="127">
        <v>6</v>
      </c>
      <c r="X96" s="128" t="s">
        <v>2914</v>
      </c>
      <c r="Y96" s="129" t="s">
        <v>2915</v>
      </c>
      <c r="Z96" s="129" t="s">
        <v>2916</v>
      </c>
      <c r="AA96" s="128" t="s">
        <v>2917</v>
      </c>
      <c r="AB96" s="131"/>
      <c r="AC96" s="132" t="s">
        <v>1975</v>
      </c>
      <c r="AD96" s="133" t="s">
        <v>2918</v>
      </c>
      <c r="AE96" s="134" t="s">
        <v>2919</v>
      </c>
      <c r="AF96" s="134" t="s">
        <v>2055</v>
      </c>
      <c r="AG96" s="135" t="s">
        <v>1979</v>
      </c>
      <c r="AH96" s="136" t="s">
        <v>1980</v>
      </c>
      <c r="AI96" s="168" t="s">
        <v>2920</v>
      </c>
      <c r="AJ96" s="168" t="s">
        <v>2396</v>
      </c>
      <c r="AK96" s="168" t="s">
        <v>2921</v>
      </c>
      <c r="AL96" s="161"/>
      <c r="AM96" s="220">
        <v>49</v>
      </c>
      <c r="AN96" s="220">
        <v>49</v>
      </c>
    </row>
    <row r="97" spans="6:40"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207" t="s">
        <v>2922</v>
      </c>
      <c r="Q97" s="222" t="s">
        <v>2923</v>
      </c>
      <c r="R97" s="223"/>
      <c r="S97" s="223"/>
      <c r="T97" s="224" t="s">
        <v>2924</v>
      </c>
      <c r="U97" s="224" t="s">
        <v>2924</v>
      </c>
      <c r="V97" s="225"/>
      <c r="W97" s="127">
        <v>7</v>
      </c>
      <c r="X97" s="128" t="s">
        <v>2925</v>
      </c>
      <c r="Y97" s="129" t="s">
        <v>2926</v>
      </c>
      <c r="Z97" s="129" t="s">
        <v>1111</v>
      </c>
      <c r="AA97" s="128" t="s">
        <v>2927</v>
      </c>
      <c r="AB97" s="131"/>
      <c r="AC97" s="132" t="s">
        <v>1975</v>
      </c>
      <c r="AD97" s="163" t="s">
        <v>1194</v>
      </c>
      <c r="AE97" s="137" t="s">
        <v>2928</v>
      </c>
      <c r="AF97" s="137" t="s">
        <v>2928</v>
      </c>
      <c r="AG97" s="164"/>
      <c r="AH97" s="136" t="s">
        <v>1980</v>
      </c>
      <c r="AI97" s="175" t="s">
        <v>2929</v>
      </c>
      <c r="AJ97" s="175" t="s">
        <v>2930</v>
      </c>
      <c r="AK97" s="175" t="s">
        <v>2931</v>
      </c>
      <c r="AL97" s="161"/>
      <c r="AM97" s="220">
        <v>50</v>
      </c>
      <c r="AN97" s="220">
        <v>50</v>
      </c>
    </row>
    <row r="98" spans="6:40" ht="14.5" thickBot="1"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226" t="s">
        <v>2932</v>
      </c>
      <c r="Q98" s="227" t="s">
        <v>2933</v>
      </c>
      <c r="R98" s="227"/>
      <c r="S98" s="227"/>
      <c r="T98" s="228" t="s">
        <v>2934</v>
      </c>
      <c r="U98" s="229" t="s">
        <v>2934</v>
      </c>
      <c r="V98" s="230"/>
      <c r="W98" s="127">
        <v>8</v>
      </c>
      <c r="X98" s="231" t="s">
        <v>2935</v>
      </c>
      <c r="Y98" s="129" t="s">
        <v>2936</v>
      </c>
      <c r="Z98" s="129" t="s">
        <v>2937</v>
      </c>
      <c r="AA98" s="128" t="s">
        <v>2937</v>
      </c>
      <c r="AB98" s="131"/>
      <c r="AC98" s="132" t="s">
        <v>1975</v>
      </c>
      <c r="AD98" s="152" t="s">
        <v>2938</v>
      </c>
      <c r="AE98" s="153" t="s">
        <v>2148</v>
      </c>
      <c r="AF98" s="153" t="s">
        <v>2939</v>
      </c>
      <c r="AG98" s="135" t="s">
        <v>1979</v>
      </c>
      <c r="AH98" s="136" t="s">
        <v>1980</v>
      </c>
      <c r="AI98" s="175" t="s">
        <v>2929</v>
      </c>
      <c r="AJ98" s="175" t="s">
        <v>2940</v>
      </c>
      <c r="AK98" s="175" t="s">
        <v>2931</v>
      </c>
      <c r="AL98" s="161"/>
      <c r="AM98" s="218">
        <v>51</v>
      </c>
      <c r="AN98" s="218">
        <v>51</v>
      </c>
    </row>
    <row r="99" spans="6:40"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W99" s="127">
        <v>9</v>
      </c>
      <c r="X99" s="231" t="s">
        <v>2941</v>
      </c>
      <c r="Y99" s="129" t="s">
        <v>2942</v>
      </c>
      <c r="Z99" s="129" t="s">
        <v>2943</v>
      </c>
      <c r="AA99" s="129" t="s">
        <v>2943</v>
      </c>
      <c r="AB99" s="131"/>
      <c r="AC99" s="132" t="s">
        <v>1975</v>
      </c>
      <c r="AD99" s="133" t="s">
        <v>2944</v>
      </c>
      <c r="AE99" s="134" t="s">
        <v>2165</v>
      </c>
      <c r="AF99" s="134" t="s">
        <v>2945</v>
      </c>
      <c r="AG99" s="135" t="s">
        <v>1979</v>
      </c>
      <c r="AH99" s="136" t="s">
        <v>1980</v>
      </c>
      <c r="AI99" s="175" t="s">
        <v>2929</v>
      </c>
      <c r="AJ99" s="175" t="s">
        <v>2946</v>
      </c>
      <c r="AK99" s="175" t="s">
        <v>2931</v>
      </c>
      <c r="AL99" s="161"/>
      <c r="AM99" s="220">
        <v>52</v>
      </c>
      <c r="AN99" s="220">
        <v>52</v>
      </c>
    </row>
    <row r="100" spans="6:40"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W100" s="127">
        <v>10</v>
      </c>
      <c r="X100" s="231" t="s">
        <v>2947</v>
      </c>
      <c r="Y100" s="129" t="s">
        <v>2948</v>
      </c>
      <c r="Z100" s="129" t="s">
        <v>2949</v>
      </c>
      <c r="AA100" s="129" t="s">
        <v>2950</v>
      </c>
      <c r="AB100" s="131"/>
      <c r="AC100" s="132" t="s">
        <v>1975</v>
      </c>
      <c r="AD100" s="167" t="s">
        <v>311</v>
      </c>
      <c r="AE100" s="153" t="s">
        <v>2951</v>
      </c>
      <c r="AF100" s="153" t="s">
        <v>2951</v>
      </c>
      <c r="AG100" s="135" t="s">
        <v>2503</v>
      </c>
      <c r="AH100" s="136" t="s">
        <v>1980</v>
      </c>
      <c r="AI100" s="175" t="s">
        <v>2952</v>
      </c>
      <c r="AJ100" s="175" t="s">
        <v>2953</v>
      </c>
      <c r="AK100" s="175" t="s">
        <v>2931</v>
      </c>
      <c r="AL100" s="161"/>
      <c r="AM100" s="220">
        <v>53</v>
      </c>
      <c r="AN100" s="220">
        <v>53</v>
      </c>
    </row>
    <row r="101" spans="6:40" ht="14.5"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232"/>
      <c r="W101" s="127">
        <v>11</v>
      </c>
      <c r="X101" s="231" t="s">
        <v>2954</v>
      </c>
      <c r="Y101" s="129" t="s">
        <v>2955</v>
      </c>
      <c r="Z101" s="129" t="s">
        <v>2956</v>
      </c>
      <c r="AA101" s="129" t="s">
        <v>2949</v>
      </c>
      <c r="AB101" s="131"/>
      <c r="AC101" s="132" t="s">
        <v>1975</v>
      </c>
      <c r="AD101" s="167" t="s">
        <v>2957</v>
      </c>
      <c r="AE101" s="153" t="s">
        <v>2958</v>
      </c>
      <c r="AF101" s="153" t="s">
        <v>2958</v>
      </c>
      <c r="AG101" s="135" t="s">
        <v>1979</v>
      </c>
      <c r="AH101" s="136" t="s">
        <v>1980</v>
      </c>
      <c r="AI101" s="175" t="s">
        <v>2959</v>
      </c>
      <c r="AJ101" s="175" t="s">
        <v>2960</v>
      </c>
      <c r="AK101" s="175" t="s">
        <v>2960</v>
      </c>
      <c r="AL101" s="161"/>
      <c r="AM101" s="233" t="s">
        <v>2961</v>
      </c>
      <c r="AN101" s="234" t="s">
        <v>2961</v>
      </c>
    </row>
    <row r="102" spans="6:40"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W102" s="127">
        <v>12</v>
      </c>
      <c r="X102" s="231" t="s">
        <v>2962</v>
      </c>
      <c r="Y102" s="129" t="s">
        <v>2963</v>
      </c>
      <c r="Z102" s="129" t="s">
        <v>2964</v>
      </c>
      <c r="AA102" s="129" t="s">
        <v>2964</v>
      </c>
      <c r="AB102" s="131"/>
      <c r="AC102" s="132" t="s">
        <v>1975</v>
      </c>
      <c r="AD102" s="152" t="s">
        <v>1865</v>
      </c>
      <c r="AE102" s="153" t="s">
        <v>2965</v>
      </c>
      <c r="AF102" s="153" t="s">
        <v>2965</v>
      </c>
      <c r="AG102" s="135"/>
      <c r="AH102" s="158" t="s">
        <v>2065</v>
      </c>
      <c r="AI102" s="168" t="s">
        <v>2966</v>
      </c>
      <c r="AJ102" s="168" t="s">
        <v>2024</v>
      </c>
      <c r="AK102" s="168" t="s">
        <v>2967</v>
      </c>
      <c r="AL102" s="161"/>
      <c r="AM102" s="234"/>
      <c r="AN102" s="234"/>
    </row>
    <row r="103" spans="6:40"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W103" s="127">
        <v>13</v>
      </c>
      <c r="X103" s="128" t="s">
        <v>2968</v>
      </c>
      <c r="Y103" s="129" t="s">
        <v>2969</v>
      </c>
      <c r="Z103" s="129" t="s">
        <v>2012</v>
      </c>
      <c r="AA103" s="128" t="s">
        <v>2970</v>
      </c>
      <c r="AB103" s="131"/>
      <c r="AC103" s="132" t="s">
        <v>1975</v>
      </c>
      <c r="AD103" s="133" t="s">
        <v>900</v>
      </c>
      <c r="AE103" s="134" t="s">
        <v>2035</v>
      </c>
      <c r="AF103" s="134" t="s">
        <v>2971</v>
      </c>
      <c r="AG103" s="135" t="s">
        <v>2095</v>
      </c>
      <c r="AH103" s="136" t="s">
        <v>1980</v>
      </c>
      <c r="AI103" s="175" t="s">
        <v>2972</v>
      </c>
      <c r="AJ103" s="175" t="s">
        <v>2973</v>
      </c>
      <c r="AK103" s="175" t="s">
        <v>2974</v>
      </c>
      <c r="AL103" s="161"/>
      <c r="AM103" s="234"/>
      <c r="AN103" s="234"/>
    </row>
    <row r="104" spans="6:40"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W104" s="127">
        <v>14</v>
      </c>
      <c r="X104" s="128" t="s">
        <v>2975</v>
      </c>
      <c r="Y104" s="129" t="s">
        <v>2976</v>
      </c>
      <c r="Z104" s="129" t="s">
        <v>2977</v>
      </c>
      <c r="AA104" s="128" t="s">
        <v>2977</v>
      </c>
      <c r="AB104" s="131"/>
      <c r="AC104" s="132" t="s">
        <v>1975</v>
      </c>
      <c r="AD104" s="167" t="s">
        <v>2978</v>
      </c>
      <c r="AE104" s="153" t="s">
        <v>1989</v>
      </c>
      <c r="AF104" s="153" t="s">
        <v>1990</v>
      </c>
      <c r="AG104" s="135" t="s">
        <v>2398</v>
      </c>
      <c r="AH104" s="158" t="s">
        <v>2065</v>
      </c>
      <c r="AI104" s="137" t="s">
        <v>2972</v>
      </c>
      <c r="AJ104" s="137" t="s">
        <v>2421</v>
      </c>
      <c r="AK104" s="137" t="s">
        <v>2974</v>
      </c>
      <c r="AL104" s="232"/>
      <c r="AM104" s="235"/>
      <c r="AN104" s="235"/>
    </row>
    <row r="105" spans="6:40"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W105" s="127">
        <v>15</v>
      </c>
      <c r="X105" s="128" t="s">
        <v>2979</v>
      </c>
      <c r="Y105" s="129" t="s">
        <v>2980</v>
      </c>
      <c r="Z105" s="129" t="s">
        <v>2981</v>
      </c>
      <c r="AA105" s="128" t="s">
        <v>2981</v>
      </c>
      <c r="AB105" s="131"/>
      <c r="AC105" s="132" t="s">
        <v>1975</v>
      </c>
      <c r="AD105" s="152" t="s">
        <v>2982</v>
      </c>
      <c r="AE105" s="153" t="s">
        <v>1989</v>
      </c>
      <c r="AF105" s="153" t="s">
        <v>2983</v>
      </c>
      <c r="AG105" s="135" t="s">
        <v>1979</v>
      </c>
      <c r="AH105" s="117" t="s">
        <v>1980</v>
      </c>
      <c r="AI105" s="175" t="s">
        <v>2984</v>
      </c>
      <c r="AJ105" s="175" t="s">
        <v>2985</v>
      </c>
      <c r="AK105" s="175" t="s">
        <v>2986</v>
      </c>
      <c r="AL105" s="161"/>
      <c r="AM105" s="234"/>
      <c r="AN105" s="234"/>
    </row>
    <row r="106" spans="6:40"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W106" s="127">
        <v>16</v>
      </c>
      <c r="X106" s="128" t="s">
        <v>2987</v>
      </c>
      <c r="Y106" s="129" t="s">
        <v>2988</v>
      </c>
      <c r="Z106" s="129" t="s">
        <v>2989</v>
      </c>
      <c r="AA106" s="128" t="s">
        <v>2989</v>
      </c>
      <c r="AB106" s="131"/>
      <c r="AC106" s="132" t="s">
        <v>1975</v>
      </c>
      <c r="AD106" s="167" t="s">
        <v>2990</v>
      </c>
      <c r="AE106" s="153" t="s">
        <v>2991</v>
      </c>
      <c r="AF106" s="153" t="s">
        <v>2991</v>
      </c>
      <c r="AG106" s="135" t="s">
        <v>1979</v>
      </c>
      <c r="AH106" s="136" t="s">
        <v>1980</v>
      </c>
      <c r="AI106" s="175" t="s">
        <v>2992</v>
      </c>
      <c r="AJ106" s="175" t="s">
        <v>2993</v>
      </c>
      <c r="AK106" s="175" t="s">
        <v>2993</v>
      </c>
      <c r="AL106" s="161"/>
      <c r="AM106" s="234"/>
      <c r="AN106" s="234"/>
    </row>
    <row r="107" spans="6:40"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W107" s="127">
        <v>17</v>
      </c>
      <c r="X107" s="128" t="s">
        <v>2994</v>
      </c>
      <c r="Y107" s="129" t="s">
        <v>2995</v>
      </c>
      <c r="Z107" s="129" t="s">
        <v>2996</v>
      </c>
      <c r="AA107" s="128" t="s">
        <v>2996</v>
      </c>
      <c r="AB107" s="131"/>
      <c r="AC107" s="132" t="s">
        <v>1975</v>
      </c>
      <c r="AD107" s="167" t="s">
        <v>447</v>
      </c>
      <c r="AE107" s="153" t="s">
        <v>2225</v>
      </c>
      <c r="AF107" s="153" t="s">
        <v>2997</v>
      </c>
      <c r="AG107" s="135" t="s">
        <v>2095</v>
      </c>
      <c r="AH107" s="136" t="s">
        <v>1980</v>
      </c>
      <c r="AI107" s="175" t="s">
        <v>2998</v>
      </c>
      <c r="AJ107" s="175" t="s">
        <v>2421</v>
      </c>
      <c r="AK107" s="175" t="s">
        <v>2993</v>
      </c>
      <c r="AL107" s="232"/>
      <c r="AM107" s="235"/>
      <c r="AN107" s="235"/>
    </row>
    <row r="108" spans="6:40"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W108" s="181" t="s">
        <v>2999</v>
      </c>
      <c r="X108" s="182" t="s">
        <v>2890</v>
      </c>
      <c r="Y108" s="183"/>
      <c r="Z108" s="182" t="s">
        <v>2891</v>
      </c>
      <c r="AA108" s="182" t="s">
        <v>2891</v>
      </c>
      <c r="AB108" s="131"/>
      <c r="AC108" s="162" t="s">
        <v>1975</v>
      </c>
      <c r="AD108" s="163" t="s">
        <v>333</v>
      </c>
      <c r="AE108" s="137" t="s">
        <v>3000</v>
      </c>
      <c r="AF108" s="137" t="s">
        <v>3001</v>
      </c>
      <c r="AG108" s="164"/>
      <c r="AH108" s="136" t="s">
        <v>1980</v>
      </c>
      <c r="AI108" s="175" t="s">
        <v>3002</v>
      </c>
      <c r="AJ108" s="175" t="s">
        <v>3003</v>
      </c>
      <c r="AK108" s="175" t="s">
        <v>3004</v>
      </c>
      <c r="AL108" s="161"/>
      <c r="AM108" s="234"/>
      <c r="AN108" s="234"/>
    </row>
    <row r="109" spans="6:40"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W109" s="127">
        <v>1</v>
      </c>
      <c r="X109" s="128" t="s">
        <v>3005</v>
      </c>
      <c r="Y109" s="129" t="s">
        <v>3006</v>
      </c>
      <c r="Z109" s="129" t="s">
        <v>3007</v>
      </c>
      <c r="AA109" s="128" t="s">
        <v>3007</v>
      </c>
      <c r="AB109" s="131"/>
      <c r="AC109" s="132" t="s">
        <v>1975</v>
      </c>
      <c r="AD109" s="152" t="s">
        <v>3008</v>
      </c>
      <c r="AE109" s="153" t="s">
        <v>3009</v>
      </c>
      <c r="AF109" s="153" t="s">
        <v>3009</v>
      </c>
      <c r="AG109" s="135" t="s">
        <v>1979</v>
      </c>
      <c r="AH109" s="136" t="s">
        <v>1980</v>
      </c>
      <c r="AI109" s="175" t="s">
        <v>3010</v>
      </c>
      <c r="AJ109" s="175" t="s">
        <v>3011</v>
      </c>
      <c r="AK109" s="175" t="s">
        <v>3012</v>
      </c>
      <c r="AL109" s="161"/>
      <c r="AM109" s="234"/>
      <c r="AN109" s="234"/>
    </row>
    <row r="110" spans="6:40"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W110" s="127">
        <v>2</v>
      </c>
      <c r="X110" s="128" t="s">
        <v>3013</v>
      </c>
      <c r="Y110" s="129" t="s">
        <v>3014</v>
      </c>
      <c r="Z110" s="129" t="s">
        <v>3015</v>
      </c>
      <c r="AA110" s="128" t="s">
        <v>3016</v>
      </c>
      <c r="AB110" s="131"/>
      <c r="AC110" s="132" t="s">
        <v>1975</v>
      </c>
      <c r="AD110" s="167" t="s">
        <v>450</v>
      </c>
      <c r="AE110" s="153" t="s">
        <v>3017</v>
      </c>
      <c r="AF110" s="153" t="s">
        <v>3017</v>
      </c>
      <c r="AG110" s="135" t="s">
        <v>2095</v>
      </c>
      <c r="AH110" s="136" t="s">
        <v>1980</v>
      </c>
      <c r="AI110" s="236" t="s">
        <v>3010</v>
      </c>
      <c r="AJ110" s="175" t="s">
        <v>2576</v>
      </c>
      <c r="AK110" s="175" t="s">
        <v>3012</v>
      </c>
      <c r="AL110" s="161"/>
      <c r="AM110" s="234"/>
      <c r="AN110" s="234"/>
    </row>
    <row r="111" spans="6:40" ht="19.5" customHeight="1"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W111" s="127">
        <v>3</v>
      </c>
      <c r="X111" s="128" t="s">
        <v>3018</v>
      </c>
      <c r="Y111" s="129" t="s">
        <v>3019</v>
      </c>
      <c r="Z111" s="129" t="s">
        <v>2396</v>
      </c>
      <c r="AA111" s="128" t="s">
        <v>3020</v>
      </c>
      <c r="AB111" s="131"/>
      <c r="AC111" s="132" t="s">
        <v>1975</v>
      </c>
      <c r="AD111" s="167" t="s">
        <v>1018</v>
      </c>
      <c r="AE111" s="153" t="s">
        <v>3021</v>
      </c>
      <c r="AF111" s="153" t="s">
        <v>3021</v>
      </c>
      <c r="AG111" s="135"/>
      <c r="AH111" s="136" t="s">
        <v>1980</v>
      </c>
      <c r="AI111" s="175" t="s">
        <v>3010</v>
      </c>
      <c r="AJ111" s="175" t="s">
        <v>2576</v>
      </c>
      <c r="AK111" s="175" t="s">
        <v>3012</v>
      </c>
      <c r="AL111" s="237"/>
      <c r="AM111" s="237"/>
      <c r="AN111" s="237"/>
    </row>
    <row r="112" spans="6:40"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W112" s="127">
        <v>4</v>
      </c>
      <c r="X112" s="128" t="s">
        <v>3022</v>
      </c>
      <c r="Y112" s="129" t="s">
        <v>3023</v>
      </c>
      <c r="Z112" s="129" t="s">
        <v>3024</v>
      </c>
      <c r="AA112" s="128" t="s">
        <v>3025</v>
      </c>
      <c r="AB112" s="131"/>
      <c r="AC112" s="132" t="s">
        <v>1975</v>
      </c>
      <c r="AD112" s="167" t="s">
        <v>3026</v>
      </c>
      <c r="AE112" s="153" t="s">
        <v>3027</v>
      </c>
      <c r="AF112" s="238" t="s">
        <v>3028</v>
      </c>
      <c r="AG112" s="135" t="s">
        <v>1979</v>
      </c>
      <c r="AH112" s="239" t="s">
        <v>1980</v>
      </c>
      <c r="AI112" s="240" t="s">
        <v>3010</v>
      </c>
      <c r="AJ112" s="154" t="s">
        <v>3029</v>
      </c>
      <c r="AK112" s="175" t="s">
        <v>3012</v>
      </c>
      <c r="AL112" s="161"/>
      <c r="AM112" s="234"/>
      <c r="AN112" s="234"/>
    </row>
    <row r="113" spans="6:40" ht="16.5" customHeight="1"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W113" s="127">
        <v>5</v>
      </c>
      <c r="X113" s="128" t="s">
        <v>3030</v>
      </c>
      <c r="Y113" s="129" t="s">
        <v>3031</v>
      </c>
      <c r="Z113" s="129" t="s">
        <v>3032</v>
      </c>
      <c r="AA113" s="128" t="s">
        <v>3033</v>
      </c>
      <c r="AB113" s="131"/>
      <c r="AC113" s="132" t="s">
        <v>1975</v>
      </c>
      <c r="AD113" s="167" t="s">
        <v>2526</v>
      </c>
      <c r="AE113" s="153" t="s">
        <v>3034</v>
      </c>
      <c r="AF113" s="153" t="s">
        <v>3035</v>
      </c>
      <c r="AG113" s="135" t="s">
        <v>1979</v>
      </c>
      <c r="AH113" s="136" t="s">
        <v>1980</v>
      </c>
      <c r="AI113" s="175" t="s">
        <v>3010</v>
      </c>
      <c r="AJ113" s="175" t="s">
        <v>3036</v>
      </c>
      <c r="AK113" s="175" t="s">
        <v>3012</v>
      </c>
      <c r="AL113" s="161"/>
      <c r="AM113" s="234"/>
      <c r="AN113" s="234"/>
    </row>
    <row r="114" spans="6:40" ht="16.5" customHeight="1"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W114" s="127">
        <v>6</v>
      </c>
      <c r="X114" s="128" t="s">
        <v>102</v>
      </c>
      <c r="Y114" s="129"/>
      <c r="Z114" s="129" t="s">
        <v>3037</v>
      </c>
      <c r="AA114" s="128" t="s">
        <v>3038</v>
      </c>
      <c r="AB114" s="131"/>
      <c r="AC114" s="162" t="s">
        <v>1975</v>
      </c>
      <c r="AD114" s="163" t="s">
        <v>1052</v>
      </c>
      <c r="AE114" s="137" t="s">
        <v>2884</v>
      </c>
      <c r="AF114" s="137" t="s">
        <v>2884</v>
      </c>
      <c r="AG114" s="164"/>
      <c r="AH114" s="136" t="s">
        <v>1980</v>
      </c>
      <c r="AI114" s="175" t="s">
        <v>3039</v>
      </c>
      <c r="AJ114" s="175" t="s">
        <v>3040</v>
      </c>
      <c r="AK114" s="175" t="s">
        <v>3040</v>
      </c>
      <c r="AL114" s="161"/>
      <c r="AM114" s="234"/>
      <c r="AN114" s="234"/>
    </row>
    <row r="115" spans="6:40" ht="16.5" customHeight="1"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W115" s="127">
        <v>7</v>
      </c>
      <c r="X115" s="231" t="s">
        <v>3041</v>
      </c>
      <c r="Y115" s="129" t="s">
        <v>3042</v>
      </c>
      <c r="Z115" s="129" t="s">
        <v>2081</v>
      </c>
      <c r="AA115" s="128" t="s">
        <v>3043</v>
      </c>
      <c r="AB115" s="131"/>
      <c r="AC115" s="132" t="s">
        <v>1975</v>
      </c>
      <c r="AD115" s="167" t="s">
        <v>137</v>
      </c>
      <c r="AE115" s="153" t="s">
        <v>3044</v>
      </c>
      <c r="AF115" s="153" t="s">
        <v>3045</v>
      </c>
      <c r="AG115" s="135" t="s">
        <v>2503</v>
      </c>
      <c r="AH115" s="136" t="s">
        <v>1980</v>
      </c>
      <c r="AI115" s="175" t="s">
        <v>3039</v>
      </c>
      <c r="AJ115" s="175" t="s">
        <v>3046</v>
      </c>
      <c r="AK115" s="175" t="s">
        <v>3040</v>
      </c>
      <c r="AL115" s="161"/>
      <c r="AM115" s="234"/>
      <c r="AN115" s="234"/>
    </row>
    <row r="116" spans="6:40" ht="16.5" customHeight="1"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W116" s="127">
        <v>8</v>
      </c>
      <c r="X116" s="231"/>
      <c r="Y116" s="129" t="s">
        <v>3042</v>
      </c>
      <c r="Z116" s="129" t="s">
        <v>2202</v>
      </c>
      <c r="AA116" s="128" t="s">
        <v>3043</v>
      </c>
      <c r="AB116" s="131"/>
      <c r="AC116" s="132" t="s">
        <v>1975</v>
      </c>
      <c r="AD116" s="167" t="s">
        <v>3047</v>
      </c>
      <c r="AE116" s="153" t="s">
        <v>3048</v>
      </c>
      <c r="AF116" s="153" t="s">
        <v>3049</v>
      </c>
      <c r="AG116" s="135" t="s">
        <v>1979</v>
      </c>
      <c r="AH116" s="136" t="s">
        <v>1980</v>
      </c>
      <c r="AI116" s="175" t="s">
        <v>3050</v>
      </c>
      <c r="AJ116" s="175" t="s">
        <v>3051</v>
      </c>
      <c r="AK116" s="175" t="s">
        <v>3052</v>
      </c>
      <c r="AL116" s="161"/>
      <c r="AM116" s="234"/>
      <c r="AN116" s="234"/>
    </row>
    <row r="117" spans="6:40"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W117" s="127">
        <v>9</v>
      </c>
      <c r="X117" s="231" t="s">
        <v>3053</v>
      </c>
      <c r="Y117" s="129" t="s">
        <v>3054</v>
      </c>
      <c r="Z117" s="128" t="s">
        <v>3043</v>
      </c>
      <c r="AA117" s="128" t="s">
        <v>3043</v>
      </c>
      <c r="AB117" s="131"/>
      <c r="AC117" s="162" t="s">
        <v>1975</v>
      </c>
      <c r="AD117" s="163" t="s">
        <v>3055</v>
      </c>
      <c r="AE117" s="137"/>
      <c r="AF117" s="137" t="s">
        <v>3056</v>
      </c>
      <c r="AG117" s="164" t="s">
        <v>3057</v>
      </c>
      <c r="AH117" s="188" t="s">
        <v>1980</v>
      </c>
      <c r="AI117" s="189" t="s">
        <v>3058</v>
      </c>
      <c r="AJ117" s="189" t="s">
        <v>3059</v>
      </c>
      <c r="AK117" s="189" t="s">
        <v>3060</v>
      </c>
      <c r="AL117" s="161"/>
      <c r="AM117" s="234"/>
      <c r="AN117" s="234"/>
    </row>
    <row r="118" spans="6:40"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W118" s="127">
        <v>10</v>
      </c>
      <c r="X118" s="128" t="s">
        <v>3061</v>
      </c>
      <c r="Y118" s="129" t="s">
        <v>3062</v>
      </c>
      <c r="Z118" s="129" t="s">
        <v>3063</v>
      </c>
      <c r="AA118" s="128" t="s">
        <v>3063</v>
      </c>
      <c r="AB118" s="131"/>
      <c r="AC118" s="132" t="s">
        <v>1975</v>
      </c>
      <c r="AD118" s="152" t="s">
        <v>96</v>
      </c>
      <c r="AE118" s="153" t="s">
        <v>3021</v>
      </c>
      <c r="AF118" s="153" t="s">
        <v>3021</v>
      </c>
      <c r="AG118" s="135"/>
      <c r="AH118" s="188" t="s">
        <v>1980</v>
      </c>
      <c r="AI118" s="189" t="s">
        <v>3058</v>
      </c>
      <c r="AJ118" s="189" t="s">
        <v>3064</v>
      </c>
      <c r="AK118" s="189" t="s">
        <v>3060</v>
      </c>
      <c r="AL118" s="161"/>
      <c r="AM118" s="234"/>
      <c r="AN118" s="234"/>
    </row>
    <row r="119" spans="6:40"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W119" s="127">
        <v>11</v>
      </c>
      <c r="X119" s="128" t="s">
        <v>3065</v>
      </c>
      <c r="Y119" s="129" t="s">
        <v>3066</v>
      </c>
      <c r="Z119" s="129" t="s">
        <v>3067</v>
      </c>
      <c r="AA119" s="128" t="s">
        <v>3067</v>
      </c>
      <c r="AB119" s="131"/>
      <c r="AC119" s="132" t="s">
        <v>1975</v>
      </c>
      <c r="AD119" s="133" t="s">
        <v>3068</v>
      </c>
      <c r="AE119" s="134" t="s">
        <v>3069</v>
      </c>
      <c r="AF119" s="134" t="s">
        <v>3070</v>
      </c>
      <c r="AG119" s="135" t="s">
        <v>1979</v>
      </c>
      <c r="AH119" s="188" t="s">
        <v>1980</v>
      </c>
      <c r="AI119" s="189" t="s">
        <v>3058</v>
      </c>
      <c r="AJ119" s="189" t="s">
        <v>3071</v>
      </c>
      <c r="AK119" s="189" t="s">
        <v>3060</v>
      </c>
      <c r="AL119" s="161"/>
      <c r="AM119" s="234"/>
      <c r="AN119" s="234"/>
    </row>
    <row r="120" spans="6:40"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W120" s="127">
        <v>12</v>
      </c>
      <c r="X120" s="128" t="s">
        <v>1</v>
      </c>
      <c r="Y120" s="129" t="s">
        <v>3072</v>
      </c>
      <c r="Z120" s="129" t="s">
        <v>3073</v>
      </c>
      <c r="AA120" s="128" t="s">
        <v>3073</v>
      </c>
      <c r="AB120" s="131"/>
      <c r="AC120" s="132" t="s">
        <v>1975</v>
      </c>
      <c r="AD120" s="167" t="s">
        <v>3074</v>
      </c>
      <c r="AE120" s="153" t="s">
        <v>3075</v>
      </c>
      <c r="AF120" s="153" t="s">
        <v>3076</v>
      </c>
      <c r="AG120" s="135" t="s">
        <v>1979</v>
      </c>
      <c r="AH120" s="136" t="s">
        <v>1980</v>
      </c>
      <c r="AI120" s="175" t="s">
        <v>3058</v>
      </c>
      <c r="AJ120" s="175" t="s">
        <v>3077</v>
      </c>
      <c r="AK120" s="189" t="s">
        <v>3060</v>
      </c>
      <c r="AL120" s="161"/>
      <c r="AM120" s="234"/>
      <c r="AN120" s="234"/>
    </row>
    <row r="121" spans="6:40"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W121" s="127">
        <v>13</v>
      </c>
      <c r="X121" s="128" t="s">
        <v>2994</v>
      </c>
      <c r="Y121" s="129" t="s">
        <v>2995</v>
      </c>
      <c r="Z121" s="129" t="s">
        <v>2996</v>
      </c>
      <c r="AA121" s="128" t="s">
        <v>2996</v>
      </c>
      <c r="AB121" s="131"/>
      <c r="AC121" s="132" t="s">
        <v>1975</v>
      </c>
      <c r="AD121" s="167" t="s">
        <v>3078</v>
      </c>
      <c r="AE121" s="153" t="s">
        <v>2315</v>
      </c>
      <c r="AF121" s="153" t="s">
        <v>3079</v>
      </c>
      <c r="AG121" s="135" t="s">
        <v>1979</v>
      </c>
      <c r="AH121" s="191" t="s">
        <v>2065</v>
      </c>
      <c r="AI121" s="192" t="s">
        <v>3058</v>
      </c>
      <c r="AJ121" s="192" t="s">
        <v>3064</v>
      </c>
      <c r="AK121" s="192" t="s">
        <v>3060</v>
      </c>
      <c r="AL121" s="161"/>
      <c r="AM121" s="234"/>
      <c r="AN121" s="234"/>
    </row>
    <row r="122" spans="6:40" ht="14.15" customHeight="1"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W122" s="127">
        <v>14</v>
      </c>
      <c r="X122" s="128" t="s">
        <v>260</v>
      </c>
      <c r="Y122" s="129" t="s">
        <v>3080</v>
      </c>
      <c r="Z122" s="129" t="s">
        <v>3081</v>
      </c>
      <c r="AA122" s="128" t="s">
        <v>3081</v>
      </c>
      <c r="AB122" s="131"/>
      <c r="AC122" s="132" t="s">
        <v>1975</v>
      </c>
      <c r="AD122" s="133" t="s">
        <v>3082</v>
      </c>
      <c r="AE122" s="134" t="s">
        <v>3083</v>
      </c>
      <c r="AF122" s="134" t="s">
        <v>3084</v>
      </c>
      <c r="AG122" s="135" t="s">
        <v>1979</v>
      </c>
      <c r="AH122" s="136" t="s">
        <v>1980</v>
      </c>
      <c r="AI122" s="175" t="s">
        <v>3085</v>
      </c>
      <c r="AJ122" s="175" t="s">
        <v>3086</v>
      </c>
      <c r="AK122" s="175" t="s">
        <v>3087</v>
      </c>
      <c r="AL122" s="161"/>
      <c r="AM122" s="234"/>
      <c r="AN122" s="234"/>
    </row>
    <row r="123" spans="6:40" ht="14.25" customHeight="1"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W123" s="127">
        <v>15</v>
      </c>
      <c r="X123" s="128" t="s">
        <v>3088</v>
      </c>
      <c r="Y123" s="129" t="s">
        <v>3089</v>
      </c>
      <c r="Z123" s="129" t="s">
        <v>3090</v>
      </c>
      <c r="AA123" s="128" t="s">
        <v>3090</v>
      </c>
      <c r="AB123" s="131"/>
      <c r="AC123" s="132" t="s">
        <v>1975</v>
      </c>
      <c r="AD123" s="133" t="s">
        <v>75</v>
      </c>
      <c r="AE123" s="134" t="s">
        <v>3091</v>
      </c>
      <c r="AF123" s="134" t="s">
        <v>3092</v>
      </c>
      <c r="AG123" s="135" t="s">
        <v>2095</v>
      </c>
      <c r="AH123" s="136" t="s">
        <v>1980</v>
      </c>
      <c r="AI123" s="175" t="s">
        <v>3093</v>
      </c>
      <c r="AJ123" s="175" t="s">
        <v>3094</v>
      </c>
      <c r="AK123" s="175" t="s">
        <v>3095</v>
      </c>
      <c r="AL123" s="161"/>
      <c r="AM123" s="234"/>
      <c r="AN123" s="234"/>
    </row>
    <row r="124" spans="6:40"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W124" s="181" t="s">
        <v>3096</v>
      </c>
      <c r="X124" s="182" t="s">
        <v>2901</v>
      </c>
      <c r="Y124" s="183" t="s">
        <v>3097</v>
      </c>
      <c r="Z124" s="182" t="s">
        <v>2901</v>
      </c>
      <c r="AA124" s="182" t="s">
        <v>2901</v>
      </c>
      <c r="AB124" s="131"/>
      <c r="AC124" s="132" t="s">
        <v>1975</v>
      </c>
      <c r="AD124" s="133" t="s">
        <v>84</v>
      </c>
      <c r="AE124" s="134" t="s">
        <v>3069</v>
      </c>
      <c r="AF124" s="134" t="s">
        <v>3098</v>
      </c>
      <c r="AG124" s="135" t="s">
        <v>2503</v>
      </c>
      <c r="AH124" s="136" t="s">
        <v>1980</v>
      </c>
      <c r="AI124" s="175" t="s">
        <v>3099</v>
      </c>
      <c r="AJ124" s="175" t="s">
        <v>3100</v>
      </c>
      <c r="AK124" s="175" t="s">
        <v>3101</v>
      </c>
      <c r="AL124" s="161"/>
      <c r="AM124" s="234"/>
      <c r="AN124" s="234"/>
    </row>
    <row r="125" spans="6:40"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W125" s="181" t="s">
        <v>3102</v>
      </c>
      <c r="X125" s="182" t="s">
        <v>3103</v>
      </c>
      <c r="Y125" s="183"/>
      <c r="Z125" s="182" t="s">
        <v>2924</v>
      </c>
      <c r="AA125" s="182" t="s">
        <v>2924</v>
      </c>
      <c r="AB125" s="131"/>
      <c r="AC125" s="162"/>
      <c r="AD125" s="163"/>
      <c r="AE125" s="137"/>
      <c r="AF125" s="137"/>
      <c r="AG125" s="164"/>
      <c r="AH125" s="136" t="s">
        <v>1980</v>
      </c>
      <c r="AI125" s="175" t="s">
        <v>3104</v>
      </c>
      <c r="AJ125" s="175" t="s">
        <v>3105</v>
      </c>
      <c r="AK125" s="175" t="s">
        <v>3106</v>
      </c>
      <c r="AL125" s="161"/>
      <c r="AM125" s="234"/>
      <c r="AN125" s="234"/>
    </row>
    <row r="126" spans="6:40"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W126" s="127"/>
      <c r="X126" s="128" t="s">
        <v>3107</v>
      </c>
      <c r="Y126" s="129" t="s">
        <v>3108</v>
      </c>
      <c r="Z126" s="129" t="s">
        <v>3109</v>
      </c>
      <c r="AA126" s="128" t="s">
        <v>3110</v>
      </c>
      <c r="AB126" s="131"/>
      <c r="AC126" s="132" t="s">
        <v>1975</v>
      </c>
      <c r="AD126" s="152" t="s">
        <v>3111</v>
      </c>
      <c r="AE126" s="153" t="s">
        <v>3112</v>
      </c>
      <c r="AF126" s="153" t="s">
        <v>3112</v>
      </c>
      <c r="AG126" s="135"/>
      <c r="AH126" s="188" t="s">
        <v>1980</v>
      </c>
      <c r="AI126" s="189" t="s">
        <v>3113</v>
      </c>
      <c r="AJ126" s="189" t="s">
        <v>3114</v>
      </c>
      <c r="AK126" s="189" t="s">
        <v>3115</v>
      </c>
      <c r="AL126" s="161"/>
      <c r="AM126" s="234"/>
      <c r="AN126" s="234"/>
    </row>
    <row r="127" spans="6:40"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W127" s="127"/>
      <c r="X127" s="128" t="s">
        <v>3116</v>
      </c>
      <c r="Y127" s="129" t="s">
        <v>3117</v>
      </c>
      <c r="Z127" s="129" t="s">
        <v>3118</v>
      </c>
      <c r="AA127" s="128" t="s">
        <v>3118</v>
      </c>
      <c r="AB127" s="131"/>
      <c r="AC127" s="132" t="s">
        <v>1975</v>
      </c>
      <c r="AD127" s="167" t="s">
        <v>3119</v>
      </c>
      <c r="AE127" s="153" t="s">
        <v>3120</v>
      </c>
      <c r="AF127" s="153" t="s">
        <v>3120</v>
      </c>
      <c r="AG127" s="135" t="s">
        <v>1979</v>
      </c>
      <c r="AH127" s="188" t="s">
        <v>1980</v>
      </c>
      <c r="AI127" s="189" t="s">
        <v>3113</v>
      </c>
      <c r="AJ127" s="189" t="s">
        <v>3114</v>
      </c>
      <c r="AK127" s="189" t="s">
        <v>3115</v>
      </c>
      <c r="AL127" s="161"/>
      <c r="AM127" s="234"/>
      <c r="AN127" s="234"/>
    </row>
    <row r="128" spans="6:40"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W128" s="127"/>
      <c r="X128" s="128" t="s">
        <v>3121</v>
      </c>
      <c r="Y128" s="129" t="s">
        <v>3122</v>
      </c>
      <c r="Z128" s="129" t="s">
        <v>3123</v>
      </c>
      <c r="AA128" s="128" t="s">
        <v>3123</v>
      </c>
      <c r="AB128" s="131"/>
      <c r="AC128" s="162" t="s">
        <v>1975</v>
      </c>
      <c r="AD128" s="163" t="s">
        <v>3124</v>
      </c>
      <c r="AE128" s="137" t="s">
        <v>3124</v>
      </c>
      <c r="AF128" s="137" t="s">
        <v>1898</v>
      </c>
      <c r="AG128" s="164"/>
      <c r="AH128" s="188" t="s">
        <v>1980</v>
      </c>
      <c r="AI128" s="189" t="s">
        <v>3113</v>
      </c>
      <c r="AJ128" s="189" t="s">
        <v>2603</v>
      </c>
      <c r="AK128" s="189" t="s">
        <v>3115</v>
      </c>
      <c r="AL128" s="161"/>
      <c r="AM128" s="234"/>
      <c r="AN128" s="234"/>
    </row>
    <row r="129" spans="6:40"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W129" s="127"/>
      <c r="X129" s="128" t="s">
        <v>3125</v>
      </c>
      <c r="Y129" s="129" t="s">
        <v>3126</v>
      </c>
      <c r="Z129" s="129" t="s">
        <v>3127</v>
      </c>
      <c r="AA129" s="128" t="s">
        <v>3127</v>
      </c>
      <c r="AB129" s="131"/>
      <c r="AC129" s="132" t="s">
        <v>1975</v>
      </c>
      <c r="AD129" s="152" t="s">
        <v>383</v>
      </c>
      <c r="AE129" s="153" t="s">
        <v>3083</v>
      </c>
      <c r="AF129" s="153" t="s">
        <v>3128</v>
      </c>
      <c r="AG129" s="135"/>
      <c r="AH129" s="188" t="s">
        <v>1980</v>
      </c>
      <c r="AI129" s="189" t="s">
        <v>3113</v>
      </c>
      <c r="AJ129" s="241" t="s">
        <v>3129</v>
      </c>
      <c r="AK129" s="189" t="s">
        <v>3115</v>
      </c>
      <c r="AL129" s="161"/>
      <c r="AM129" s="234"/>
      <c r="AN129" s="234"/>
    </row>
    <row r="130" spans="6:40"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W130" s="181" t="s">
        <v>3130</v>
      </c>
      <c r="X130" s="182" t="s">
        <v>3131</v>
      </c>
      <c r="Y130" s="183"/>
      <c r="Z130" s="182" t="s">
        <v>2934</v>
      </c>
      <c r="AA130" s="182" t="s">
        <v>2934</v>
      </c>
      <c r="AB130" s="131"/>
      <c r="AC130" s="132" t="s">
        <v>1975</v>
      </c>
      <c r="AD130" s="167" t="s">
        <v>550</v>
      </c>
      <c r="AE130" s="153" t="s">
        <v>3132</v>
      </c>
      <c r="AF130" s="153" t="s">
        <v>3132</v>
      </c>
      <c r="AG130" s="135" t="s">
        <v>2192</v>
      </c>
      <c r="AH130" s="136" t="s">
        <v>1980</v>
      </c>
      <c r="AI130" s="175" t="s">
        <v>3133</v>
      </c>
      <c r="AJ130" s="175" t="s">
        <v>3134</v>
      </c>
      <c r="AK130" s="175" t="s">
        <v>3135</v>
      </c>
      <c r="AL130" s="161"/>
      <c r="AM130" s="234"/>
      <c r="AN130" s="234"/>
    </row>
    <row r="131" spans="6:40"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W131" s="127"/>
      <c r="X131" s="128" t="s">
        <v>3136</v>
      </c>
      <c r="Y131" s="129" t="s">
        <v>3137</v>
      </c>
      <c r="Z131" s="129" t="s">
        <v>3138</v>
      </c>
      <c r="AA131" s="128" t="s">
        <v>3138</v>
      </c>
      <c r="AB131" s="131"/>
      <c r="AC131" s="132" t="s">
        <v>1975</v>
      </c>
      <c r="AD131" s="167" t="s">
        <v>3139</v>
      </c>
      <c r="AE131" s="153" t="s">
        <v>3140</v>
      </c>
      <c r="AF131" s="153" t="s">
        <v>3141</v>
      </c>
      <c r="AG131" s="135" t="s">
        <v>2192</v>
      </c>
      <c r="AH131" s="136" t="s">
        <v>1980</v>
      </c>
      <c r="AI131" s="175" t="s">
        <v>3142</v>
      </c>
      <c r="AJ131" s="175" t="s">
        <v>2574</v>
      </c>
      <c r="AK131" s="175" t="s">
        <v>2574</v>
      </c>
      <c r="AL131" s="161"/>
      <c r="AM131" s="234"/>
      <c r="AN131" s="234"/>
    </row>
    <row r="132" spans="6:40"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W132" s="127"/>
      <c r="X132" s="128" t="s">
        <v>3143</v>
      </c>
      <c r="Y132" s="129" t="s">
        <v>3144</v>
      </c>
      <c r="Z132" s="129" t="s">
        <v>2282</v>
      </c>
      <c r="AA132" s="128" t="s">
        <v>2282</v>
      </c>
      <c r="AB132" s="131"/>
      <c r="AC132" s="162" t="s">
        <v>1975</v>
      </c>
      <c r="AD132" s="163" t="s">
        <v>3145</v>
      </c>
      <c r="AE132" s="137"/>
      <c r="AF132" s="137" t="s">
        <v>3146</v>
      </c>
      <c r="AG132" s="164" t="s">
        <v>3057</v>
      </c>
      <c r="AH132" s="158" t="s">
        <v>2065</v>
      </c>
      <c r="AI132" s="168" t="s">
        <v>3147</v>
      </c>
      <c r="AJ132" s="168" t="s">
        <v>2673</v>
      </c>
      <c r="AK132" s="168" t="s">
        <v>3148</v>
      </c>
      <c r="AL132" s="161"/>
      <c r="AM132" s="234"/>
      <c r="AN132" s="234"/>
    </row>
    <row r="133" spans="6:40"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W133" s="127"/>
      <c r="X133" s="128" t="s">
        <v>3149</v>
      </c>
      <c r="Y133" s="129" t="s">
        <v>3150</v>
      </c>
      <c r="Z133" s="129" t="s">
        <v>3149</v>
      </c>
      <c r="AA133" s="129" t="s">
        <v>3151</v>
      </c>
      <c r="AB133" s="131"/>
      <c r="AC133" s="132" t="s">
        <v>1975</v>
      </c>
      <c r="AD133" s="133" t="s">
        <v>3152</v>
      </c>
      <c r="AE133" s="134" t="s">
        <v>3153</v>
      </c>
      <c r="AF133" s="134" t="s">
        <v>3154</v>
      </c>
      <c r="AG133" s="135" t="s">
        <v>1979</v>
      </c>
      <c r="AH133" s="158" t="s">
        <v>2065</v>
      </c>
      <c r="AI133" s="168" t="s">
        <v>3155</v>
      </c>
      <c r="AJ133" s="168" t="s">
        <v>2707</v>
      </c>
      <c r="AK133" s="168" t="s">
        <v>3156</v>
      </c>
      <c r="AL133" s="161"/>
      <c r="AM133" s="234"/>
      <c r="AN133" s="234"/>
    </row>
    <row r="134" spans="6:40"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W134" s="127"/>
      <c r="X134" s="128" t="s">
        <v>3157</v>
      </c>
      <c r="Y134" s="129" t="s">
        <v>3158</v>
      </c>
      <c r="Z134" s="129" t="s">
        <v>3159</v>
      </c>
      <c r="AA134" s="129" t="s">
        <v>3159</v>
      </c>
      <c r="AB134" s="131"/>
      <c r="AC134" s="132" t="s">
        <v>1975</v>
      </c>
      <c r="AD134" s="133" t="s">
        <v>3160</v>
      </c>
      <c r="AE134" s="134" t="s">
        <v>3161</v>
      </c>
      <c r="AF134" s="134" t="s">
        <v>3162</v>
      </c>
      <c r="AG134" s="135" t="s">
        <v>1979</v>
      </c>
      <c r="AH134" s="158" t="s">
        <v>2065</v>
      </c>
      <c r="AI134" s="168" t="s">
        <v>3163</v>
      </c>
      <c r="AJ134" s="168" t="s">
        <v>3164</v>
      </c>
      <c r="AK134" s="168" t="s">
        <v>3165</v>
      </c>
      <c r="AL134" s="161"/>
      <c r="AM134" s="234"/>
      <c r="AN134" s="234"/>
    </row>
    <row r="135" spans="6:40"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W135" s="127"/>
      <c r="X135" s="128" t="s">
        <v>3166</v>
      </c>
      <c r="Y135" s="129" t="s">
        <v>3167</v>
      </c>
      <c r="Z135" s="129" t="s">
        <v>3168</v>
      </c>
      <c r="AA135" s="129" t="s">
        <v>3168</v>
      </c>
      <c r="AB135" s="131"/>
      <c r="AC135" s="132" t="s">
        <v>1975</v>
      </c>
      <c r="AD135" s="167" t="s">
        <v>3169</v>
      </c>
      <c r="AE135" s="153" t="s">
        <v>3170</v>
      </c>
      <c r="AF135" s="153" t="s">
        <v>3171</v>
      </c>
      <c r="AG135" s="135" t="s">
        <v>1979</v>
      </c>
      <c r="AH135" s="158" t="s">
        <v>2065</v>
      </c>
      <c r="AI135" s="168" t="s">
        <v>3172</v>
      </c>
      <c r="AJ135" s="168" t="s">
        <v>3173</v>
      </c>
      <c r="AK135" s="168" t="s">
        <v>3174</v>
      </c>
      <c r="AL135" s="161"/>
      <c r="AM135" s="234"/>
      <c r="AN135" s="234"/>
    </row>
    <row r="136" spans="6:40"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W136" s="127"/>
      <c r="X136" s="128" t="s">
        <v>3175</v>
      </c>
      <c r="Y136" s="129" t="s">
        <v>3176</v>
      </c>
      <c r="Z136" s="129" t="s">
        <v>3177</v>
      </c>
      <c r="AA136" s="129" t="s">
        <v>3177</v>
      </c>
      <c r="AB136" s="131"/>
      <c r="AC136" s="132" t="s">
        <v>1975</v>
      </c>
      <c r="AD136" s="133" t="s">
        <v>3178</v>
      </c>
      <c r="AE136" s="134" t="s">
        <v>3179</v>
      </c>
      <c r="AF136" s="134" t="s">
        <v>3180</v>
      </c>
      <c r="AG136" s="135" t="s">
        <v>1979</v>
      </c>
      <c r="AH136" s="136" t="s">
        <v>1980</v>
      </c>
      <c r="AI136" s="175" t="s">
        <v>3181</v>
      </c>
      <c r="AJ136" s="175" t="s">
        <v>3182</v>
      </c>
      <c r="AK136" s="175" t="s">
        <v>3183</v>
      </c>
      <c r="AL136" s="161"/>
      <c r="AM136" s="234"/>
      <c r="AN136" s="234"/>
    </row>
    <row r="137" spans="6:40" ht="14.5" thickBot="1"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W137" s="242"/>
      <c r="X137" s="243" t="s">
        <v>3184</v>
      </c>
      <c r="Y137" s="244" t="s">
        <v>3185</v>
      </c>
      <c r="Z137" s="244" t="s">
        <v>3186</v>
      </c>
      <c r="AA137" s="244" t="s">
        <v>3186</v>
      </c>
      <c r="AB137" s="245"/>
      <c r="AC137" s="132" t="s">
        <v>1975</v>
      </c>
      <c r="AD137" s="167" t="s">
        <v>81</v>
      </c>
      <c r="AE137" s="153" t="s">
        <v>3187</v>
      </c>
      <c r="AF137" s="153" t="s">
        <v>3188</v>
      </c>
      <c r="AG137" s="135" t="s">
        <v>2503</v>
      </c>
      <c r="AH137" s="136" t="s">
        <v>1980</v>
      </c>
      <c r="AI137" s="175" t="s">
        <v>3189</v>
      </c>
      <c r="AJ137" s="175" t="s">
        <v>3190</v>
      </c>
      <c r="AK137" s="175" t="s">
        <v>3191</v>
      </c>
      <c r="AL137" s="161"/>
      <c r="AM137" s="234"/>
      <c r="AN137" s="234"/>
    </row>
    <row r="138" spans="6:40"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AC138" s="132" t="s">
        <v>1975</v>
      </c>
      <c r="AD138" s="167" t="s">
        <v>3192</v>
      </c>
      <c r="AE138" s="153" t="s">
        <v>3193</v>
      </c>
      <c r="AF138" s="153" t="s">
        <v>3194</v>
      </c>
      <c r="AG138" s="135" t="s">
        <v>1979</v>
      </c>
      <c r="AH138" s="136" t="s">
        <v>1980</v>
      </c>
      <c r="AI138" s="175" t="s">
        <v>3195</v>
      </c>
      <c r="AJ138" s="175" t="s">
        <v>3196</v>
      </c>
      <c r="AK138" s="175" t="s">
        <v>3197</v>
      </c>
      <c r="AL138" s="161"/>
      <c r="AM138" s="234"/>
      <c r="AN138" s="234"/>
    </row>
    <row r="139" spans="6:40"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AC139" s="132" t="s">
        <v>1975</v>
      </c>
      <c r="AD139" s="152" t="s">
        <v>3198</v>
      </c>
      <c r="AE139" s="153" t="s">
        <v>3199</v>
      </c>
      <c r="AF139" s="153" t="s">
        <v>3200</v>
      </c>
      <c r="AG139" s="135" t="s">
        <v>1979</v>
      </c>
      <c r="AH139" s="158" t="s">
        <v>2065</v>
      </c>
      <c r="AI139" s="168" t="s">
        <v>3201</v>
      </c>
      <c r="AJ139" s="168" t="s">
        <v>2054</v>
      </c>
      <c r="AK139" s="168" t="s">
        <v>3202</v>
      </c>
      <c r="AL139" s="161"/>
      <c r="AM139" s="234"/>
      <c r="AN139" s="234"/>
    </row>
    <row r="140" spans="6:40"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AC140" s="132" t="s">
        <v>1975</v>
      </c>
      <c r="AD140" s="167" t="s">
        <v>3203</v>
      </c>
      <c r="AE140" s="153" t="s">
        <v>2434</v>
      </c>
      <c r="AF140" s="153" t="s">
        <v>3204</v>
      </c>
      <c r="AG140" s="135" t="s">
        <v>1979</v>
      </c>
      <c r="AH140" s="136" t="s">
        <v>1980</v>
      </c>
      <c r="AI140" s="246" t="s">
        <v>3205</v>
      </c>
      <c r="AJ140" s="175" t="s">
        <v>3206</v>
      </c>
      <c r="AK140" s="175" t="s">
        <v>3206</v>
      </c>
      <c r="AL140" s="161"/>
      <c r="AM140" s="234"/>
      <c r="AN140" s="234"/>
    </row>
    <row r="141" spans="6:40"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AC141" s="132" t="s">
        <v>1975</v>
      </c>
      <c r="AD141" s="167" t="s">
        <v>3207</v>
      </c>
      <c r="AE141" s="153" t="s">
        <v>2442</v>
      </c>
      <c r="AF141" s="153" t="s">
        <v>3208</v>
      </c>
      <c r="AG141" s="135" t="s">
        <v>1979</v>
      </c>
      <c r="AH141" s="188" t="s">
        <v>1980</v>
      </c>
      <c r="AI141" s="189" t="s">
        <v>3209</v>
      </c>
      <c r="AJ141" s="189" t="s">
        <v>3210</v>
      </c>
      <c r="AK141" s="189" t="s">
        <v>3211</v>
      </c>
      <c r="AL141" s="161"/>
      <c r="AM141" s="234"/>
      <c r="AN141" s="234"/>
    </row>
    <row r="142" spans="6:40"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AC142" s="132" t="s">
        <v>1975</v>
      </c>
      <c r="AD142" s="167" t="s">
        <v>3212</v>
      </c>
      <c r="AE142" s="153" t="s">
        <v>3213</v>
      </c>
      <c r="AF142" s="153" t="s">
        <v>3214</v>
      </c>
      <c r="AG142" s="135" t="s">
        <v>1979</v>
      </c>
      <c r="AH142" s="191" t="s">
        <v>2065</v>
      </c>
      <c r="AI142" s="192" t="s">
        <v>3209</v>
      </c>
      <c r="AJ142" s="192" t="s">
        <v>3210</v>
      </c>
      <c r="AK142" s="192" t="s">
        <v>3211</v>
      </c>
      <c r="AL142" s="161"/>
      <c r="AM142" s="234"/>
      <c r="AN142" s="234"/>
    </row>
    <row r="143" spans="6:40"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AC143" s="132" t="s">
        <v>1975</v>
      </c>
      <c r="AD143" s="167" t="s">
        <v>3215</v>
      </c>
      <c r="AE143" s="153" t="s">
        <v>3213</v>
      </c>
      <c r="AF143" s="153" t="s">
        <v>3216</v>
      </c>
      <c r="AG143" s="135" t="s">
        <v>1979</v>
      </c>
      <c r="AH143" s="136" t="s">
        <v>1980</v>
      </c>
      <c r="AI143" s="175" t="s">
        <v>3217</v>
      </c>
      <c r="AJ143" s="175" t="s">
        <v>3218</v>
      </c>
      <c r="AK143" s="175" t="s">
        <v>3219</v>
      </c>
      <c r="AL143" s="161"/>
      <c r="AM143" s="234"/>
      <c r="AN143" s="234"/>
    </row>
    <row r="144" spans="6:40"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AC144" s="132" t="s">
        <v>1975</v>
      </c>
      <c r="AD144" s="133" t="s">
        <v>3220</v>
      </c>
      <c r="AE144" s="134" t="s">
        <v>3221</v>
      </c>
      <c r="AF144" s="134" t="s">
        <v>3222</v>
      </c>
      <c r="AG144" s="135" t="s">
        <v>1979</v>
      </c>
      <c r="AH144" s="136" t="s">
        <v>1980</v>
      </c>
      <c r="AI144" s="175" t="s">
        <v>3217</v>
      </c>
      <c r="AJ144" s="175" t="s">
        <v>3219</v>
      </c>
      <c r="AK144" s="175" t="s">
        <v>3219</v>
      </c>
      <c r="AL144" s="161"/>
      <c r="AM144" s="234"/>
      <c r="AN144" s="234"/>
    </row>
    <row r="145" spans="6:40"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AC145" s="132" t="s">
        <v>1975</v>
      </c>
      <c r="AD145" s="167" t="s">
        <v>787</v>
      </c>
      <c r="AE145" s="153" t="s">
        <v>3223</v>
      </c>
      <c r="AF145" s="153" t="s">
        <v>3224</v>
      </c>
      <c r="AG145" s="135" t="s">
        <v>2095</v>
      </c>
      <c r="AH145" s="136" t="s">
        <v>1980</v>
      </c>
      <c r="AI145" s="175" t="s">
        <v>3225</v>
      </c>
      <c r="AJ145" s="175" t="s">
        <v>3226</v>
      </c>
      <c r="AK145" s="175" t="s">
        <v>3227</v>
      </c>
      <c r="AL145" s="161"/>
      <c r="AM145" s="234"/>
      <c r="AN145" s="234"/>
    </row>
    <row r="146" spans="6:40"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AC146" s="132" t="s">
        <v>1975</v>
      </c>
      <c r="AD146" s="152" t="s">
        <v>55</v>
      </c>
      <c r="AE146" s="153" t="s">
        <v>3228</v>
      </c>
      <c r="AF146" s="153" t="s">
        <v>3229</v>
      </c>
      <c r="AG146" s="135" t="s">
        <v>1979</v>
      </c>
      <c r="AH146" s="136" t="s">
        <v>1980</v>
      </c>
      <c r="AI146" s="137" t="s">
        <v>3230</v>
      </c>
      <c r="AJ146" s="137" t="s">
        <v>3231</v>
      </c>
      <c r="AK146" s="137" t="s">
        <v>3232</v>
      </c>
      <c r="AL146" s="161"/>
      <c r="AM146" s="234"/>
      <c r="AN146" s="234"/>
    </row>
    <row r="147" spans="6:40"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AC147" s="132" t="s">
        <v>1975</v>
      </c>
      <c r="AD147" s="152" t="s">
        <v>58</v>
      </c>
      <c r="AE147" s="153" t="s">
        <v>58</v>
      </c>
      <c r="AF147" s="153" t="s">
        <v>3233</v>
      </c>
      <c r="AG147" s="135"/>
      <c r="AH147" s="136" t="s">
        <v>1980</v>
      </c>
      <c r="AI147" s="175" t="s">
        <v>3230</v>
      </c>
      <c r="AJ147" s="175" t="s">
        <v>3234</v>
      </c>
      <c r="AK147" s="175" t="s">
        <v>3232</v>
      </c>
      <c r="AL147" s="161"/>
      <c r="AM147" s="234"/>
      <c r="AN147" s="234"/>
    </row>
    <row r="148" spans="6:40"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AC148" s="132" t="s">
        <v>1975</v>
      </c>
      <c r="AD148" s="152" t="s">
        <v>563</v>
      </c>
      <c r="AE148" s="153" t="s">
        <v>563</v>
      </c>
      <c r="AF148" s="153" t="s">
        <v>3233</v>
      </c>
      <c r="AG148" s="135"/>
      <c r="AH148" s="136" t="s">
        <v>1980</v>
      </c>
      <c r="AI148" s="137" t="s">
        <v>3235</v>
      </c>
      <c r="AJ148" s="137" t="s">
        <v>3236</v>
      </c>
      <c r="AK148" s="137" t="s">
        <v>3237</v>
      </c>
      <c r="AL148" s="161"/>
      <c r="AM148" s="234"/>
      <c r="AN148" s="234"/>
    </row>
    <row r="149" spans="6:40"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AC149" s="132" t="s">
        <v>1975</v>
      </c>
      <c r="AD149" s="167" t="s">
        <v>1311</v>
      </c>
      <c r="AE149" s="153" t="s">
        <v>1311</v>
      </c>
      <c r="AF149" s="153" t="s">
        <v>1934</v>
      </c>
      <c r="AG149" s="135" t="s">
        <v>2095</v>
      </c>
      <c r="AH149" s="158" t="s">
        <v>2065</v>
      </c>
      <c r="AI149" s="168" t="s">
        <v>3238</v>
      </c>
      <c r="AJ149" s="168" t="s">
        <v>2035</v>
      </c>
      <c r="AK149" s="168" t="s">
        <v>3239</v>
      </c>
      <c r="AL149" s="161"/>
      <c r="AM149" s="234"/>
      <c r="AN149" s="234"/>
    </row>
    <row r="150" spans="6:40"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AC150" s="132" t="s">
        <v>1975</v>
      </c>
      <c r="AD150" s="167" t="s">
        <v>3240</v>
      </c>
      <c r="AE150" s="153" t="s">
        <v>3241</v>
      </c>
      <c r="AF150" s="153" t="s">
        <v>3242</v>
      </c>
      <c r="AG150" s="135" t="s">
        <v>1979</v>
      </c>
      <c r="AH150" s="136" t="s">
        <v>1980</v>
      </c>
      <c r="AI150" s="137" t="s">
        <v>3243</v>
      </c>
      <c r="AJ150" s="137" t="s">
        <v>3244</v>
      </c>
      <c r="AK150" s="137" t="s">
        <v>3245</v>
      </c>
      <c r="AL150" s="161"/>
      <c r="AM150" s="234"/>
      <c r="AN150" s="234"/>
    </row>
    <row r="151" spans="6:40"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AC151" s="132" t="s">
        <v>1975</v>
      </c>
      <c r="AD151" s="133" t="s">
        <v>3246</v>
      </c>
      <c r="AE151" s="134" t="s">
        <v>3241</v>
      </c>
      <c r="AF151" s="134" t="s">
        <v>3247</v>
      </c>
      <c r="AG151" s="135" t="s">
        <v>1979</v>
      </c>
      <c r="AH151" s="136" t="s">
        <v>1980</v>
      </c>
      <c r="AI151" s="137" t="s">
        <v>3248</v>
      </c>
      <c r="AJ151" s="137" t="s">
        <v>3249</v>
      </c>
      <c r="AK151" s="137" t="s">
        <v>3250</v>
      </c>
      <c r="AL151" s="161"/>
      <c r="AM151" s="234"/>
      <c r="AN151" s="234"/>
    </row>
    <row r="152" spans="6:40"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AC152" s="132" t="s">
        <v>1975</v>
      </c>
      <c r="AD152" s="167" t="s">
        <v>1228</v>
      </c>
      <c r="AE152" s="153" t="s">
        <v>3251</v>
      </c>
      <c r="AF152" s="153" t="s">
        <v>3252</v>
      </c>
      <c r="AG152" s="135" t="s">
        <v>2398</v>
      </c>
      <c r="AH152" s="158" t="s">
        <v>2065</v>
      </c>
      <c r="AI152" s="168" t="s">
        <v>3248</v>
      </c>
      <c r="AJ152" s="168" t="s">
        <v>3250</v>
      </c>
      <c r="AK152" s="137" t="s">
        <v>3250</v>
      </c>
      <c r="AL152" s="161"/>
      <c r="AM152" s="234"/>
      <c r="AN152" s="234"/>
    </row>
    <row r="153" spans="6:40"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AC153" s="132" t="s">
        <v>1975</v>
      </c>
      <c r="AD153" s="167" t="s">
        <v>3253</v>
      </c>
      <c r="AE153" s="153" t="s">
        <v>3254</v>
      </c>
      <c r="AF153" s="153" t="s">
        <v>3254</v>
      </c>
      <c r="AG153" s="135" t="s">
        <v>1979</v>
      </c>
      <c r="AH153" s="117" t="s">
        <v>2250</v>
      </c>
      <c r="AI153" s="175" t="s">
        <v>3255</v>
      </c>
      <c r="AJ153" s="175" t="s">
        <v>3256</v>
      </c>
      <c r="AK153" s="175" t="s">
        <v>3256</v>
      </c>
      <c r="AL153" s="161"/>
      <c r="AM153" s="234"/>
      <c r="AN153" s="234"/>
    </row>
    <row r="154" spans="6:40"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AC154" s="132" t="s">
        <v>1975</v>
      </c>
      <c r="AD154" s="152" t="s">
        <v>1057</v>
      </c>
      <c r="AE154" s="153" t="s">
        <v>3257</v>
      </c>
      <c r="AF154" s="153" t="s">
        <v>3258</v>
      </c>
      <c r="AG154" s="135"/>
      <c r="AH154" s="188" t="s">
        <v>1980</v>
      </c>
      <c r="AI154" s="241" t="s">
        <v>3259</v>
      </c>
      <c r="AJ154" s="241" t="s">
        <v>3260</v>
      </c>
      <c r="AK154" s="241" t="s">
        <v>3261</v>
      </c>
      <c r="AL154" s="161"/>
      <c r="AM154" s="234"/>
      <c r="AN154" s="234"/>
    </row>
    <row r="155" spans="6:40"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AC155" s="132" t="s">
        <v>1975</v>
      </c>
      <c r="AD155" s="167" t="s">
        <v>3262</v>
      </c>
      <c r="AE155" s="153" t="s">
        <v>3263</v>
      </c>
      <c r="AF155" s="153" t="s">
        <v>2296</v>
      </c>
      <c r="AG155" s="135" t="s">
        <v>1979</v>
      </c>
      <c r="AH155" s="188" t="s">
        <v>1980</v>
      </c>
      <c r="AI155" s="241" t="s">
        <v>3259</v>
      </c>
      <c r="AJ155" s="241" t="s">
        <v>3264</v>
      </c>
      <c r="AK155" s="241" t="s">
        <v>3261</v>
      </c>
      <c r="AL155" s="161"/>
      <c r="AM155" s="234"/>
      <c r="AN155" s="234"/>
    </row>
    <row r="156" spans="6:40"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AC156" s="132" t="s">
        <v>1975</v>
      </c>
      <c r="AD156" s="152" t="s">
        <v>3265</v>
      </c>
      <c r="AE156" s="153" t="s">
        <v>3266</v>
      </c>
      <c r="AF156" s="153" t="s">
        <v>3267</v>
      </c>
      <c r="AG156" s="135" t="s">
        <v>1979</v>
      </c>
      <c r="AH156" s="158" t="s">
        <v>2065</v>
      </c>
      <c r="AI156" s="168" t="s">
        <v>3268</v>
      </c>
      <c r="AJ156" s="168" t="s">
        <v>2165</v>
      </c>
      <c r="AK156" s="168" t="s">
        <v>3269</v>
      </c>
      <c r="AL156" s="161"/>
      <c r="AM156" s="234"/>
      <c r="AN156" s="234"/>
    </row>
    <row r="157" spans="6:40"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AC157" s="132" t="s">
        <v>1975</v>
      </c>
      <c r="AD157" s="152" t="s">
        <v>3270</v>
      </c>
      <c r="AE157" s="153" t="s">
        <v>3271</v>
      </c>
      <c r="AF157" s="153" t="s">
        <v>3272</v>
      </c>
      <c r="AG157" s="135" t="s">
        <v>1979</v>
      </c>
      <c r="AH157" s="136" t="s">
        <v>1980</v>
      </c>
      <c r="AI157" s="137" t="s">
        <v>3273</v>
      </c>
      <c r="AJ157" s="137" t="s">
        <v>3274</v>
      </c>
      <c r="AK157" s="137" t="s">
        <v>3237</v>
      </c>
      <c r="AL157" s="161"/>
      <c r="AM157" s="234"/>
      <c r="AN157" s="234"/>
    </row>
    <row r="158" spans="6:40"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AC158" s="132" t="s">
        <v>1975</v>
      </c>
      <c r="AD158" s="133" t="s">
        <v>3275</v>
      </c>
      <c r="AE158" s="134" t="s">
        <v>3276</v>
      </c>
      <c r="AF158" s="134" t="s">
        <v>3277</v>
      </c>
      <c r="AG158" s="135" t="s">
        <v>1979</v>
      </c>
      <c r="AH158" s="136" t="s">
        <v>1980</v>
      </c>
      <c r="AI158" s="137" t="s">
        <v>3278</v>
      </c>
      <c r="AJ158" s="137" t="s">
        <v>3279</v>
      </c>
      <c r="AK158" s="137" t="s">
        <v>3245</v>
      </c>
      <c r="AL158" s="161"/>
      <c r="AM158" s="234"/>
      <c r="AN158" s="234"/>
    </row>
    <row r="159" spans="6:40"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AC159" s="132" t="s">
        <v>1975</v>
      </c>
      <c r="AD159" s="152" t="s">
        <v>143</v>
      </c>
      <c r="AE159" s="153" t="s">
        <v>3280</v>
      </c>
      <c r="AF159" s="153" t="s">
        <v>3281</v>
      </c>
      <c r="AG159" s="135" t="s">
        <v>2095</v>
      </c>
      <c r="AH159" s="136" t="s">
        <v>1980</v>
      </c>
      <c r="AI159" s="137" t="s">
        <v>3282</v>
      </c>
      <c r="AJ159" s="137" t="s">
        <v>3283</v>
      </c>
      <c r="AK159" s="137" t="s">
        <v>3283</v>
      </c>
      <c r="AL159" s="161"/>
      <c r="AM159" s="234"/>
      <c r="AN159" s="234"/>
    </row>
    <row r="160" spans="6:40"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AC160" s="132"/>
      <c r="AD160" s="152"/>
      <c r="AE160" s="153"/>
      <c r="AF160" s="153"/>
      <c r="AG160" s="135"/>
      <c r="AH160" s="136" t="s">
        <v>1980</v>
      </c>
      <c r="AI160" s="175" t="s">
        <v>3284</v>
      </c>
      <c r="AJ160" s="175" t="s">
        <v>3285</v>
      </c>
      <c r="AK160" s="175" t="s">
        <v>3285</v>
      </c>
      <c r="AL160" s="161"/>
      <c r="AM160" s="234"/>
      <c r="AN160" s="234"/>
    </row>
    <row r="161" spans="6:40"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AC161" s="132" t="s">
        <v>1975</v>
      </c>
      <c r="AD161" s="152" t="s">
        <v>3286</v>
      </c>
      <c r="AE161" s="153" t="s">
        <v>3287</v>
      </c>
      <c r="AF161" s="153" t="s">
        <v>3288</v>
      </c>
      <c r="AG161" s="135" t="s">
        <v>1979</v>
      </c>
      <c r="AH161" s="239" t="s">
        <v>1980</v>
      </c>
      <c r="AI161" s="175" t="s">
        <v>3289</v>
      </c>
      <c r="AJ161" s="154" t="s">
        <v>3290</v>
      </c>
      <c r="AK161" s="154" t="s">
        <v>3290</v>
      </c>
      <c r="AL161" s="161"/>
      <c r="AM161" s="234"/>
      <c r="AN161" s="234"/>
    </row>
    <row r="162" spans="6:40"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AC162" s="132" t="s">
        <v>1975</v>
      </c>
      <c r="AD162" s="167" t="s">
        <v>412</v>
      </c>
      <c r="AE162" s="153" t="s">
        <v>3291</v>
      </c>
      <c r="AF162" s="153" t="s">
        <v>3292</v>
      </c>
      <c r="AG162" s="135" t="s">
        <v>2095</v>
      </c>
      <c r="AH162" s="136" t="s">
        <v>1980</v>
      </c>
      <c r="AI162" s="137" t="s">
        <v>3293</v>
      </c>
      <c r="AJ162" s="137" t="s">
        <v>3294</v>
      </c>
      <c r="AK162" s="137" t="s">
        <v>3294</v>
      </c>
      <c r="AL162" s="161"/>
      <c r="AM162" s="234"/>
      <c r="AN162" s="234"/>
    </row>
    <row r="163" spans="6:40"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AC163" s="132" t="s">
        <v>1975</v>
      </c>
      <c r="AD163" s="133" t="s">
        <v>3295</v>
      </c>
      <c r="AE163" s="134" t="s">
        <v>3296</v>
      </c>
      <c r="AF163" s="134" t="s">
        <v>3297</v>
      </c>
      <c r="AG163" s="135" t="s">
        <v>1979</v>
      </c>
      <c r="AH163" s="136" t="s">
        <v>1980</v>
      </c>
      <c r="AI163" s="175" t="s">
        <v>3298</v>
      </c>
      <c r="AJ163" s="175"/>
      <c r="AK163" s="175" t="s">
        <v>3299</v>
      </c>
      <c r="AL163" s="161"/>
      <c r="AM163" s="234"/>
      <c r="AN163" s="234"/>
    </row>
    <row r="164" spans="6:40"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AC164" s="132" t="s">
        <v>1975</v>
      </c>
      <c r="AD164" s="167" t="s">
        <v>188</v>
      </c>
      <c r="AE164" s="153" t="s">
        <v>3300</v>
      </c>
      <c r="AF164" s="153" t="s">
        <v>3301</v>
      </c>
      <c r="AG164" s="135" t="s">
        <v>2192</v>
      </c>
      <c r="AH164" s="136" t="s">
        <v>1980</v>
      </c>
      <c r="AI164" s="137" t="s">
        <v>3302</v>
      </c>
      <c r="AJ164" s="137" t="s">
        <v>3303</v>
      </c>
      <c r="AK164" s="137" t="s">
        <v>3154</v>
      </c>
      <c r="AL164" s="161"/>
      <c r="AM164" s="234"/>
      <c r="AN164" s="234"/>
    </row>
    <row r="165" spans="6:40"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AC165" s="132" t="s">
        <v>1975</v>
      </c>
      <c r="AD165" s="152" t="s">
        <v>3304</v>
      </c>
      <c r="AE165" s="153" t="s">
        <v>3305</v>
      </c>
      <c r="AF165" s="153" t="s">
        <v>3305</v>
      </c>
      <c r="AG165" s="135"/>
      <c r="AH165" s="136" t="s">
        <v>1980</v>
      </c>
      <c r="AI165" s="137" t="s">
        <v>3306</v>
      </c>
      <c r="AJ165" s="137" t="s">
        <v>3307</v>
      </c>
      <c r="AK165" s="137" t="s">
        <v>3308</v>
      </c>
      <c r="AL165" s="161"/>
      <c r="AM165" s="234"/>
      <c r="AN165" s="234"/>
    </row>
    <row r="166" spans="6:40"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AC166" s="162"/>
      <c r="AD166" s="163"/>
      <c r="AE166" s="137"/>
      <c r="AF166" s="137"/>
      <c r="AG166" s="164"/>
      <c r="AH166" s="136" t="s">
        <v>1980</v>
      </c>
      <c r="AI166" s="175" t="s">
        <v>3309</v>
      </c>
      <c r="AJ166" s="175" t="s">
        <v>2316</v>
      </c>
      <c r="AK166" s="175" t="s">
        <v>2316</v>
      </c>
      <c r="AL166" s="161"/>
      <c r="AM166" s="234"/>
      <c r="AN166" s="234"/>
    </row>
    <row r="167" spans="6:40"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AC167" s="132" t="s">
        <v>1975</v>
      </c>
      <c r="AD167" s="152" t="s">
        <v>3310</v>
      </c>
      <c r="AE167" s="153" t="s">
        <v>3311</v>
      </c>
      <c r="AF167" s="153" t="s">
        <v>3312</v>
      </c>
      <c r="AG167" s="135" t="s">
        <v>1979</v>
      </c>
      <c r="AH167" s="158" t="s">
        <v>2065</v>
      </c>
      <c r="AI167" s="168" t="s">
        <v>3313</v>
      </c>
      <c r="AJ167" s="168" t="s">
        <v>3314</v>
      </c>
      <c r="AK167" s="168" t="s">
        <v>3315</v>
      </c>
      <c r="AL167" s="161"/>
      <c r="AM167" s="234"/>
      <c r="AN167" s="234"/>
    </row>
    <row r="168" spans="6:40"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AC168" s="162" t="s">
        <v>1975</v>
      </c>
      <c r="AD168" s="163" t="s">
        <v>3316</v>
      </c>
      <c r="AE168" s="137" t="s">
        <v>3317</v>
      </c>
      <c r="AF168" s="137" t="s">
        <v>3317</v>
      </c>
      <c r="AG168" s="164"/>
      <c r="AH168" s="158" t="s">
        <v>2065</v>
      </c>
      <c r="AI168" s="168" t="s">
        <v>3318</v>
      </c>
      <c r="AJ168" s="168" t="s">
        <v>3319</v>
      </c>
      <c r="AK168" s="168" t="s">
        <v>3320</v>
      </c>
      <c r="AL168" s="161"/>
      <c r="AM168" s="234"/>
      <c r="AN168" s="234"/>
    </row>
    <row r="169" spans="6:40"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AC169" s="132" t="s">
        <v>1975</v>
      </c>
      <c r="AD169" s="152" t="s">
        <v>1189</v>
      </c>
      <c r="AE169" s="153" t="s">
        <v>2949</v>
      </c>
      <c r="AF169" s="153" t="s">
        <v>2949</v>
      </c>
      <c r="AG169" s="135"/>
      <c r="AH169" s="158" t="s">
        <v>2065</v>
      </c>
      <c r="AI169" s="168" t="s">
        <v>2099</v>
      </c>
      <c r="AJ169" s="168" t="s">
        <v>3321</v>
      </c>
      <c r="AK169" s="168" t="s">
        <v>3322</v>
      </c>
      <c r="AL169" s="161"/>
      <c r="AM169" s="234"/>
      <c r="AN169" s="234"/>
    </row>
    <row r="170" spans="6:40"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AC170" s="132" t="s">
        <v>1975</v>
      </c>
      <c r="AD170" s="133" t="s">
        <v>3323</v>
      </c>
      <c r="AE170" s="134" t="s">
        <v>3324</v>
      </c>
      <c r="AF170" s="134" t="s">
        <v>3325</v>
      </c>
      <c r="AG170" s="135" t="s">
        <v>1979</v>
      </c>
      <c r="AH170" s="136" t="s">
        <v>1980</v>
      </c>
      <c r="AI170" s="137" t="s">
        <v>3326</v>
      </c>
      <c r="AJ170" s="137" t="s">
        <v>3327</v>
      </c>
      <c r="AK170" s="137" t="s">
        <v>3214</v>
      </c>
      <c r="AL170" s="161"/>
      <c r="AM170" s="234"/>
      <c r="AN170" s="234"/>
    </row>
    <row r="171" spans="6:40"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AC171" s="132" t="s">
        <v>1975</v>
      </c>
      <c r="AD171" s="167" t="s">
        <v>642</v>
      </c>
      <c r="AE171" s="153" t="s">
        <v>3328</v>
      </c>
      <c r="AF171" s="153" t="s">
        <v>3329</v>
      </c>
      <c r="AG171" s="135" t="s">
        <v>2192</v>
      </c>
      <c r="AH171" s="136" t="s">
        <v>1980</v>
      </c>
      <c r="AI171" s="137" t="s">
        <v>3326</v>
      </c>
      <c r="AJ171" s="137" t="s">
        <v>3214</v>
      </c>
      <c r="AK171" s="137" t="s">
        <v>3214</v>
      </c>
      <c r="AL171" s="161"/>
      <c r="AM171" s="234"/>
      <c r="AN171" s="234"/>
    </row>
    <row r="172" spans="6:40"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AC172" s="132"/>
      <c r="AD172" s="152"/>
      <c r="AE172" s="153"/>
      <c r="AF172" s="153"/>
      <c r="AG172" s="135"/>
      <c r="AH172" s="136" t="s">
        <v>1980</v>
      </c>
      <c r="AI172" s="137" t="s">
        <v>3330</v>
      </c>
      <c r="AJ172" s="137" t="s">
        <v>3331</v>
      </c>
      <c r="AK172" s="137" t="s">
        <v>3331</v>
      </c>
      <c r="AL172" s="161"/>
      <c r="AM172" s="234"/>
      <c r="AN172" s="234"/>
    </row>
    <row r="173" spans="6:40"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AC173" s="132" t="s">
        <v>1975</v>
      </c>
      <c r="AD173" s="167" t="s">
        <v>3332</v>
      </c>
      <c r="AE173" s="153" t="s">
        <v>3333</v>
      </c>
      <c r="AF173" s="153" t="s">
        <v>3334</v>
      </c>
      <c r="AG173" s="135" t="s">
        <v>1979</v>
      </c>
      <c r="AH173" s="136" t="s">
        <v>1980</v>
      </c>
      <c r="AI173" s="175" t="s">
        <v>3335</v>
      </c>
      <c r="AJ173" s="175" t="s">
        <v>3336</v>
      </c>
      <c r="AK173" s="175" t="s">
        <v>3337</v>
      </c>
      <c r="AL173" s="161"/>
      <c r="AM173" s="234"/>
      <c r="AN173" s="234"/>
    </row>
    <row r="174" spans="6:40"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AC174" s="132" t="s">
        <v>1975</v>
      </c>
      <c r="AD174" s="167" t="s">
        <v>3338</v>
      </c>
      <c r="AE174" s="153" t="s">
        <v>3339</v>
      </c>
      <c r="AF174" s="153" t="s">
        <v>3340</v>
      </c>
      <c r="AG174" s="135" t="s">
        <v>2192</v>
      </c>
      <c r="AH174" s="136" t="s">
        <v>1980</v>
      </c>
      <c r="AI174" s="137" t="s">
        <v>3335</v>
      </c>
      <c r="AJ174" s="137" t="s">
        <v>3341</v>
      </c>
      <c r="AK174" s="175" t="s">
        <v>3337</v>
      </c>
      <c r="AL174" s="161"/>
      <c r="AM174" s="234"/>
      <c r="AN174" s="234"/>
    </row>
    <row r="175" spans="6:40"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AC175" s="132" t="s">
        <v>1975</v>
      </c>
      <c r="AD175" s="152" t="s">
        <v>3342</v>
      </c>
      <c r="AE175" s="153" t="s">
        <v>3343</v>
      </c>
      <c r="AF175" s="153" t="s">
        <v>3344</v>
      </c>
      <c r="AG175" s="135" t="s">
        <v>1979</v>
      </c>
      <c r="AH175" s="136" t="s">
        <v>1980</v>
      </c>
      <c r="AI175" s="137" t="s">
        <v>3345</v>
      </c>
      <c r="AJ175" s="137" t="s">
        <v>3346</v>
      </c>
      <c r="AK175" s="137" t="s">
        <v>3347</v>
      </c>
      <c r="AL175" s="161"/>
      <c r="AM175" s="234"/>
      <c r="AN175" s="234"/>
    </row>
    <row r="176" spans="6:40"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AC176" s="132" t="s">
        <v>1975</v>
      </c>
      <c r="AD176" s="167" t="s">
        <v>3348</v>
      </c>
      <c r="AE176" s="153" t="s">
        <v>3349</v>
      </c>
      <c r="AF176" s="153" t="s">
        <v>3350</v>
      </c>
      <c r="AG176" s="135" t="s">
        <v>1979</v>
      </c>
      <c r="AH176" s="136" t="s">
        <v>1980</v>
      </c>
      <c r="AI176" s="137" t="s">
        <v>3345</v>
      </c>
      <c r="AJ176" s="137" t="s">
        <v>3351</v>
      </c>
      <c r="AK176" s="137" t="s">
        <v>3347</v>
      </c>
      <c r="AL176" s="161"/>
      <c r="AM176" s="234"/>
      <c r="AN176" s="234"/>
    </row>
    <row r="177" spans="6:40"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AC177" s="132" t="s">
        <v>1975</v>
      </c>
      <c r="AD177" s="152" t="s">
        <v>149</v>
      </c>
      <c r="AE177" s="153" t="s">
        <v>3352</v>
      </c>
      <c r="AF177" s="153" t="s">
        <v>3353</v>
      </c>
      <c r="AG177" s="135" t="s">
        <v>1979</v>
      </c>
      <c r="AH177" s="136" t="s">
        <v>1980</v>
      </c>
      <c r="AI177" s="175" t="s">
        <v>3354</v>
      </c>
      <c r="AJ177" s="175" t="s">
        <v>3355</v>
      </c>
      <c r="AK177" s="137" t="s">
        <v>3347</v>
      </c>
      <c r="AL177" s="161"/>
      <c r="AM177" s="234"/>
      <c r="AN177" s="234"/>
    </row>
    <row r="178" spans="6:40"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AC178" s="132" t="s">
        <v>1975</v>
      </c>
      <c r="AD178" s="167" t="s">
        <v>3356</v>
      </c>
      <c r="AE178" s="153" t="s">
        <v>2509</v>
      </c>
      <c r="AF178" s="153" t="s">
        <v>3357</v>
      </c>
      <c r="AG178" s="135" t="s">
        <v>1979</v>
      </c>
      <c r="AH178" s="136" t="s">
        <v>1980</v>
      </c>
      <c r="AI178" s="137" t="s">
        <v>3358</v>
      </c>
      <c r="AJ178" s="137" t="s">
        <v>3359</v>
      </c>
      <c r="AK178" s="137" t="s">
        <v>3360</v>
      </c>
      <c r="AL178" s="161"/>
      <c r="AM178" s="234"/>
      <c r="AN178" s="234"/>
    </row>
    <row r="179" spans="6:40"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AC179" s="132" t="s">
        <v>1975</v>
      </c>
      <c r="AD179" s="152" t="s">
        <v>3361</v>
      </c>
      <c r="AE179" s="153" t="s">
        <v>3362</v>
      </c>
      <c r="AF179" s="153" t="s">
        <v>3363</v>
      </c>
      <c r="AG179" s="135" t="s">
        <v>1979</v>
      </c>
      <c r="AH179" s="136" t="s">
        <v>1980</v>
      </c>
      <c r="AI179" s="137" t="s">
        <v>3364</v>
      </c>
      <c r="AJ179" s="137" t="s">
        <v>3365</v>
      </c>
      <c r="AK179" s="137" t="s">
        <v>3365</v>
      </c>
      <c r="AL179" s="161"/>
      <c r="AM179" s="234"/>
      <c r="AN179" s="234"/>
    </row>
    <row r="180" spans="6:40"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AC180" s="132" t="s">
        <v>1975</v>
      </c>
      <c r="AD180" s="133" t="s">
        <v>3366</v>
      </c>
      <c r="AE180" s="134" t="s">
        <v>2702</v>
      </c>
      <c r="AF180" s="134" t="s">
        <v>3367</v>
      </c>
      <c r="AG180" s="135" t="s">
        <v>1979</v>
      </c>
      <c r="AH180" s="136" t="s">
        <v>1980</v>
      </c>
      <c r="AI180" s="137" t="s">
        <v>3368</v>
      </c>
      <c r="AJ180" s="137" t="s">
        <v>3369</v>
      </c>
      <c r="AK180" s="137" t="s">
        <v>3370</v>
      </c>
      <c r="AL180" s="161"/>
      <c r="AM180" s="234"/>
      <c r="AN180" s="234"/>
    </row>
    <row r="181" spans="6:40"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AC181" s="132" t="s">
        <v>1975</v>
      </c>
      <c r="AD181" s="152" t="s">
        <v>3371</v>
      </c>
      <c r="AE181" s="153" t="s">
        <v>3372</v>
      </c>
      <c r="AF181" s="153" t="s">
        <v>3373</v>
      </c>
      <c r="AG181" s="135" t="s">
        <v>1979</v>
      </c>
      <c r="AH181" s="136" t="s">
        <v>1980</v>
      </c>
      <c r="AI181" s="137" t="s">
        <v>3374</v>
      </c>
      <c r="AJ181" s="137" t="s">
        <v>3375</v>
      </c>
      <c r="AK181" s="137" t="s">
        <v>3376</v>
      </c>
      <c r="AL181" s="161"/>
      <c r="AM181" s="234"/>
      <c r="AN181" s="234"/>
    </row>
    <row r="182" spans="6:40"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AC182" s="132" t="s">
        <v>1975</v>
      </c>
      <c r="AD182" s="152" t="s">
        <v>3377</v>
      </c>
      <c r="AE182" s="153" t="s">
        <v>3378</v>
      </c>
      <c r="AF182" s="153" t="s">
        <v>3379</v>
      </c>
      <c r="AG182" s="135" t="s">
        <v>1979</v>
      </c>
      <c r="AH182" s="136" t="s">
        <v>1980</v>
      </c>
      <c r="AI182" s="137" t="s">
        <v>3374</v>
      </c>
      <c r="AJ182" s="137" t="s">
        <v>3380</v>
      </c>
      <c r="AK182" s="137" t="s">
        <v>3376</v>
      </c>
      <c r="AL182" s="161"/>
      <c r="AM182" s="234"/>
      <c r="AN182" s="234"/>
    </row>
    <row r="183" spans="6:40"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AC183" s="132" t="s">
        <v>1975</v>
      </c>
      <c r="AD183" s="152" t="s">
        <v>3381</v>
      </c>
      <c r="AE183" s="153" t="s">
        <v>2807</v>
      </c>
      <c r="AF183" s="153" t="s">
        <v>3382</v>
      </c>
      <c r="AG183" s="135" t="s">
        <v>1979</v>
      </c>
      <c r="AH183" s="136" t="s">
        <v>1980</v>
      </c>
      <c r="AI183" s="175" t="s">
        <v>3374</v>
      </c>
      <c r="AJ183" s="175" t="s">
        <v>3383</v>
      </c>
      <c r="AK183" s="137" t="s">
        <v>3376</v>
      </c>
      <c r="AL183" s="161"/>
      <c r="AM183" s="234"/>
      <c r="AN183" s="234"/>
    </row>
    <row r="184" spans="6:40"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AC184" s="162" t="s">
        <v>1975</v>
      </c>
      <c r="AD184" s="163" t="s">
        <v>3384</v>
      </c>
      <c r="AE184" s="137" t="s">
        <v>2717</v>
      </c>
      <c r="AF184" s="137" t="s">
        <v>2717</v>
      </c>
      <c r="AG184" s="164"/>
      <c r="AH184" s="136" t="s">
        <v>1980</v>
      </c>
      <c r="AI184" s="175" t="s">
        <v>3385</v>
      </c>
      <c r="AJ184" s="175" t="s">
        <v>3386</v>
      </c>
      <c r="AK184" s="175" t="s">
        <v>3386</v>
      </c>
      <c r="AL184" s="161"/>
      <c r="AM184" s="234"/>
      <c r="AN184" s="234"/>
    </row>
    <row r="185" spans="6:40"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AC185" s="132" t="s">
        <v>1975</v>
      </c>
      <c r="AD185" s="152" t="s">
        <v>3387</v>
      </c>
      <c r="AE185" s="153" t="s">
        <v>3388</v>
      </c>
      <c r="AF185" s="153" t="s">
        <v>3389</v>
      </c>
      <c r="AG185" s="135" t="s">
        <v>1979</v>
      </c>
      <c r="AH185" s="117" t="s">
        <v>2296</v>
      </c>
      <c r="AI185" s="175" t="s">
        <v>3390</v>
      </c>
      <c r="AJ185" s="175" t="s">
        <v>3251</v>
      </c>
      <c r="AK185" s="175" t="s">
        <v>3391</v>
      </c>
      <c r="AL185" s="161"/>
      <c r="AM185" s="234"/>
      <c r="AN185" s="234"/>
    </row>
    <row r="186" spans="6:40"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AC186" s="132" t="s">
        <v>1975</v>
      </c>
      <c r="AD186" s="167" t="s">
        <v>3392</v>
      </c>
      <c r="AE186" s="153" t="s">
        <v>3393</v>
      </c>
      <c r="AF186" s="153" t="s">
        <v>3394</v>
      </c>
      <c r="AG186" s="135" t="s">
        <v>1979</v>
      </c>
      <c r="AH186" s="158" t="s">
        <v>2065</v>
      </c>
      <c r="AI186" s="168" t="s">
        <v>3395</v>
      </c>
      <c r="AJ186" s="247" t="s">
        <v>3396</v>
      </c>
      <c r="AK186" s="168" t="s">
        <v>3397</v>
      </c>
      <c r="AL186" s="161"/>
      <c r="AM186" s="234"/>
      <c r="AN186" s="234"/>
    </row>
    <row r="187" spans="6:40"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AC187" s="132" t="s">
        <v>1975</v>
      </c>
      <c r="AD187" s="167" t="s">
        <v>3398</v>
      </c>
      <c r="AE187" s="153" t="s">
        <v>3399</v>
      </c>
      <c r="AF187" s="153" t="s">
        <v>3399</v>
      </c>
      <c r="AG187" s="135" t="s">
        <v>1979</v>
      </c>
      <c r="AH187" s="117" t="s">
        <v>2250</v>
      </c>
      <c r="AI187" s="186" t="s">
        <v>3400</v>
      </c>
      <c r="AJ187" s="186" t="s">
        <v>3401</v>
      </c>
      <c r="AK187" s="186" t="s">
        <v>3402</v>
      </c>
      <c r="AL187" s="161"/>
      <c r="AM187" s="234"/>
      <c r="AN187" s="234"/>
    </row>
    <row r="188" spans="6:40"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AC188" s="132" t="s">
        <v>1975</v>
      </c>
      <c r="AD188" s="167" t="s">
        <v>3403</v>
      </c>
      <c r="AE188" s="153" t="s">
        <v>3404</v>
      </c>
      <c r="AF188" s="153" t="s">
        <v>3405</v>
      </c>
      <c r="AG188" s="135" t="s">
        <v>1979</v>
      </c>
      <c r="AH188" s="158" t="s">
        <v>2065</v>
      </c>
      <c r="AI188" s="168" t="s">
        <v>3406</v>
      </c>
      <c r="AJ188" s="168" t="s">
        <v>3317</v>
      </c>
      <c r="AK188" s="168" t="s">
        <v>3317</v>
      </c>
      <c r="AL188" s="161"/>
      <c r="AM188" s="234"/>
      <c r="AN188" s="234"/>
    </row>
    <row r="189" spans="6:40"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AC189" s="132" t="s">
        <v>1975</v>
      </c>
      <c r="AD189" s="167" t="s">
        <v>3407</v>
      </c>
      <c r="AE189" s="153" t="s">
        <v>2338</v>
      </c>
      <c r="AF189" s="153" t="s">
        <v>3408</v>
      </c>
      <c r="AG189" s="135" t="s">
        <v>1979</v>
      </c>
      <c r="AH189" s="136" t="s">
        <v>1980</v>
      </c>
      <c r="AI189" s="175" t="s">
        <v>3409</v>
      </c>
      <c r="AJ189" s="175" t="s">
        <v>3410</v>
      </c>
      <c r="AK189" s="175" t="s">
        <v>3411</v>
      </c>
      <c r="AL189" s="161"/>
      <c r="AM189" s="234"/>
      <c r="AN189" s="234"/>
    </row>
    <row r="190" spans="6:40"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AC190" s="162" t="s">
        <v>1975</v>
      </c>
      <c r="AD190" s="163" t="s">
        <v>943</v>
      </c>
      <c r="AE190" s="137" t="s">
        <v>3412</v>
      </c>
      <c r="AF190" s="137" t="s">
        <v>3412</v>
      </c>
      <c r="AG190" s="164"/>
      <c r="AH190" s="136" t="s">
        <v>1980</v>
      </c>
      <c r="AI190" s="175" t="s">
        <v>3409</v>
      </c>
      <c r="AJ190" s="175" t="s">
        <v>3413</v>
      </c>
      <c r="AK190" s="175" t="s">
        <v>3411</v>
      </c>
      <c r="AL190" s="161"/>
      <c r="AM190" s="234"/>
      <c r="AN190" s="234"/>
    </row>
    <row r="191" spans="6:40"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AC191" s="132" t="s">
        <v>1975</v>
      </c>
      <c r="AD191" s="133" t="s">
        <v>3414</v>
      </c>
      <c r="AE191" s="134" t="s">
        <v>2051</v>
      </c>
      <c r="AF191" s="134" t="s">
        <v>2052</v>
      </c>
      <c r="AG191" s="135" t="s">
        <v>1979</v>
      </c>
      <c r="AH191" s="136" t="s">
        <v>1980</v>
      </c>
      <c r="AI191" s="137" t="s">
        <v>3409</v>
      </c>
      <c r="AJ191" s="137" t="s">
        <v>3415</v>
      </c>
      <c r="AK191" s="175" t="s">
        <v>3411</v>
      </c>
      <c r="AL191" s="161"/>
      <c r="AM191" s="234"/>
      <c r="AN191" s="234"/>
    </row>
    <row r="192" spans="6:40"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AC192" s="132" t="s">
        <v>1975</v>
      </c>
      <c r="AD192" s="167" t="s">
        <v>3416</v>
      </c>
      <c r="AE192" s="153" t="s">
        <v>3417</v>
      </c>
      <c r="AF192" s="153" t="s">
        <v>3418</v>
      </c>
      <c r="AG192" s="135" t="s">
        <v>2095</v>
      </c>
      <c r="AH192" s="136" t="s">
        <v>1980</v>
      </c>
      <c r="AI192" s="137" t="s">
        <v>3409</v>
      </c>
      <c r="AJ192" s="137" t="s">
        <v>3413</v>
      </c>
      <c r="AK192" s="175" t="s">
        <v>3411</v>
      </c>
      <c r="AL192" s="161"/>
      <c r="AM192" s="234"/>
      <c r="AN192" s="234"/>
    </row>
    <row r="193" spans="6:40"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AC193" s="132" t="s">
        <v>1975</v>
      </c>
      <c r="AD193" s="167" t="s">
        <v>3419</v>
      </c>
      <c r="AE193" s="153" t="s">
        <v>3419</v>
      </c>
      <c r="AF193" s="153" t="s">
        <v>3419</v>
      </c>
      <c r="AG193" s="135" t="s">
        <v>1979</v>
      </c>
      <c r="AH193" s="136" t="s">
        <v>1980</v>
      </c>
      <c r="AI193" s="137" t="s">
        <v>3409</v>
      </c>
      <c r="AJ193" s="137" t="s">
        <v>3420</v>
      </c>
      <c r="AK193" s="175" t="s">
        <v>3411</v>
      </c>
      <c r="AL193" s="161"/>
      <c r="AM193" s="234"/>
      <c r="AN193" s="234"/>
    </row>
    <row r="194" spans="6:40"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AC194" s="132" t="s">
        <v>1975</v>
      </c>
      <c r="AD194" s="167" t="s">
        <v>841</v>
      </c>
      <c r="AE194" s="153" t="s">
        <v>3421</v>
      </c>
      <c r="AF194" s="153" t="s">
        <v>3422</v>
      </c>
      <c r="AG194" s="135" t="s">
        <v>2095</v>
      </c>
      <c r="AH194" s="136" t="s">
        <v>1980</v>
      </c>
      <c r="AI194" s="137" t="s">
        <v>3423</v>
      </c>
      <c r="AJ194" s="137" t="s">
        <v>3424</v>
      </c>
      <c r="AK194" s="137" t="s">
        <v>3425</v>
      </c>
      <c r="AL194" s="161"/>
      <c r="AM194" s="234"/>
      <c r="AN194" s="234"/>
    </row>
    <row r="195" spans="6:40"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AC195" s="132" t="s">
        <v>1975</v>
      </c>
      <c r="AD195" s="167" t="s">
        <v>3426</v>
      </c>
      <c r="AE195" s="153" t="s">
        <v>3421</v>
      </c>
      <c r="AF195" s="153" t="s">
        <v>3427</v>
      </c>
      <c r="AG195" s="135" t="s">
        <v>1979</v>
      </c>
      <c r="AH195" s="136" t="s">
        <v>1980</v>
      </c>
      <c r="AI195" s="137" t="s">
        <v>3428</v>
      </c>
      <c r="AJ195" s="137" t="s">
        <v>3429</v>
      </c>
      <c r="AK195" s="137" t="s">
        <v>3430</v>
      </c>
      <c r="AL195" s="161"/>
      <c r="AM195" s="234"/>
      <c r="AN195" s="234"/>
    </row>
    <row r="196" spans="6:40"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AC196" s="132" t="s">
        <v>1975</v>
      </c>
      <c r="AD196" s="152" t="s">
        <v>61</v>
      </c>
      <c r="AE196" s="153" t="s">
        <v>3431</v>
      </c>
      <c r="AF196" s="153" t="s">
        <v>3432</v>
      </c>
      <c r="AG196" s="135"/>
      <c r="AH196" s="136" t="s">
        <v>1980</v>
      </c>
      <c r="AI196" s="137" t="s">
        <v>3433</v>
      </c>
      <c r="AJ196" s="137" t="s">
        <v>3434</v>
      </c>
      <c r="AK196" s="137" t="s">
        <v>3435</v>
      </c>
      <c r="AL196" s="161"/>
      <c r="AM196" s="234"/>
      <c r="AN196" s="234"/>
    </row>
    <row r="197" spans="6:40"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AC197" s="132" t="s">
        <v>1975</v>
      </c>
      <c r="AD197" s="133" t="s">
        <v>3436</v>
      </c>
      <c r="AE197" s="134" t="s">
        <v>3417</v>
      </c>
      <c r="AF197" s="134" t="s">
        <v>3437</v>
      </c>
      <c r="AG197" s="135" t="s">
        <v>1979</v>
      </c>
      <c r="AH197" s="117" t="s">
        <v>2250</v>
      </c>
      <c r="AI197" s="175" t="s">
        <v>3438</v>
      </c>
      <c r="AJ197" s="175" t="s">
        <v>3439</v>
      </c>
      <c r="AK197" s="175" t="s">
        <v>3440</v>
      </c>
      <c r="AL197" s="161"/>
      <c r="AM197" s="234"/>
      <c r="AN197" s="234"/>
    </row>
    <row r="198" spans="6:40"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AC198" s="132" t="s">
        <v>1975</v>
      </c>
      <c r="AD198" s="152" t="s">
        <v>455</v>
      </c>
      <c r="AE198" s="153" t="s">
        <v>2202</v>
      </c>
      <c r="AF198" s="153" t="s">
        <v>3441</v>
      </c>
      <c r="AG198" s="135"/>
      <c r="AH198" s="158" t="s">
        <v>2065</v>
      </c>
      <c r="AI198" s="168" t="s">
        <v>3442</v>
      </c>
      <c r="AJ198" s="168" t="s">
        <v>2451</v>
      </c>
      <c r="AK198" s="168" t="s">
        <v>3443</v>
      </c>
      <c r="AL198" s="161"/>
      <c r="AM198" s="234"/>
      <c r="AN198" s="234"/>
    </row>
    <row r="199" spans="6:40"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AC199" s="132" t="s">
        <v>1975</v>
      </c>
      <c r="AD199" s="167" t="s">
        <v>3444</v>
      </c>
      <c r="AE199" s="153" t="s">
        <v>3445</v>
      </c>
      <c r="AF199" s="153" t="s">
        <v>3446</v>
      </c>
      <c r="AG199" s="135" t="s">
        <v>1979</v>
      </c>
      <c r="AH199" s="136" t="s">
        <v>1980</v>
      </c>
      <c r="AI199" s="137" t="s">
        <v>3447</v>
      </c>
      <c r="AJ199" s="137" t="s">
        <v>3447</v>
      </c>
      <c r="AK199" s="137" t="s">
        <v>3448</v>
      </c>
      <c r="AL199" s="161"/>
      <c r="AM199" s="234"/>
      <c r="AN199" s="234"/>
    </row>
    <row r="200" spans="6:40"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AC200" s="132" t="s">
        <v>1975</v>
      </c>
      <c r="AD200" s="167" t="s">
        <v>3449</v>
      </c>
      <c r="AE200" s="153" t="s">
        <v>3450</v>
      </c>
      <c r="AF200" s="153" t="s">
        <v>3451</v>
      </c>
      <c r="AG200" s="135" t="s">
        <v>1979</v>
      </c>
      <c r="AH200" s="158" t="s">
        <v>2065</v>
      </c>
      <c r="AI200" s="168" t="s">
        <v>3452</v>
      </c>
      <c r="AJ200" s="168" t="s">
        <v>3447</v>
      </c>
      <c r="AK200" s="168" t="s">
        <v>3448</v>
      </c>
      <c r="AL200" s="161"/>
      <c r="AM200" s="234"/>
      <c r="AN200" s="234"/>
    </row>
    <row r="201" spans="6:40"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AC201" s="162" t="s">
        <v>1975</v>
      </c>
      <c r="AD201" s="163" t="s">
        <v>3453</v>
      </c>
      <c r="AE201" s="137"/>
      <c r="AF201" s="137" t="s">
        <v>3451</v>
      </c>
      <c r="AG201" s="164" t="s">
        <v>3057</v>
      </c>
      <c r="AH201" s="158" t="s">
        <v>2065</v>
      </c>
      <c r="AI201" s="168" t="s">
        <v>3454</v>
      </c>
      <c r="AJ201" s="168" t="s">
        <v>3324</v>
      </c>
      <c r="AK201" s="168" t="s">
        <v>3455</v>
      </c>
      <c r="AL201" s="161"/>
      <c r="AM201" s="234"/>
      <c r="AN201" s="234"/>
    </row>
    <row r="202" spans="6:40"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AC202" s="132" t="s">
        <v>1975</v>
      </c>
      <c r="AD202" s="133" t="s">
        <v>3456</v>
      </c>
      <c r="AE202" s="134" t="s">
        <v>2472</v>
      </c>
      <c r="AF202" s="134" t="s">
        <v>3457</v>
      </c>
      <c r="AG202" s="135" t="s">
        <v>1979</v>
      </c>
      <c r="AH202" s="117" t="s">
        <v>2065</v>
      </c>
      <c r="AI202" s="248" t="s">
        <v>3458</v>
      </c>
      <c r="AJ202" s="248" t="s">
        <v>3459</v>
      </c>
      <c r="AK202" s="248" t="s">
        <v>3459</v>
      </c>
      <c r="AL202" s="161"/>
      <c r="AM202" s="234"/>
      <c r="AN202" s="234"/>
    </row>
    <row r="203" spans="6:40"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AC203" s="132" t="s">
        <v>1975</v>
      </c>
      <c r="AD203" s="152" t="s">
        <v>532</v>
      </c>
      <c r="AE203" s="153" t="s">
        <v>2472</v>
      </c>
      <c r="AF203" s="153" t="s">
        <v>3460</v>
      </c>
      <c r="AG203" s="135"/>
      <c r="AH203" s="136" t="s">
        <v>1980</v>
      </c>
      <c r="AI203" s="175" t="s">
        <v>3461</v>
      </c>
      <c r="AJ203" s="175"/>
      <c r="AK203" s="175" t="s">
        <v>3462</v>
      </c>
      <c r="AL203" s="161"/>
      <c r="AM203" s="234"/>
      <c r="AN203" s="234"/>
    </row>
    <row r="204" spans="6:40"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AC204" s="152" t="s">
        <v>1975</v>
      </c>
      <c r="AD204" s="133" t="s">
        <v>233</v>
      </c>
      <c r="AE204" s="134" t="s">
        <v>3463</v>
      </c>
      <c r="AF204" s="134" t="s">
        <v>3464</v>
      </c>
      <c r="AG204" s="134" t="s">
        <v>2095</v>
      </c>
      <c r="AH204" s="158" t="s">
        <v>2065</v>
      </c>
      <c r="AI204" s="168" t="s">
        <v>3461</v>
      </c>
      <c r="AJ204" s="168" t="s">
        <v>3465</v>
      </c>
      <c r="AK204" s="168" t="s">
        <v>3462</v>
      </c>
      <c r="AL204" s="161"/>
      <c r="AM204" s="234"/>
      <c r="AN204" s="234"/>
    </row>
    <row r="205" spans="6:40"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AC205" s="152" t="s">
        <v>1975</v>
      </c>
      <c r="AD205" s="133" t="s">
        <v>3466</v>
      </c>
      <c r="AE205" s="134" t="s">
        <v>2020</v>
      </c>
      <c r="AF205" s="134" t="s">
        <v>3467</v>
      </c>
      <c r="AG205" s="134" t="s">
        <v>2503</v>
      </c>
      <c r="AH205" s="136" t="s">
        <v>1980</v>
      </c>
      <c r="AI205" s="175" t="s">
        <v>3468</v>
      </c>
      <c r="AJ205" s="175" t="s">
        <v>3469</v>
      </c>
      <c r="AK205" s="175" t="s">
        <v>3469</v>
      </c>
      <c r="AL205" s="161"/>
      <c r="AM205" s="234"/>
      <c r="AN205" s="234"/>
    </row>
    <row r="206" spans="6:40"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AC206" s="132" t="s">
        <v>1975</v>
      </c>
      <c r="AD206" s="167" t="s">
        <v>12</v>
      </c>
      <c r="AE206" s="153" t="s">
        <v>3470</v>
      </c>
      <c r="AF206" s="153" t="s">
        <v>3470</v>
      </c>
      <c r="AG206" s="135" t="s">
        <v>2503</v>
      </c>
      <c r="AH206" s="158" t="s">
        <v>2065</v>
      </c>
      <c r="AI206" s="168" t="s">
        <v>3471</v>
      </c>
      <c r="AJ206" s="168" t="s">
        <v>3472</v>
      </c>
      <c r="AK206" s="168" t="s">
        <v>3473</v>
      </c>
      <c r="AL206" s="161"/>
      <c r="AM206" s="234"/>
      <c r="AN206" s="234"/>
    </row>
    <row r="207" spans="6:40"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AC207" s="132" t="s">
        <v>1975</v>
      </c>
      <c r="AD207" s="167" t="s">
        <v>29</v>
      </c>
      <c r="AE207" s="153" t="s">
        <v>2525</v>
      </c>
      <c r="AF207" s="153" t="s">
        <v>3474</v>
      </c>
      <c r="AG207" s="135" t="s">
        <v>2503</v>
      </c>
      <c r="AH207" s="136" t="s">
        <v>1980</v>
      </c>
      <c r="AI207" s="137" t="s">
        <v>3475</v>
      </c>
      <c r="AJ207" s="137" t="s">
        <v>3476</v>
      </c>
      <c r="AK207" s="137" t="s">
        <v>3477</v>
      </c>
      <c r="AL207" s="161"/>
      <c r="AM207" s="234"/>
      <c r="AN207" s="234"/>
    </row>
    <row r="208" spans="6:40">
      <c r="F208" s="161"/>
      <c r="G208" s="161"/>
      <c r="H208" s="161"/>
      <c r="I208" s="161"/>
      <c r="J208" s="161"/>
      <c r="AC208" s="132" t="s">
        <v>1975</v>
      </c>
      <c r="AD208" s="133" t="s">
        <v>3478</v>
      </c>
      <c r="AE208" s="134" t="s">
        <v>3479</v>
      </c>
      <c r="AF208" s="134" t="s">
        <v>3480</v>
      </c>
      <c r="AG208" s="135" t="s">
        <v>1979</v>
      </c>
      <c r="AH208" s="136" t="s">
        <v>1980</v>
      </c>
      <c r="AI208" s="137" t="s">
        <v>3475</v>
      </c>
      <c r="AJ208" s="137" t="s">
        <v>3481</v>
      </c>
      <c r="AK208" s="137" t="s">
        <v>3477</v>
      </c>
      <c r="AL208" s="161"/>
      <c r="AM208" s="234"/>
      <c r="AN208" s="234"/>
    </row>
    <row r="209" spans="6:40">
      <c r="F209" s="161"/>
      <c r="G209" s="161"/>
      <c r="H209" s="161"/>
      <c r="I209" s="161"/>
      <c r="J209" s="161"/>
      <c r="AC209" s="132" t="s">
        <v>1975</v>
      </c>
      <c r="AD209" s="167" t="s">
        <v>3482</v>
      </c>
      <c r="AE209" s="153" t="s">
        <v>3257</v>
      </c>
      <c r="AF209" s="153" t="s">
        <v>3483</v>
      </c>
      <c r="AG209" s="135" t="s">
        <v>1979</v>
      </c>
      <c r="AH209" s="158" t="s">
        <v>2065</v>
      </c>
      <c r="AI209" s="137" t="s">
        <v>3475</v>
      </c>
      <c r="AJ209" s="137" t="s">
        <v>3476</v>
      </c>
      <c r="AK209" s="137" t="s">
        <v>3477</v>
      </c>
      <c r="AL209" s="161"/>
      <c r="AM209" s="234"/>
      <c r="AN209" s="234"/>
    </row>
    <row r="210" spans="6:40">
      <c r="F210" s="161"/>
      <c r="G210" s="161"/>
      <c r="H210" s="161"/>
      <c r="I210" s="161"/>
      <c r="J210" s="161"/>
      <c r="AC210" s="132" t="s">
        <v>1975</v>
      </c>
      <c r="AD210" s="167" t="s">
        <v>3484</v>
      </c>
      <c r="AE210" s="153" t="s">
        <v>3485</v>
      </c>
      <c r="AF210" s="153" t="s">
        <v>3485</v>
      </c>
      <c r="AG210" s="135" t="s">
        <v>1979</v>
      </c>
      <c r="AH210" s="136" t="s">
        <v>1980</v>
      </c>
      <c r="AI210" s="175" t="s">
        <v>3486</v>
      </c>
      <c r="AJ210" s="175"/>
      <c r="AK210" s="175" t="s">
        <v>3487</v>
      </c>
      <c r="AL210" s="161"/>
      <c r="AM210" s="234"/>
      <c r="AN210" s="234"/>
    </row>
    <row r="211" spans="6:40">
      <c r="F211" s="161"/>
      <c r="G211" s="161"/>
      <c r="H211" s="161"/>
      <c r="I211" s="161"/>
      <c r="J211" s="161"/>
      <c r="AC211" s="132" t="s">
        <v>1975</v>
      </c>
      <c r="AD211" s="167" t="s">
        <v>572</v>
      </c>
      <c r="AE211" s="153" t="s">
        <v>3488</v>
      </c>
      <c r="AF211" s="153" t="s">
        <v>3489</v>
      </c>
      <c r="AG211" s="135" t="s">
        <v>2095</v>
      </c>
      <c r="AH211" s="136" t="s">
        <v>1980</v>
      </c>
      <c r="AI211" s="175" t="s">
        <v>3486</v>
      </c>
      <c r="AJ211" s="175" t="s">
        <v>3490</v>
      </c>
      <c r="AK211" s="175" t="s">
        <v>3487</v>
      </c>
      <c r="AL211" s="161"/>
      <c r="AM211" s="234"/>
      <c r="AN211" s="234"/>
    </row>
    <row r="212" spans="6:40">
      <c r="F212" s="161"/>
      <c r="G212" s="161"/>
      <c r="H212" s="161"/>
      <c r="I212" s="161"/>
      <c r="J212" s="161"/>
      <c r="AC212" s="132" t="s">
        <v>1975</v>
      </c>
      <c r="AD212" s="133" t="s">
        <v>236</v>
      </c>
      <c r="AE212" s="134" t="s">
        <v>2081</v>
      </c>
      <c r="AF212" s="134" t="s">
        <v>3491</v>
      </c>
      <c r="AG212" s="135" t="s">
        <v>2503</v>
      </c>
      <c r="AH212" s="136" t="s">
        <v>1980</v>
      </c>
      <c r="AI212" s="175" t="s">
        <v>3492</v>
      </c>
      <c r="AJ212" s="175"/>
      <c r="AK212" s="175" t="s">
        <v>3493</v>
      </c>
      <c r="AL212" s="161"/>
      <c r="AM212" s="234"/>
      <c r="AN212" s="234"/>
    </row>
    <row r="213" spans="6:40">
      <c r="F213" s="161"/>
      <c r="G213" s="161"/>
      <c r="H213" s="161"/>
      <c r="I213" s="161"/>
      <c r="J213" s="161"/>
      <c r="AC213" s="132" t="s">
        <v>1975</v>
      </c>
      <c r="AD213" s="152" t="s">
        <v>3494</v>
      </c>
      <c r="AE213" s="153" t="s">
        <v>2680</v>
      </c>
      <c r="AF213" s="153" t="s">
        <v>3495</v>
      </c>
      <c r="AG213" s="135" t="s">
        <v>1979</v>
      </c>
      <c r="AH213" s="188" t="s">
        <v>1980</v>
      </c>
      <c r="AI213" s="241" t="s">
        <v>3496</v>
      </c>
      <c r="AJ213" s="241" t="s">
        <v>3497</v>
      </c>
      <c r="AK213" s="241" t="s">
        <v>3498</v>
      </c>
      <c r="AL213" s="161"/>
      <c r="AM213" s="234"/>
      <c r="AN213" s="234"/>
    </row>
    <row r="214" spans="6:40">
      <c r="F214" s="161"/>
      <c r="G214" s="161"/>
      <c r="H214" s="161"/>
      <c r="I214" s="161"/>
      <c r="J214" s="161"/>
      <c r="AC214" s="132" t="s">
        <v>1975</v>
      </c>
      <c r="AD214" s="167" t="s">
        <v>300</v>
      </c>
      <c r="AE214" s="153" t="s">
        <v>3499</v>
      </c>
      <c r="AF214" s="153" t="s">
        <v>3500</v>
      </c>
      <c r="AG214" s="135" t="s">
        <v>2503</v>
      </c>
      <c r="AH214" s="188" t="s">
        <v>1980</v>
      </c>
      <c r="AI214" s="249" t="s">
        <v>3496</v>
      </c>
      <c r="AJ214" s="241" t="s">
        <v>3501</v>
      </c>
      <c r="AK214" s="241" t="s">
        <v>3498</v>
      </c>
      <c r="AL214" s="161"/>
      <c r="AM214" s="234"/>
      <c r="AN214" s="234"/>
    </row>
    <row r="215" spans="6:40">
      <c r="F215" s="161"/>
      <c r="G215" s="161"/>
      <c r="H215" s="161"/>
      <c r="I215" s="161"/>
      <c r="J215" s="161"/>
      <c r="AC215" s="132" t="s">
        <v>1975</v>
      </c>
      <c r="AD215" s="167" t="s">
        <v>3502</v>
      </c>
      <c r="AE215" s="153" t="s">
        <v>2796</v>
      </c>
      <c r="AF215" s="153" t="s">
        <v>3503</v>
      </c>
      <c r="AG215" s="135" t="s">
        <v>1979</v>
      </c>
      <c r="AH215" s="136" t="s">
        <v>1980</v>
      </c>
      <c r="AI215" s="175" t="s">
        <v>3504</v>
      </c>
      <c r="AJ215" s="175" t="s">
        <v>3505</v>
      </c>
      <c r="AK215" s="175" t="s">
        <v>3505</v>
      </c>
      <c r="AL215" s="161"/>
      <c r="AM215" s="234"/>
      <c r="AN215" s="234"/>
    </row>
    <row r="216" spans="6:40">
      <c r="F216" s="161"/>
      <c r="G216" s="161"/>
      <c r="H216" s="161"/>
      <c r="I216" s="161"/>
      <c r="J216" s="161"/>
      <c r="AC216" s="162" t="s">
        <v>1975</v>
      </c>
      <c r="AD216" s="163" t="s">
        <v>1378</v>
      </c>
      <c r="AE216" s="137" t="s">
        <v>3506</v>
      </c>
      <c r="AF216" s="137" t="s">
        <v>1030</v>
      </c>
      <c r="AG216" s="164"/>
      <c r="AH216" s="117" t="s">
        <v>2250</v>
      </c>
      <c r="AI216" s="175" t="s">
        <v>3507</v>
      </c>
      <c r="AJ216" s="175" t="s">
        <v>3388</v>
      </c>
      <c r="AK216" s="175" t="s">
        <v>3508</v>
      </c>
      <c r="AL216" s="161"/>
      <c r="AM216" s="234"/>
      <c r="AN216" s="234"/>
    </row>
    <row r="217" spans="6:40">
      <c r="F217" s="161"/>
      <c r="G217" s="161"/>
      <c r="H217" s="161"/>
      <c r="I217" s="161"/>
      <c r="J217" s="161"/>
      <c r="AC217" s="132" t="s">
        <v>1975</v>
      </c>
      <c r="AD217" s="167" t="s">
        <v>3509</v>
      </c>
      <c r="AE217" s="153" t="s">
        <v>3510</v>
      </c>
      <c r="AF217" s="153" t="s">
        <v>3510</v>
      </c>
      <c r="AG217" s="135" t="s">
        <v>2095</v>
      </c>
      <c r="AH217" s="136" t="s">
        <v>1980</v>
      </c>
      <c r="AI217" s="154" t="s">
        <v>3511</v>
      </c>
      <c r="AJ217" s="137" t="s">
        <v>3404</v>
      </c>
      <c r="AK217" s="137" t="s">
        <v>3512</v>
      </c>
      <c r="AL217" s="161"/>
      <c r="AM217" s="234"/>
      <c r="AN217" s="234"/>
    </row>
    <row r="218" spans="6:40">
      <c r="F218" s="161"/>
      <c r="G218" s="161"/>
      <c r="H218" s="161"/>
      <c r="I218" s="161"/>
      <c r="J218" s="161"/>
      <c r="AC218" s="132" t="s">
        <v>1975</v>
      </c>
      <c r="AD218" s="167" t="s">
        <v>78</v>
      </c>
      <c r="AE218" s="153" t="s">
        <v>3510</v>
      </c>
      <c r="AF218" s="153" t="s">
        <v>3510</v>
      </c>
      <c r="AG218" s="135" t="s">
        <v>2095</v>
      </c>
      <c r="AH218" s="136" t="s">
        <v>1980</v>
      </c>
      <c r="AI218" s="154" t="s">
        <v>3511</v>
      </c>
      <c r="AJ218" s="137" t="s">
        <v>3513</v>
      </c>
      <c r="AK218" s="137" t="s">
        <v>3512</v>
      </c>
      <c r="AL218" s="161"/>
      <c r="AM218" s="234"/>
      <c r="AN218" s="234"/>
    </row>
    <row r="219" spans="6:40">
      <c r="F219" s="161"/>
      <c r="G219" s="161"/>
      <c r="H219" s="161"/>
      <c r="I219" s="161"/>
      <c r="J219" s="161"/>
      <c r="AC219" s="132" t="s">
        <v>1975</v>
      </c>
      <c r="AD219" s="152" t="s">
        <v>3514</v>
      </c>
      <c r="AE219" s="153" t="s">
        <v>3515</v>
      </c>
      <c r="AF219" s="153" t="s">
        <v>2394</v>
      </c>
      <c r="AG219" s="135" t="s">
        <v>1979</v>
      </c>
      <c r="AH219" s="136" t="s">
        <v>1980</v>
      </c>
      <c r="AI219" s="154" t="s">
        <v>3511</v>
      </c>
      <c r="AJ219" s="137" t="s">
        <v>3516</v>
      </c>
      <c r="AK219" s="137" t="s">
        <v>3512</v>
      </c>
      <c r="AL219" s="161"/>
      <c r="AM219" s="234"/>
      <c r="AN219" s="234"/>
    </row>
    <row r="220" spans="6:40">
      <c r="F220" s="161"/>
      <c r="G220" s="161"/>
      <c r="H220" s="161"/>
      <c r="I220" s="161"/>
      <c r="J220" s="161"/>
      <c r="AC220" s="132" t="s">
        <v>1975</v>
      </c>
      <c r="AD220" s="167" t="s">
        <v>92</v>
      </c>
      <c r="AE220" s="153" t="s">
        <v>3517</v>
      </c>
      <c r="AF220" s="153" t="s">
        <v>3518</v>
      </c>
      <c r="AG220" s="135" t="s">
        <v>2503</v>
      </c>
      <c r="AH220" s="136" t="s">
        <v>1980</v>
      </c>
      <c r="AI220" s="154" t="s">
        <v>3519</v>
      </c>
      <c r="AJ220" s="137" t="s">
        <v>3372</v>
      </c>
      <c r="AK220" s="137" t="s">
        <v>3520</v>
      </c>
      <c r="AL220" s="161"/>
      <c r="AM220" s="234"/>
      <c r="AN220" s="234"/>
    </row>
    <row r="221" spans="6:40">
      <c r="F221" s="161"/>
      <c r="G221" s="161"/>
      <c r="H221" s="161"/>
      <c r="I221" s="161"/>
      <c r="J221" s="161"/>
      <c r="AC221" s="132" t="s">
        <v>1975</v>
      </c>
      <c r="AD221" s="152" t="s">
        <v>3521</v>
      </c>
      <c r="AE221" s="153" t="s">
        <v>3522</v>
      </c>
      <c r="AF221" s="153" t="s">
        <v>3523</v>
      </c>
      <c r="AG221" s="135" t="s">
        <v>1979</v>
      </c>
      <c r="AH221" s="158" t="s">
        <v>2065</v>
      </c>
      <c r="AI221" s="175" t="s">
        <v>3524</v>
      </c>
      <c r="AJ221" s="175" t="s">
        <v>3372</v>
      </c>
      <c r="AK221" s="175" t="s">
        <v>3525</v>
      </c>
      <c r="AL221" s="161"/>
      <c r="AM221" s="234"/>
      <c r="AN221" s="234"/>
    </row>
    <row r="222" spans="6:40">
      <c r="F222" s="161"/>
      <c r="G222" s="161"/>
      <c r="H222" s="161"/>
      <c r="I222" s="161"/>
      <c r="J222" s="161"/>
      <c r="AC222" s="132" t="s">
        <v>1975</v>
      </c>
      <c r="AD222" s="167" t="s">
        <v>3526</v>
      </c>
      <c r="AE222" s="153" t="s">
        <v>3522</v>
      </c>
      <c r="AF222" s="153" t="s">
        <v>3527</v>
      </c>
      <c r="AG222" s="135" t="s">
        <v>1979</v>
      </c>
      <c r="AH222" s="136" t="s">
        <v>1980</v>
      </c>
      <c r="AI222" s="154" t="s">
        <v>3528</v>
      </c>
      <c r="AJ222" s="137" t="s">
        <v>3529</v>
      </c>
      <c r="AK222" s="137" t="s">
        <v>3525</v>
      </c>
      <c r="AL222" s="161"/>
      <c r="AM222" s="234"/>
      <c r="AN222" s="234"/>
    </row>
    <row r="223" spans="6:40">
      <c r="F223" s="161"/>
      <c r="G223" s="161"/>
      <c r="H223" s="161"/>
      <c r="I223" s="161"/>
      <c r="J223" s="161"/>
      <c r="AC223" s="132" t="s">
        <v>1975</v>
      </c>
      <c r="AD223" s="167" t="s">
        <v>3530</v>
      </c>
      <c r="AE223" s="153" t="s">
        <v>3531</v>
      </c>
      <c r="AF223" s="153" t="s">
        <v>3532</v>
      </c>
      <c r="AG223" s="135" t="s">
        <v>1979</v>
      </c>
      <c r="AH223" s="158" t="s">
        <v>2065</v>
      </c>
      <c r="AI223" s="168" t="s">
        <v>3533</v>
      </c>
      <c r="AJ223" s="168" t="s">
        <v>1997</v>
      </c>
      <c r="AK223" s="168" t="s">
        <v>3534</v>
      </c>
      <c r="AL223" s="161"/>
      <c r="AM223" s="234"/>
      <c r="AN223" s="234"/>
    </row>
    <row r="224" spans="6:40">
      <c r="F224" s="161"/>
      <c r="G224" s="161"/>
      <c r="H224" s="161"/>
      <c r="I224" s="161"/>
      <c r="J224" s="161"/>
      <c r="AC224" s="162" t="s">
        <v>1975</v>
      </c>
      <c r="AD224" s="163" t="s">
        <v>3535</v>
      </c>
      <c r="AE224" s="137" t="s">
        <v>3536</v>
      </c>
      <c r="AF224" s="137" t="s">
        <v>3536</v>
      </c>
      <c r="AG224" s="164"/>
      <c r="AH224" s="136" t="s">
        <v>1980</v>
      </c>
      <c r="AI224" s="154" t="s">
        <v>3537</v>
      </c>
      <c r="AJ224" s="137" t="s">
        <v>2051</v>
      </c>
      <c r="AK224" s="137" t="s">
        <v>2052</v>
      </c>
      <c r="AL224" s="161"/>
      <c r="AM224" s="234"/>
      <c r="AN224" s="234"/>
    </row>
    <row r="225" spans="6:40">
      <c r="F225" s="161"/>
      <c r="G225" s="161"/>
      <c r="H225" s="161"/>
      <c r="I225" s="161"/>
      <c r="J225" s="161"/>
      <c r="AC225" s="132" t="s">
        <v>1975</v>
      </c>
      <c r="AD225" s="167" t="s">
        <v>3538</v>
      </c>
      <c r="AE225" s="153" t="s">
        <v>3539</v>
      </c>
      <c r="AF225" s="153" t="s">
        <v>3540</v>
      </c>
      <c r="AG225" s="135" t="s">
        <v>1979</v>
      </c>
      <c r="AH225" s="136" t="s">
        <v>1980</v>
      </c>
      <c r="AI225" s="154" t="s">
        <v>3537</v>
      </c>
      <c r="AJ225" s="175" t="s">
        <v>2052</v>
      </c>
      <c r="AK225" s="175" t="s">
        <v>2052</v>
      </c>
      <c r="AL225" s="161"/>
      <c r="AM225" s="234"/>
      <c r="AN225" s="234"/>
    </row>
    <row r="226" spans="6:40">
      <c r="F226" s="161"/>
      <c r="G226" s="161"/>
      <c r="H226" s="161"/>
      <c r="I226" s="161"/>
      <c r="J226" s="161"/>
      <c r="AC226" s="132" t="s">
        <v>1975</v>
      </c>
      <c r="AD226" s="152" t="s">
        <v>806</v>
      </c>
      <c r="AE226" s="153" t="s">
        <v>3541</v>
      </c>
      <c r="AF226" s="153" t="s">
        <v>3541</v>
      </c>
      <c r="AG226" s="135"/>
      <c r="AH226" s="136" t="s">
        <v>1980</v>
      </c>
      <c r="AI226" s="154" t="s">
        <v>3542</v>
      </c>
      <c r="AJ226" s="137" t="s">
        <v>3543</v>
      </c>
      <c r="AK226" s="137" t="s">
        <v>3543</v>
      </c>
      <c r="AL226" s="161"/>
      <c r="AM226" s="234"/>
      <c r="AN226" s="234"/>
    </row>
    <row r="227" spans="6:40">
      <c r="F227" s="161"/>
      <c r="G227" s="161"/>
      <c r="H227" s="161"/>
      <c r="I227" s="161"/>
      <c r="J227" s="161"/>
      <c r="AC227" s="132" t="s">
        <v>1975</v>
      </c>
      <c r="AD227" s="152" t="s">
        <v>113</v>
      </c>
      <c r="AE227" s="153" t="s">
        <v>3544</v>
      </c>
      <c r="AF227" s="153" t="s">
        <v>3544</v>
      </c>
      <c r="AG227" s="135"/>
      <c r="AH227" s="136" t="s">
        <v>1980</v>
      </c>
      <c r="AI227" s="154" t="s">
        <v>3545</v>
      </c>
      <c r="AJ227" s="137" t="s">
        <v>3546</v>
      </c>
      <c r="AK227" s="137" t="s">
        <v>3543</v>
      </c>
      <c r="AL227" s="161"/>
      <c r="AM227" s="234"/>
      <c r="AN227" s="234"/>
    </row>
    <row r="228" spans="6:40">
      <c r="F228" s="161"/>
      <c r="G228" s="161"/>
      <c r="H228" s="161"/>
      <c r="I228" s="161"/>
      <c r="J228" s="161"/>
      <c r="AC228" s="132" t="s">
        <v>1975</v>
      </c>
      <c r="AD228" s="152" t="s">
        <v>42</v>
      </c>
      <c r="AE228" s="153" t="s">
        <v>3547</v>
      </c>
      <c r="AF228" s="153" t="s">
        <v>3548</v>
      </c>
      <c r="AG228" s="135"/>
      <c r="AH228" s="136" t="s">
        <v>1980</v>
      </c>
      <c r="AI228" s="175" t="s">
        <v>3549</v>
      </c>
      <c r="AJ228" s="175"/>
      <c r="AK228" s="175" t="s">
        <v>3550</v>
      </c>
      <c r="AL228" s="161"/>
      <c r="AM228" s="234"/>
      <c r="AN228" s="234"/>
    </row>
    <row r="229" spans="6:40">
      <c r="F229" s="161"/>
      <c r="G229" s="161"/>
      <c r="H229" s="161"/>
      <c r="I229" s="161"/>
      <c r="J229" s="161"/>
      <c r="AC229" s="132" t="s">
        <v>1975</v>
      </c>
      <c r="AD229" s="167" t="s">
        <v>3551</v>
      </c>
      <c r="AE229" s="153" t="s">
        <v>3552</v>
      </c>
      <c r="AF229" s="153" t="s">
        <v>3553</v>
      </c>
      <c r="AG229" s="135" t="s">
        <v>1979</v>
      </c>
      <c r="AH229" s="136" t="s">
        <v>1980</v>
      </c>
      <c r="AI229" s="154" t="s">
        <v>3554</v>
      </c>
      <c r="AJ229" s="137" t="s">
        <v>3555</v>
      </c>
      <c r="AK229" s="137" t="s">
        <v>3520</v>
      </c>
      <c r="AL229" s="161"/>
      <c r="AM229" s="234"/>
      <c r="AN229" s="234"/>
    </row>
    <row r="230" spans="6:40">
      <c r="F230" s="161"/>
      <c r="G230" s="161"/>
      <c r="H230" s="161"/>
      <c r="I230" s="161"/>
      <c r="J230" s="161"/>
      <c r="AC230" s="132" t="s">
        <v>1975</v>
      </c>
      <c r="AD230" s="152" t="s">
        <v>358</v>
      </c>
      <c r="AE230" s="153" t="s">
        <v>3556</v>
      </c>
      <c r="AF230" s="153" t="s">
        <v>3556</v>
      </c>
      <c r="AG230" s="135"/>
      <c r="AH230" s="136" t="s">
        <v>1980</v>
      </c>
      <c r="AI230" s="154" t="s">
        <v>3557</v>
      </c>
      <c r="AJ230" s="137" t="s">
        <v>3558</v>
      </c>
      <c r="AK230" s="137" t="s">
        <v>3559</v>
      </c>
      <c r="AL230" s="161"/>
      <c r="AM230" s="234"/>
      <c r="AN230" s="234"/>
    </row>
    <row r="231" spans="6:40">
      <c r="F231" s="161"/>
      <c r="G231" s="161"/>
      <c r="H231" s="161"/>
      <c r="I231" s="161"/>
      <c r="J231" s="161"/>
      <c r="AC231" s="132" t="s">
        <v>1975</v>
      </c>
      <c r="AD231" s="133" t="s">
        <v>3560</v>
      </c>
      <c r="AE231" s="134" t="s">
        <v>2478</v>
      </c>
      <c r="AF231" s="134" t="s">
        <v>3561</v>
      </c>
      <c r="AG231" s="135" t="s">
        <v>1979</v>
      </c>
      <c r="AH231" s="136" t="s">
        <v>1980</v>
      </c>
      <c r="AI231" s="154" t="s">
        <v>3562</v>
      </c>
      <c r="AJ231" s="137" t="s">
        <v>3563</v>
      </c>
      <c r="AK231" s="137" t="s">
        <v>3564</v>
      </c>
      <c r="AL231" s="161"/>
      <c r="AM231" s="234"/>
      <c r="AN231" s="234"/>
    </row>
    <row r="232" spans="6:40">
      <c r="F232" s="161"/>
      <c r="G232" s="161"/>
      <c r="H232" s="161"/>
      <c r="I232" s="161"/>
      <c r="J232" s="161"/>
      <c r="AC232" s="132" t="s">
        <v>1975</v>
      </c>
      <c r="AD232" s="152" t="s">
        <v>3565</v>
      </c>
      <c r="AE232" s="153" t="s">
        <v>3566</v>
      </c>
      <c r="AF232" s="153" t="s">
        <v>3567</v>
      </c>
      <c r="AG232" s="135" t="s">
        <v>1979</v>
      </c>
      <c r="AH232" s="136" t="s">
        <v>1980</v>
      </c>
      <c r="AI232" s="137" t="s">
        <v>3568</v>
      </c>
      <c r="AJ232" s="137" t="s">
        <v>3568</v>
      </c>
      <c r="AK232" s="137" t="s">
        <v>3569</v>
      </c>
      <c r="AL232" s="161"/>
      <c r="AM232" s="234"/>
      <c r="AN232" s="234"/>
    </row>
    <row r="233" spans="6:40">
      <c r="F233" s="161"/>
      <c r="G233" s="161"/>
      <c r="H233" s="161"/>
      <c r="I233" s="161"/>
      <c r="J233" s="161"/>
      <c r="AC233" s="132" t="s">
        <v>1975</v>
      </c>
      <c r="AD233" s="167" t="s">
        <v>3570</v>
      </c>
      <c r="AE233" s="153" t="s">
        <v>3571</v>
      </c>
      <c r="AF233" s="153" t="s">
        <v>2479</v>
      </c>
      <c r="AG233" s="135" t="s">
        <v>1979</v>
      </c>
      <c r="AH233" s="188" t="s">
        <v>1980</v>
      </c>
      <c r="AI233" s="189" t="s">
        <v>3572</v>
      </c>
      <c r="AJ233" s="189" t="s">
        <v>3569</v>
      </c>
      <c r="AK233" s="189" t="s">
        <v>3569</v>
      </c>
      <c r="AL233" s="161"/>
      <c r="AM233" s="234"/>
      <c r="AN233" s="234"/>
    </row>
    <row r="234" spans="6:40">
      <c r="F234" s="161"/>
      <c r="G234" s="161"/>
      <c r="H234" s="161"/>
      <c r="I234" s="161"/>
      <c r="J234" s="161"/>
      <c r="AC234" s="132" t="s">
        <v>1975</v>
      </c>
      <c r="AD234" s="167" t="s">
        <v>3573</v>
      </c>
      <c r="AE234" s="153" t="s">
        <v>3574</v>
      </c>
      <c r="AF234" s="153" t="s">
        <v>3574</v>
      </c>
      <c r="AG234" s="135" t="s">
        <v>1979</v>
      </c>
      <c r="AH234" s="191" t="s">
        <v>2065</v>
      </c>
      <c r="AI234" s="192" t="s">
        <v>3572</v>
      </c>
      <c r="AJ234" s="192" t="s">
        <v>3568</v>
      </c>
      <c r="AK234" s="192" t="s">
        <v>3569</v>
      </c>
      <c r="AL234" s="161"/>
      <c r="AM234" s="234"/>
      <c r="AN234" s="234"/>
    </row>
    <row r="235" spans="6:40">
      <c r="F235" s="161"/>
      <c r="G235" s="161"/>
      <c r="H235" s="161"/>
      <c r="I235" s="161"/>
      <c r="J235" s="161"/>
      <c r="AC235" s="132" t="s">
        <v>1975</v>
      </c>
      <c r="AD235" s="152" t="s">
        <v>3575</v>
      </c>
      <c r="AE235" s="153" t="s">
        <v>3576</v>
      </c>
      <c r="AF235" s="153" t="s">
        <v>3577</v>
      </c>
      <c r="AG235" s="135" t="s">
        <v>2192</v>
      </c>
      <c r="AH235" s="136" t="s">
        <v>1980</v>
      </c>
      <c r="AI235" s="154" t="s">
        <v>3578</v>
      </c>
      <c r="AJ235" s="137" t="s">
        <v>3579</v>
      </c>
      <c r="AK235" s="137" t="s">
        <v>3579</v>
      </c>
      <c r="AL235" s="161"/>
      <c r="AM235" s="234"/>
      <c r="AN235" s="234"/>
    </row>
    <row r="236" spans="6:40">
      <c r="F236" s="161"/>
      <c r="G236" s="161"/>
      <c r="H236" s="161"/>
      <c r="I236" s="161"/>
      <c r="J236" s="161"/>
      <c r="AC236" s="132" t="s">
        <v>1975</v>
      </c>
      <c r="AD236" s="133" t="s">
        <v>167</v>
      </c>
      <c r="AE236" s="134" t="s">
        <v>3580</v>
      </c>
      <c r="AF236" s="134" t="s">
        <v>3581</v>
      </c>
      <c r="AG236" s="135" t="s">
        <v>2503</v>
      </c>
      <c r="AH236" s="136" t="s">
        <v>1980</v>
      </c>
      <c r="AI236" s="154" t="s">
        <v>3582</v>
      </c>
      <c r="AJ236" s="137" t="s">
        <v>3583</v>
      </c>
      <c r="AK236" s="137" t="s">
        <v>3584</v>
      </c>
      <c r="AL236" s="161"/>
      <c r="AM236" s="234"/>
      <c r="AN236" s="234"/>
    </row>
    <row r="237" spans="6:40">
      <c r="F237" s="161"/>
      <c r="G237" s="161"/>
      <c r="H237" s="161"/>
      <c r="I237" s="161"/>
      <c r="J237" s="161"/>
      <c r="AC237" s="132" t="s">
        <v>1975</v>
      </c>
      <c r="AD237" s="167" t="s">
        <v>110</v>
      </c>
      <c r="AE237" s="153" t="s">
        <v>3585</v>
      </c>
      <c r="AF237" s="153" t="s">
        <v>3586</v>
      </c>
      <c r="AG237" s="135" t="s">
        <v>2503</v>
      </c>
      <c r="AH237" s="188" t="s">
        <v>1980</v>
      </c>
      <c r="AI237" s="241" t="s">
        <v>3587</v>
      </c>
      <c r="AJ237" s="241" t="s">
        <v>3588</v>
      </c>
      <c r="AK237" s="241" t="s">
        <v>3589</v>
      </c>
      <c r="AL237" s="161"/>
      <c r="AM237" s="234"/>
      <c r="AN237" s="234"/>
    </row>
    <row r="238" spans="6:40">
      <c r="F238" s="161"/>
      <c r="G238" s="161"/>
      <c r="H238" s="161"/>
      <c r="I238" s="161"/>
      <c r="J238" s="161"/>
      <c r="AC238" s="132" t="s">
        <v>1975</v>
      </c>
      <c r="AD238" s="167" t="s">
        <v>674</v>
      </c>
      <c r="AE238" s="153" t="s">
        <v>3590</v>
      </c>
      <c r="AF238" s="153" t="s">
        <v>3591</v>
      </c>
      <c r="AG238" s="135" t="s">
        <v>2095</v>
      </c>
      <c r="AH238" s="188" t="s">
        <v>1980</v>
      </c>
      <c r="AI238" s="249" t="s">
        <v>3587</v>
      </c>
      <c r="AJ238" s="241" t="s">
        <v>3589</v>
      </c>
      <c r="AK238" s="241" t="s">
        <v>3589</v>
      </c>
      <c r="AL238" s="161"/>
      <c r="AM238" s="234"/>
      <c r="AN238" s="234"/>
    </row>
    <row r="239" spans="6:40">
      <c r="F239" s="161"/>
      <c r="G239" s="161"/>
      <c r="H239" s="161"/>
      <c r="I239" s="161"/>
      <c r="J239" s="161"/>
      <c r="AC239" s="132" t="s">
        <v>1975</v>
      </c>
      <c r="AD239" s="152" t="s">
        <v>326</v>
      </c>
      <c r="AE239" s="153" t="s">
        <v>3592</v>
      </c>
      <c r="AF239" s="153" t="s">
        <v>3593</v>
      </c>
      <c r="AG239" s="135"/>
      <c r="AH239" s="117" t="s">
        <v>2250</v>
      </c>
      <c r="AI239" s="175" t="s">
        <v>3594</v>
      </c>
      <c r="AJ239" s="175" t="s">
        <v>3595</v>
      </c>
      <c r="AK239" s="175" t="s">
        <v>3596</v>
      </c>
      <c r="AL239" s="161"/>
      <c r="AM239" s="234"/>
      <c r="AN239" s="234"/>
    </row>
    <row r="240" spans="6:40">
      <c r="F240" s="161"/>
      <c r="G240" s="161"/>
      <c r="H240" s="161"/>
      <c r="I240" s="161"/>
      <c r="J240" s="161"/>
      <c r="AC240" s="132" t="s">
        <v>1975</v>
      </c>
      <c r="AD240" s="152" t="s">
        <v>154</v>
      </c>
      <c r="AE240" s="153" t="s">
        <v>3531</v>
      </c>
      <c r="AF240" s="153" t="s">
        <v>3597</v>
      </c>
      <c r="AG240" s="135"/>
      <c r="AH240" s="136" t="s">
        <v>1980</v>
      </c>
      <c r="AI240" s="175" t="s">
        <v>3598</v>
      </c>
      <c r="AJ240" s="175" t="s">
        <v>3599</v>
      </c>
      <c r="AK240" s="175" t="s">
        <v>3600</v>
      </c>
      <c r="AL240" s="161"/>
      <c r="AM240" s="234"/>
      <c r="AN240" s="234"/>
    </row>
    <row r="241" spans="6:40">
      <c r="F241" s="161"/>
      <c r="G241" s="161"/>
      <c r="H241" s="161"/>
      <c r="I241" s="161"/>
      <c r="J241" s="161"/>
      <c r="AC241" s="132" t="s">
        <v>1975</v>
      </c>
      <c r="AD241" s="167" t="s">
        <v>23</v>
      </c>
      <c r="AE241" s="153" t="s">
        <v>3601</v>
      </c>
      <c r="AF241" s="153" t="s">
        <v>3602</v>
      </c>
      <c r="AG241" s="135" t="s">
        <v>2503</v>
      </c>
      <c r="AH241" s="136" t="s">
        <v>1980</v>
      </c>
      <c r="AI241" s="175" t="s">
        <v>3603</v>
      </c>
      <c r="AJ241" s="175"/>
      <c r="AK241" s="175" t="s">
        <v>3604</v>
      </c>
      <c r="AL241" s="161"/>
      <c r="AM241" s="234"/>
      <c r="AN241" s="234"/>
    </row>
    <row r="242" spans="6:40">
      <c r="F242" s="161"/>
      <c r="G242" s="161"/>
      <c r="H242" s="161"/>
      <c r="I242" s="161"/>
      <c r="J242" s="161"/>
      <c r="AC242" s="132" t="s">
        <v>1975</v>
      </c>
      <c r="AD242" s="133" t="s">
        <v>3605</v>
      </c>
      <c r="AE242" s="134" t="s">
        <v>3606</v>
      </c>
      <c r="AF242" s="134" t="s">
        <v>3607</v>
      </c>
      <c r="AG242" s="135" t="s">
        <v>1979</v>
      </c>
      <c r="AH242" s="136" t="s">
        <v>1980</v>
      </c>
      <c r="AI242" s="175" t="s">
        <v>3608</v>
      </c>
      <c r="AJ242" s="175" t="s">
        <v>3609</v>
      </c>
      <c r="AK242" s="175" t="s">
        <v>3609</v>
      </c>
      <c r="AL242" s="161"/>
      <c r="AM242" s="234"/>
      <c r="AN242" s="234"/>
    </row>
    <row r="243" spans="6:40">
      <c r="F243" s="161"/>
      <c r="G243" s="161"/>
      <c r="H243" s="161"/>
      <c r="I243" s="161"/>
      <c r="J243" s="161"/>
      <c r="AC243" s="132" t="s">
        <v>1975</v>
      </c>
      <c r="AD243" s="167" t="s">
        <v>3610</v>
      </c>
      <c r="AE243" s="153" t="s">
        <v>3611</v>
      </c>
      <c r="AF243" s="153" t="s">
        <v>3611</v>
      </c>
      <c r="AG243" s="135" t="s">
        <v>1979</v>
      </c>
      <c r="AH243" s="136"/>
      <c r="AI243" s="175"/>
      <c r="AJ243" s="175"/>
      <c r="AK243" s="175"/>
      <c r="AL243" s="161"/>
      <c r="AM243" s="234"/>
      <c r="AN243" s="234"/>
    </row>
    <row r="244" spans="6:40">
      <c r="AC244" s="132" t="s">
        <v>1975</v>
      </c>
      <c r="AD244" s="167" t="s">
        <v>192</v>
      </c>
      <c r="AE244" s="153" t="s">
        <v>3612</v>
      </c>
      <c r="AF244" s="153" t="s">
        <v>3613</v>
      </c>
      <c r="AG244" s="135" t="s">
        <v>2095</v>
      </c>
      <c r="AH244" s="191" t="s">
        <v>2065</v>
      </c>
      <c r="AI244" s="192" t="s">
        <v>3614</v>
      </c>
      <c r="AJ244" s="192" t="s">
        <v>3615</v>
      </c>
      <c r="AK244" s="250" t="s">
        <v>3616</v>
      </c>
    </row>
    <row r="245" spans="6:40">
      <c r="AC245" s="132" t="s">
        <v>1975</v>
      </c>
      <c r="AD245" s="167" t="s">
        <v>3617</v>
      </c>
      <c r="AE245" s="153" t="s">
        <v>3618</v>
      </c>
      <c r="AF245" s="153" t="s">
        <v>3619</v>
      </c>
      <c r="AG245" s="135" t="s">
        <v>1979</v>
      </c>
      <c r="AH245" s="191" t="s">
        <v>2065</v>
      </c>
      <c r="AI245" s="192" t="s">
        <v>3614</v>
      </c>
      <c r="AJ245" s="192" t="s">
        <v>1936</v>
      </c>
      <c r="AK245" s="250" t="s">
        <v>3616</v>
      </c>
    </row>
    <row r="246" spans="6:40">
      <c r="AC246" s="132" t="s">
        <v>1975</v>
      </c>
      <c r="AD246" s="133" t="s">
        <v>3620</v>
      </c>
      <c r="AE246" s="134" t="s">
        <v>3621</v>
      </c>
      <c r="AF246" s="134" t="s">
        <v>3622</v>
      </c>
      <c r="AG246" s="135" t="s">
        <v>1979</v>
      </c>
      <c r="AH246" s="136" t="s">
        <v>1980</v>
      </c>
      <c r="AI246" s="175" t="s">
        <v>3623</v>
      </c>
      <c r="AJ246" s="175"/>
      <c r="AK246" s="175" t="s">
        <v>3624</v>
      </c>
    </row>
    <row r="247" spans="6:40">
      <c r="AC247" s="132" t="s">
        <v>1975</v>
      </c>
      <c r="AD247" s="167" t="s">
        <v>3625</v>
      </c>
      <c r="AE247" s="153" t="s">
        <v>3626</v>
      </c>
      <c r="AF247" s="153" t="s">
        <v>3627</v>
      </c>
      <c r="AG247" s="135" t="s">
        <v>1979</v>
      </c>
      <c r="AH247" s="117" t="s">
        <v>2250</v>
      </c>
      <c r="AI247" s="175" t="s">
        <v>3628</v>
      </c>
      <c r="AJ247" s="175" t="s">
        <v>2516</v>
      </c>
      <c r="AK247" s="175" t="s">
        <v>3629</v>
      </c>
    </row>
    <row r="248" spans="6:40">
      <c r="AC248" s="152" t="s">
        <v>1975</v>
      </c>
      <c r="AD248" s="251" t="s">
        <v>33</v>
      </c>
      <c r="AE248" s="238" t="s">
        <v>3630</v>
      </c>
      <c r="AF248" s="238" t="s">
        <v>3631</v>
      </c>
      <c r="AG248" s="134" t="s">
        <v>2503</v>
      </c>
      <c r="AH248" s="136" t="s">
        <v>1980</v>
      </c>
      <c r="AI248" s="137" t="s">
        <v>3632</v>
      </c>
      <c r="AJ248" s="137" t="s">
        <v>2378</v>
      </c>
      <c r="AK248" s="175" t="s">
        <v>3633</v>
      </c>
    </row>
    <row r="249" spans="6:40">
      <c r="AC249" s="152" t="s">
        <v>1975</v>
      </c>
      <c r="AD249" s="152" t="s">
        <v>119</v>
      </c>
      <c r="AE249" s="153" t="s">
        <v>3634</v>
      </c>
      <c r="AF249" s="153" t="s">
        <v>3634</v>
      </c>
      <c r="AG249" s="134"/>
      <c r="AH249" s="136" t="s">
        <v>1980</v>
      </c>
      <c r="AI249" s="137" t="s">
        <v>3635</v>
      </c>
      <c r="AJ249" s="137" t="s">
        <v>2411</v>
      </c>
      <c r="AK249" s="137" t="s">
        <v>2411</v>
      </c>
    </row>
    <row r="250" spans="6:40">
      <c r="AC250" s="163" t="s">
        <v>1975</v>
      </c>
      <c r="AD250" s="163" t="s">
        <v>3636</v>
      </c>
      <c r="AE250" s="137" t="s">
        <v>3636</v>
      </c>
      <c r="AF250" s="137" t="s">
        <v>3637</v>
      </c>
      <c r="AG250" s="163"/>
      <c r="AH250" s="155" t="s">
        <v>2250</v>
      </c>
      <c r="AI250" s="155" t="s">
        <v>3638</v>
      </c>
      <c r="AJ250" s="155" t="s">
        <v>3515</v>
      </c>
      <c r="AK250" s="155" t="s">
        <v>3639</v>
      </c>
    </row>
    <row r="251" spans="6:40">
      <c r="AC251" s="152" t="s">
        <v>1975</v>
      </c>
      <c r="AD251" s="152" t="s">
        <v>3640</v>
      </c>
      <c r="AE251" s="153" t="s">
        <v>3641</v>
      </c>
      <c r="AF251" s="153" t="s">
        <v>3642</v>
      </c>
      <c r="AG251" s="134" t="s">
        <v>2095</v>
      </c>
      <c r="AH251" s="17" t="s">
        <v>1980</v>
      </c>
      <c r="AI251" s="155" t="s">
        <v>3643</v>
      </c>
      <c r="AJ251" s="155" t="s">
        <v>2229</v>
      </c>
      <c r="AK251" s="155" t="s">
        <v>2379</v>
      </c>
    </row>
    <row r="252" spans="6:40">
      <c r="AC252" s="132" t="s">
        <v>1975</v>
      </c>
      <c r="AD252" s="167" t="s">
        <v>3644</v>
      </c>
      <c r="AE252" s="153" t="s">
        <v>3645</v>
      </c>
      <c r="AF252" s="153" t="s">
        <v>3646</v>
      </c>
      <c r="AG252" s="135" t="s">
        <v>2192</v>
      </c>
      <c r="AH252" s="155" t="s">
        <v>2355</v>
      </c>
      <c r="AI252" s="155" t="s">
        <v>3647</v>
      </c>
      <c r="AJ252" s="155" t="s">
        <v>3648</v>
      </c>
      <c r="AK252" s="155" t="s">
        <v>3648</v>
      </c>
    </row>
    <row r="253" spans="6:40">
      <c r="AC253" s="132" t="s">
        <v>1975</v>
      </c>
      <c r="AD253" s="152" t="s">
        <v>790</v>
      </c>
      <c r="AE253" s="153" t="s">
        <v>3649</v>
      </c>
      <c r="AF253" s="153" t="s">
        <v>3650</v>
      </c>
      <c r="AG253" s="135"/>
      <c r="AH253" s="17" t="s">
        <v>1980</v>
      </c>
      <c r="AI253" s="155" t="s">
        <v>3651</v>
      </c>
      <c r="AJ253" s="155"/>
      <c r="AK253" s="17" t="s">
        <v>3652</v>
      </c>
    </row>
    <row r="254" spans="6:40">
      <c r="AC254" s="132" t="s">
        <v>1975</v>
      </c>
      <c r="AD254" s="167" t="s">
        <v>3653</v>
      </c>
      <c r="AE254" s="153" t="s">
        <v>3654</v>
      </c>
      <c r="AF254" s="153" t="s">
        <v>3655</v>
      </c>
      <c r="AG254" s="135" t="s">
        <v>1979</v>
      </c>
      <c r="AH254" s="17" t="s">
        <v>1980</v>
      </c>
      <c r="AI254" s="17" t="s">
        <v>3652</v>
      </c>
      <c r="AJ254" s="17" t="s">
        <v>3652</v>
      </c>
      <c r="AK254" s="17" t="s">
        <v>3652</v>
      </c>
    </row>
    <row r="255" spans="6:40">
      <c r="AC255" s="132" t="s">
        <v>1975</v>
      </c>
      <c r="AD255" s="167" t="s">
        <v>3656</v>
      </c>
      <c r="AE255" s="153" t="s">
        <v>3657</v>
      </c>
      <c r="AF255" s="153" t="s">
        <v>3658</v>
      </c>
      <c r="AG255" s="135" t="s">
        <v>1979</v>
      </c>
      <c r="AH255" s="17" t="s">
        <v>1980</v>
      </c>
      <c r="AI255" s="155" t="s">
        <v>3659</v>
      </c>
      <c r="AJ255" s="155" t="s">
        <v>3660</v>
      </c>
      <c r="AK255" s="155" t="s">
        <v>3660</v>
      </c>
    </row>
    <row r="256" spans="6:40">
      <c r="AC256" s="132" t="s">
        <v>1975</v>
      </c>
      <c r="AD256" s="167" t="s">
        <v>67</v>
      </c>
      <c r="AE256" s="153" t="s">
        <v>3661</v>
      </c>
      <c r="AF256" s="153" t="s">
        <v>3662</v>
      </c>
      <c r="AG256" s="135" t="s">
        <v>2095</v>
      </c>
      <c r="AH256" s="17" t="s">
        <v>1980</v>
      </c>
      <c r="AI256" s="17" t="s">
        <v>3663</v>
      </c>
      <c r="AJ256" s="17" t="s">
        <v>3664</v>
      </c>
      <c r="AK256" s="17" t="s">
        <v>3665</v>
      </c>
    </row>
    <row r="257" spans="28:37">
      <c r="AC257" s="132" t="s">
        <v>1975</v>
      </c>
      <c r="AD257" s="152" t="s">
        <v>735</v>
      </c>
      <c r="AE257" s="153" t="s">
        <v>3666</v>
      </c>
      <c r="AF257" s="153" t="s">
        <v>3667</v>
      </c>
      <c r="AG257" s="135" t="s">
        <v>1979</v>
      </c>
      <c r="AH257" s="17" t="s">
        <v>1980</v>
      </c>
      <c r="AI257" s="17" t="s">
        <v>3668</v>
      </c>
      <c r="AJ257" s="17" t="s">
        <v>3669</v>
      </c>
      <c r="AK257" s="17" t="s">
        <v>3670</v>
      </c>
    </row>
    <row r="258" spans="28:37">
      <c r="AC258" s="132" t="s">
        <v>1975</v>
      </c>
      <c r="AD258" s="152" t="s">
        <v>3671</v>
      </c>
      <c r="AE258" s="153" t="s">
        <v>3672</v>
      </c>
      <c r="AF258" s="153" t="s">
        <v>3673</v>
      </c>
      <c r="AG258" s="135" t="s">
        <v>1979</v>
      </c>
      <c r="AH258" s="17" t="s">
        <v>1980</v>
      </c>
      <c r="AI258" s="17" t="s">
        <v>3674</v>
      </c>
      <c r="AJ258" s="17" t="s">
        <v>3675</v>
      </c>
      <c r="AK258" s="17" t="s">
        <v>3675</v>
      </c>
    </row>
    <row r="259" spans="28:37">
      <c r="AC259" s="132" t="s">
        <v>1975</v>
      </c>
      <c r="AD259" s="167" t="s">
        <v>3676</v>
      </c>
      <c r="AE259" s="153" t="s">
        <v>3677</v>
      </c>
      <c r="AF259" s="153" t="s">
        <v>3678</v>
      </c>
      <c r="AG259" s="135" t="s">
        <v>1979</v>
      </c>
      <c r="AH259" s="17" t="s">
        <v>1980</v>
      </c>
      <c r="AI259" s="17" t="s">
        <v>3679</v>
      </c>
      <c r="AJ259" s="17" t="s">
        <v>3680</v>
      </c>
      <c r="AK259" s="17" t="s">
        <v>3681</v>
      </c>
    </row>
    <row r="260" spans="28:37">
      <c r="AC260" s="132" t="s">
        <v>1975</v>
      </c>
      <c r="AD260" s="167" t="s">
        <v>181</v>
      </c>
      <c r="AE260" s="153" t="s">
        <v>3510</v>
      </c>
      <c r="AF260" s="153" t="s">
        <v>3510</v>
      </c>
      <c r="AG260" s="135"/>
      <c r="AH260" s="17" t="s">
        <v>1980</v>
      </c>
      <c r="AI260" s="17" t="s">
        <v>3682</v>
      </c>
      <c r="AJ260" s="17" t="s">
        <v>3683</v>
      </c>
      <c r="AK260" s="17" t="s">
        <v>3684</v>
      </c>
    </row>
    <row r="261" spans="28:37">
      <c r="AB261" s="15" t="s">
        <v>3685</v>
      </c>
      <c r="AC261" s="132" t="s">
        <v>1975</v>
      </c>
      <c r="AD261" s="167" t="s">
        <v>262</v>
      </c>
      <c r="AE261" s="153" t="s">
        <v>2163</v>
      </c>
      <c r="AF261" s="153" t="s">
        <v>3686</v>
      </c>
      <c r="AG261" s="135" t="s">
        <v>2095</v>
      </c>
      <c r="AH261" s="17" t="s">
        <v>1980</v>
      </c>
      <c r="AI261" s="17" t="s">
        <v>3682</v>
      </c>
      <c r="AJ261" s="17" t="s">
        <v>3687</v>
      </c>
      <c r="AK261" s="17" t="s">
        <v>3684</v>
      </c>
    </row>
    <row r="262" spans="28:37">
      <c r="AC262" s="162" t="s">
        <v>2901</v>
      </c>
      <c r="AD262" s="163">
        <v>19</v>
      </c>
      <c r="AE262" s="137">
        <v>19</v>
      </c>
      <c r="AF262" s="252" t="s">
        <v>3688</v>
      </c>
      <c r="AG262" s="164"/>
      <c r="AH262" s="17" t="s">
        <v>1980</v>
      </c>
      <c r="AI262" s="17" t="s">
        <v>3689</v>
      </c>
      <c r="AJ262" s="17" t="s">
        <v>3690</v>
      </c>
      <c r="AK262" s="17" t="s">
        <v>3691</v>
      </c>
    </row>
    <row r="263" spans="28:37">
      <c r="AC263" s="162" t="s">
        <v>2901</v>
      </c>
      <c r="AD263" s="163" t="s">
        <v>1566</v>
      </c>
      <c r="AE263" s="137" t="s">
        <v>3692</v>
      </c>
      <c r="AF263" s="137" t="s">
        <v>3693</v>
      </c>
      <c r="AG263" s="164"/>
      <c r="AH263" s="17" t="s">
        <v>1980</v>
      </c>
      <c r="AI263" s="17" t="s">
        <v>3694</v>
      </c>
      <c r="AJ263" s="17" t="s">
        <v>3695</v>
      </c>
      <c r="AK263" s="17" t="s">
        <v>3696</v>
      </c>
    </row>
    <row r="264" spans="28:37">
      <c r="AC264" s="162" t="s">
        <v>2901</v>
      </c>
      <c r="AD264" s="163" t="s">
        <v>14</v>
      </c>
      <c r="AE264" s="137" t="s">
        <v>3697</v>
      </c>
      <c r="AF264" s="137" t="s">
        <v>3698</v>
      </c>
      <c r="AG264" s="164"/>
      <c r="AH264" s="17" t="s">
        <v>1980</v>
      </c>
      <c r="AI264" s="17" t="s">
        <v>3699</v>
      </c>
      <c r="AJ264" s="17" t="s">
        <v>3700</v>
      </c>
      <c r="AK264" s="17" t="s">
        <v>3681</v>
      </c>
    </row>
    <row r="265" spans="28:37">
      <c r="AC265" s="162" t="s">
        <v>2901</v>
      </c>
      <c r="AD265" s="163" t="s">
        <v>1838</v>
      </c>
      <c r="AE265" s="137" t="s">
        <v>3701</v>
      </c>
      <c r="AF265" s="137" t="s">
        <v>3702</v>
      </c>
      <c r="AG265" s="164"/>
      <c r="AH265" s="17" t="s">
        <v>1980</v>
      </c>
      <c r="AI265" s="17" t="s">
        <v>3703</v>
      </c>
      <c r="AJ265" s="17" t="s">
        <v>3410</v>
      </c>
      <c r="AK265" s="17" t="s">
        <v>3681</v>
      </c>
    </row>
    <row r="266" spans="28:37">
      <c r="AC266" s="162" t="s">
        <v>2901</v>
      </c>
      <c r="AD266" s="163" t="s">
        <v>1001</v>
      </c>
      <c r="AE266" s="137" t="s">
        <v>3704</v>
      </c>
      <c r="AF266" s="137" t="s">
        <v>3704</v>
      </c>
      <c r="AG266" s="164"/>
      <c r="AH266" s="17" t="s">
        <v>1980</v>
      </c>
      <c r="AI266" s="17" t="s">
        <v>3703</v>
      </c>
      <c r="AJ266" s="17" t="s">
        <v>3681</v>
      </c>
      <c r="AK266" s="17" t="s">
        <v>3681</v>
      </c>
    </row>
    <row r="267" spans="28:37">
      <c r="AC267" s="162" t="s">
        <v>2901</v>
      </c>
      <c r="AD267" s="163" t="s">
        <v>727</v>
      </c>
      <c r="AE267" s="137" t="s">
        <v>3705</v>
      </c>
      <c r="AF267" s="137" t="s">
        <v>3705</v>
      </c>
      <c r="AG267" s="164"/>
      <c r="AH267" s="17" t="s">
        <v>1980</v>
      </c>
      <c r="AI267" s="17" t="s">
        <v>3706</v>
      </c>
      <c r="AJ267" s="17" t="s">
        <v>3707</v>
      </c>
      <c r="AK267" s="17" t="s">
        <v>3708</v>
      </c>
    </row>
    <row r="268" spans="28:37">
      <c r="AC268" s="162" t="s">
        <v>2901</v>
      </c>
      <c r="AD268" s="163" t="s">
        <v>1766</v>
      </c>
      <c r="AE268" s="137" t="s">
        <v>2364</v>
      </c>
      <c r="AF268" s="137" t="s">
        <v>2911</v>
      </c>
      <c r="AG268" s="164"/>
      <c r="AH268" s="17" t="s">
        <v>1980</v>
      </c>
      <c r="AI268" s="17" t="s">
        <v>3709</v>
      </c>
      <c r="AJ268" s="17" t="s">
        <v>3710</v>
      </c>
      <c r="AK268" s="17" t="s">
        <v>3711</v>
      </c>
    </row>
    <row r="269" spans="28:37">
      <c r="AC269" s="162" t="s">
        <v>2901</v>
      </c>
      <c r="AD269" s="163" t="s">
        <v>1689</v>
      </c>
      <c r="AE269" s="137" t="s">
        <v>3712</v>
      </c>
      <c r="AF269" s="137" t="s">
        <v>3712</v>
      </c>
      <c r="AG269" s="164"/>
      <c r="AH269" s="253" t="s">
        <v>2065</v>
      </c>
      <c r="AI269" s="17" t="s">
        <v>3713</v>
      </c>
      <c r="AJ269" s="17" t="s">
        <v>3714</v>
      </c>
      <c r="AK269" s="17" t="s">
        <v>3715</v>
      </c>
    </row>
    <row r="270" spans="28:37">
      <c r="AC270" s="162" t="s">
        <v>2901</v>
      </c>
      <c r="AD270" s="163" t="s">
        <v>691</v>
      </c>
      <c r="AE270" s="137" t="s">
        <v>691</v>
      </c>
      <c r="AF270" s="137" t="s">
        <v>691</v>
      </c>
      <c r="AG270" s="164"/>
      <c r="AH270" s="253" t="s">
        <v>2065</v>
      </c>
      <c r="AI270" s="254" t="s">
        <v>3716</v>
      </c>
      <c r="AJ270" s="254" t="s">
        <v>3717</v>
      </c>
      <c r="AK270" s="254" t="s">
        <v>3718</v>
      </c>
    </row>
    <row r="271" spans="28:37">
      <c r="AC271" s="162" t="s">
        <v>2901</v>
      </c>
      <c r="AD271" s="163" t="s">
        <v>35</v>
      </c>
      <c r="AE271" s="137" t="s">
        <v>3073</v>
      </c>
      <c r="AF271" s="137" t="s">
        <v>3073</v>
      </c>
      <c r="AG271" s="164"/>
      <c r="AH271" s="253" t="s">
        <v>2065</v>
      </c>
      <c r="AI271" s="254" t="s">
        <v>3719</v>
      </c>
      <c r="AJ271" s="254" t="s">
        <v>3661</v>
      </c>
      <c r="AK271" s="254" t="s">
        <v>3720</v>
      </c>
    </row>
    <row r="272" spans="28:37">
      <c r="AC272" s="162" t="s">
        <v>2901</v>
      </c>
      <c r="AD272" s="163" t="s">
        <v>1491</v>
      </c>
      <c r="AE272" s="137" t="s">
        <v>3721</v>
      </c>
      <c r="AF272" s="137" t="s">
        <v>3249</v>
      </c>
      <c r="AG272" s="164"/>
      <c r="AH272" s="17" t="s">
        <v>1980</v>
      </c>
      <c r="AI272" s="254" t="s">
        <v>3722</v>
      </c>
      <c r="AJ272" s="254" t="s">
        <v>3723</v>
      </c>
      <c r="AK272" s="254" t="s">
        <v>3724</v>
      </c>
    </row>
    <row r="273" spans="29:37">
      <c r="AC273" s="162" t="s">
        <v>2901</v>
      </c>
      <c r="AD273" s="163" t="s">
        <v>1474</v>
      </c>
      <c r="AE273" s="137" t="s">
        <v>3070</v>
      </c>
      <c r="AF273" s="137" t="s">
        <v>3725</v>
      </c>
      <c r="AG273" s="164"/>
      <c r="AH273" s="17" t="s">
        <v>1980</v>
      </c>
      <c r="AI273" s="17" t="s">
        <v>3726</v>
      </c>
      <c r="AJ273" s="17" t="s">
        <v>3661</v>
      </c>
      <c r="AK273" s="17" t="s">
        <v>3727</v>
      </c>
    </row>
    <row r="274" spans="29:37">
      <c r="AC274" s="162" t="s">
        <v>2901</v>
      </c>
      <c r="AD274" s="163" t="s">
        <v>50</v>
      </c>
      <c r="AE274" s="137" t="s">
        <v>3728</v>
      </c>
      <c r="AF274" s="137" t="s">
        <v>3729</v>
      </c>
      <c r="AG274" s="164"/>
      <c r="AH274" s="253" t="s">
        <v>2065</v>
      </c>
      <c r="AI274" s="17" t="s">
        <v>3730</v>
      </c>
      <c r="AJ274" s="17" t="s">
        <v>3730</v>
      </c>
      <c r="AK274" s="17" t="s">
        <v>3731</v>
      </c>
    </row>
    <row r="275" spans="29:37">
      <c r="AC275" s="162" t="s">
        <v>2901</v>
      </c>
      <c r="AD275" s="163" t="s">
        <v>1324</v>
      </c>
      <c r="AE275" s="137" t="s">
        <v>3732</v>
      </c>
      <c r="AF275" s="137" t="s">
        <v>3733</v>
      </c>
      <c r="AG275" s="164"/>
      <c r="AH275" s="17" t="s">
        <v>1980</v>
      </c>
      <c r="AI275" s="254" t="s">
        <v>3734</v>
      </c>
      <c r="AJ275" s="254" t="s">
        <v>3730</v>
      </c>
      <c r="AK275" s="254" t="s">
        <v>3731</v>
      </c>
    </row>
    <row r="276" spans="29:37">
      <c r="AC276" s="162" t="s">
        <v>2901</v>
      </c>
      <c r="AD276" s="163" t="s">
        <v>1599</v>
      </c>
      <c r="AE276" s="137" t="s">
        <v>1599</v>
      </c>
      <c r="AF276" s="137" t="s">
        <v>3735</v>
      </c>
      <c r="AG276" s="164"/>
      <c r="AH276" s="17" t="s">
        <v>2065</v>
      </c>
      <c r="AI276" s="155" t="s">
        <v>3734</v>
      </c>
      <c r="AJ276" s="155" t="s">
        <v>3736</v>
      </c>
      <c r="AK276" s="155" t="s">
        <v>3731</v>
      </c>
    </row>
    <row r="277" spans="29:37">
      <c r="AC277" s="162" t="s">
        <v>2901</v>
      </c>
      <c r="AD277" s="163" t="s">
        <v>960</v>
      </c>
      <c r="AE277" s="137" t="s">
        <v>2434</v>
      </c>
      <c r="AF277" s="137" t="s">
        <v>3737</v>
      </c>
      <c r="AG277" s="164"/>
      <c r="AH277" s="17" t="s">
        <v>1980</v>
      </c>
      <c r="AI277" s="155" t="s">
        <v>3738</v>
      </c>
      <c r="AJ277" s="155" t="s">
        <v>3739</v>
      </c>
      <c r="AK277" s="155" t="s">
        <v>3740</v>
      </c>
    </row>
    <row r="278" spans="29:37">
      <c r="AC278" s="162" t="s">
        <v>2901</v>
      </c>
      <c r="AD278" s="163" t="s">
        <v>1631</v>
      </c>
      <c r="AE278" s="137" t="s">
        <v>2434</v>
      </c>
      <c r="AF278" s="137" t="s">
        <v>3741</v>
      </c>
      <c r="AG278" s="164"/>
      <c r="AH278" s="17" t="s">
        <v>1980</v>
      </c>
      <c r="AI278" s="155" t="s">
        <v>3742</v>
      </c>
      <c r="AJ278" s="155" t="s">
        <v>3743</v>
      </c>
      <c r="AK278" s="155" t="s">
        <v>3744</v>
      </c>
    </row>
    <row r="279" spans="29:37">
      <c r="AC279" s="162" t="s">
        <v>2901</v>
      </c>
      <c r="AD279" s="163" t="s">
        <v>1738</v>
      </c>
      <c r="AE279" s="137" t="s">
        <v>3745</v>
      </c>
      <c r="AF279" s="137" t="s">
        <v>3746</v>
      </c>
      <c r="AG279" s="164"/>
      <c r="AH279" s="17" t="s">
        <v>1980</v>
      </c>
      <c r="AI279" s="155" t="s">
        <v>3747</v>
      </c>
      <c r="AJ279" s="155" t="s">
        <v>3748</v>
      </c>
      <c r="AK279" s="155" t="s">
        <v>3749</v>
      </c>
    </row>
    <row r="280" spans="29:37">
      <c r="AC280" s="162" t="s">
        <v>2901</v>
      </c>
      <c r="AD280" s="163" t="s">
        <v>1516</v>
      </c>
      <c r="AE280" s="137" t="s">
        <v>3750</v>
      </c>
      <c r="AF280" s="137" t="s">
        <v>3750</v>
      </c>
      <c r="AG280" s="164"/>
      <c r="AH280" s="17" t="s">
        <v>1980</v>
      </c>
      <c r="AI280" s="17" t="s">
        <v>3751</v>
      </c>
      <c r="AJ280" s="17" t="s">
        <v>3752</v>
      </c>
      <c r="AK280" s="17" t="s">
        <v>3753</v>
      </c>
    </row>
    <row r="281" spans="29:37">
      <c r="AC281" s="162" t="s">
        <v>2901</v>
      </c>
      <c r="AD281" s="163" t="s">
        <v>408</v>
      </c>
      <c r="AE281" s="137" t="s">
        <v>3754</v>
      </c>
      <c r="AF281" s="137" t="s">
        <v>3754</v>
      </c>
      <c r="AG281" s="164"/>
      <c r="AH281" s="17" t="s">
        <v>1980</v>
      </c>
      <c r="AI281" s="17" t="s">
        <v>3755</v>
      </c>
      <c r="AJ281" s="17" t="s">
        <v>3756</v>
      </c>
      <c r="AK281" s="17" t="s">
        <v>3757</v>
      </c>
    </row>
    <row r="282" spans="29:37">
      <c r="AC282" s="162" t="s">
        <v>2901</v>
      </c>
      <c r="AD282" s="163" t="s">
        <v>941</v>
      </c>
      <c r="AE282" s="137" t="s">
        <v>941</v>
      </c>
      <c r="AF282" s="137" t="s">
        <v>3758</v>
      </c>
      <c r="AG282" s="164"/>
      <c r="AH282" s="17" t="s">
        <v>1980</v>
      </c>
      <c r="AI282" s="17" t="s">
        <v>3759</v>
      </c>
      <c r="AJ282" s="17" t="s">
        <v>3760</v>
      </c>
      <c r="AK282" s="17" t="s">
        <v>3761</v>
      </c>
    </row>
    <row r="283" spans="29:37">
      <c r="AC283" s="162" t="s">
        <v>2901</v>
      </c>
      <c r="AD283" s="163" t="s">
        <v>1317</v>
      </c>
      <c r="AE283" s="137" t="s">
        <v>3762</v>
      </c>
      <c r="AF283" s="137" t="s">
        <v>3762</v>
      </c>
      <c r="AG283" s="164"/>
      <c r="AI283" s="155"/>
      <c r="AJ283" s="155"/>
      <c r="AK283" s="155"/>
    </row>
    <row r="284" spans="29:37">
      <c r="AC284" s="162" t="s">
        <v>2901</v>
      </c>
      <c r="AD284" s="163" t="s">
        <v>1872</v>
      </c>
      <c r="AE284" s="137" t="s">
        <v>3763</v>
      </c>
      <c r="AF284" s="137">
        <v>487</v>
      </c>
      <c r="AG284" s="164"/>
      <c r="AI284" s="155"/>
      <c r="AJ284" s="155"/>
      <c r="AK284" s="155"/>
    </row>
    <row r="285" spans="29:37">
      <c r="AC285" s="162" t="s">
        <v>2901</v>
      </c>
      <c r="AD285" s="163" t="s">
        <v>1619</v>
      </c>
      <c r="AE285" s="137" t="s">
        <v>3764</v>
      </c>
      <c r="AF285" s="137">
        <v>598</v>
      </c>
      <c r="AG285" s="164"/>
      <c r="AI285" s="155"/>
      <c r="AJ285" s="155"/>
      <c r="AK285" s="155"/>
    </row>
    <row r="286" spans="29:37">
      <c r="AC286" s="162" t="s">
        <v>2901</v>
      </c>
      <c r="AD286" s="163" t="s">
        <v>1663</v>
      </c>
      <c r="AE286" s="137" t="s">
        <v>3765</v>
      </c>
      <c r="AF286" s="137">
        <v>273</v>
      </c>
      <c r="AG286" s="164"/>
      <c r="AI286" s="155"/>
      <c r="AJ286" s="155"/>
      <c r="AK286" s="155"/>
    </row>
    <row r="287" spans="29:37">
      <c r="AC287" s="162" t="s">
        <v>2901</v>
      </c>
      <c r="AD287" s="163" t="s">
        <v>656</v>
      </c>
      <c r="AE287" s="137" t="s">
        <v>3766</v>
      </c>
      <c r="AF287" s="137" t="s">
        <v>3766</v>
      </c>
      <c r="AG287" s="164"/>
      <c r="AI287" s="155"/>
      <c r="AJ287" s="155"/>
      <c r="AK287" s="155"/>
    </row>
    <row r="288" spans="29:37">
      <c r="AC288" s="162" t="s">
        <v>2901</v>
      </c>
      <c r="AD288" s="163" t="s">
        <v>1256</v>
      </c>
      <c r="AE288" s="137" t="s">
        <v>3767</v>
      </c>
      <c r="AF288" s="137" t="s">
        <v>3767</v>
      </c>
      <c r="AG288" s="164"/>
      <c r="AI288" s="155"/>
      <c r="AJ288" s="155"/>
      <c r="AK288" s="155"/>
    </row>
    <row r="289" spans="29:37">
      <c r="AC289" s="162" t="s">
        <v>2901</v>
      </c>
      <c r="AD289" s="163" t="s">
        <v>1858</v>
      </c>
      <c r="AE289" s="137" t="s">
        <v>3768</v>
      </c>
      <c r="AF289" s="137" t="s">
        <v>3769</v>
      </c>
      <c r="AG289" s="164"/>
      <c r="AI289" s="155"/>
      <c r="AJ289" s="155"/>
      <c r="AK289" s="155"/>
    </row>
    <row r="290" spans="29:37">
      <c r="AC290" s="162" t="s">
        <v>2901</v>
      </c>
      <c r="AD290" s="163" t="s">
        <v>1598</v>
      </c>
      <c r="AE290" s="137" t="s">
        <v>1598</v>
      </c>
      <c r="AF290" s="137" t="s">
        <v>2859</v>
      </c>
      <c r="AG290" s="164"/>
      <c r="AI290" s="41"/>
    </row>
    <row r="291" spans="29:37">
      <c r="AC291" s="162" t="s">
        <v>2901</v>
      </c>
      <c r="AD291" s="163" t="s">
        <v>1046</v>
      </c>
      <c r="AE291" s="137" t="s">
        <v>3770</v>
      </c>
      <c r="AF291" s="137" t="s">
        <v>3770</v>
      </c>
      <c r="AG291" s="164"/>
      <c r="AI291" s="155"/>
      <c r="AJ291" s="155"/>
      <c r="AK291" s="155"/>
    </row>
    <row r="292" spans="29:37">
      <c r="AC292" s="162" t="s">
        <v>2901</v>
      </c>
      <c r="AD292" s="163" t="s">
        <v>1713</v>
      </c>
      <c r="AE292" s="137" t="s">
        <v>3771</v>
      </c>
      <c r="AF292" s="137" t="s">
        <v>3772</v>
      </c>
      <c r="AG292" s="164"/>
      <c r="AI292" s="155"/>
      <c r="AJ292" s="155"/>
      <c r="AK292" s="155"/>
    </row>
    <row r="293" spans="29:37">
      <c r="AC293" s="162" t="s">
        <v>2901</v>
      </c>
      <c r="AD293" s="163" t="s">
        <v>881</v>
      </c>
      <c r="AE293" s="137" t="s">
        <v>3773</v>
      </c>
      <c r="AF293" s="137" t="s">
        <v>3774</v>
      </c>
      <c r="AG293" s="164"/>
    </row>
    <row r="294" spans="29:37">
      <c r="AC294" s="162" t="s">
        <v>2901</v>
      </c>
      <c r="AD294" s="163" t="s">
        <v>530</v>
      </c>
      <c r="AE294" s="137" t="s">
        <v>3592</v>
      </c>
      <c r="AF294" s="153" t="s">
        <v>3593</v>
      </c>
      <c r="AG294" s="164"/>
      <c r="AI294" s="155"/>
      <c r="AJ294" s="155"/>
      <c r="AK294" s="155"/>
    </row>
    <row r="295" spans="29:37">
      <c r="AC295" s="162" t="s">
        <v>2901</v>
      </c>
      <c r="AD295" s="163" t="s">
        <v>1699</v>
      </c>
      <c r="AE295" s="137" t="s">
        <v>3531</v>
      </c>
      <c r="AF295" s="153" t="s">
        <v>3597</v>
      </c>
      <c r="AG295" s="164"/>
      <c r="AI295" s="155"/>
      <c r="AJ295" s="155"/>
      <c r="AK295" s="155"/>
    </row>
    <row r="296" spans="29:37">
      <c r="AC296" s="162" t="s">
        <v>2901</v>
      </c>
      <c r="AD296" s="163" t="s">
        <v>548</v>
      </c>
      <c r="AE296" s="137" t="s">
        <v>3775</v>
      </c>
      <c r="AF296" s="137" t="s">
        <v>3776</v>
      </c>
      <c r="AG296" s="164"/>
      <c r="AI296" s="155"/>
      <c r="AJ296" s="155"/>
      <c r="AK296" s="155"/>
    </row>
    <row r="297" spans="29:37">
      <c r="AC297" s="162" t="s">
        <v>2901</v>
      </c>
      <c r="AD297" s="163" t="s">
        <v>1217</v>
      </c>
      <c r="AE297" s="137" t="s">
        <v>3777</v>
      </c>
      <c r="AF297" s="137" t="s">
        <v>3778</v>
      </c>
      <c r="AG297" s="164"/>
    </row>
    <row r="298" spans="29:37">
      <c r="AC298" s="162" t="s">
        <v>2901</v>
      </c>
      <c r="AD298" s="163" t="s">
        <v>1135</v>
      </c>
      <c r="AE298" s="137" t="s">
        <v>1135</v>
      </c>
      <c r="AF298" s="137" t="s">
        <v>1135</v>
      </c>
      <c r="AG298" s="164"/>
      <c r="AI298" s="155"/>
      <c r="AJ298" s="155"/>
      <c r="AK298" s="155"/>
    </row>
    <row r="299" spans="29:37">
      <c r="AC299" s="162" t="s">
        <v>2269</v>
      </c>
      <c r="AD299" s="163" t="s">
        <v>3779</v>
      </c>
      <c r="AE299" s="137" t="s">
        <v>3780</v>
      </c>
      <c r="AF299" s="137" t="str">
        <f t="shared" ref="AF299:AF310" si="0">RIGHT(AE299,3)</f>
        <v>001</v>
      </c>
      <c r="AG299" s="164" t="s">
        <v>3781</v>
      </c>
    </row>
    <row r="300" spans="29:37">
      <c r="AC300" s="162" t="s">
        <v>2269</v>
      </c>
      <c r="AD300" s="163" t="s">
        <v>3782</v>
      </c>
      <c r="AE300" s="137" t="s">
        <v>3783</v>
      </c>
      <c r="AF300" s="137" t="str">
        <f t="shared" si="0"/>
        <v>004</v>
      </c>
      <c r="AG300" s="164" t="s">
        <v>3784</v>
      </c>
    </row>
    <row r="301" spans="29:37">
      <c r="AC301" s="162" t="s">
        <v>2269</v>
      </c>
      <c r="AD301" s="163" t="s">
        <v>3785</v>
      </c>
      <c r="AE301" s="137" t="s">
        <v>3786</v>
      </c>
      <c r="AF301" s="137" t="str">
        <f t="shared" si="0"/>
        <v>005</v>
      </c>
      <c r="AG301" s="164" t="s">
        <v>3787</v>
      </c>
      <c r="AI301" s="155"/>
      <c r="AJ301" s="155"/>
      <c r="AK301" s="155"/>
    </row>
    <row r="302" spans="29:37">
      <c r="AC302" s="162" t="s">
        <v>2269</v>
      </c>
      <c r="AD302" s="163" t="s">
        <v>3788</v>
      </c>
      <c r="AE302" s="137" t="s">
        <v>3789</v>
      </c>
      <c r="AF302" s="137" t="str">
        <f t="shared" si="0"/>
        <v>006</v>
      </c>
      <c r="AG302" s="164" t="s">
        <v>3790</v>
      </c>
      <c r="AI302" s="155"/>
      <c r="AJ302" s="155"/>
      <c r="AK302" s="155"/>
    </row>
    <row r="303" spans="29:37">
      <c r="AC303" s="162" t="s">
        <v>2269</v>
      </c>
      <c r="AD303" s="163" t="s">
        <v>3791</v>
      </c>
      <c r="AE303" s="137" t="s">
        <v>3792</v>
      </c>
      <c r="AF303" s="137" t="str">
        <f t="shared" si="0"/>
        <v>007</v>
      </c>
      <c r="AG303" s="164" t="s">
        <v>3793</v>
      </c>
      <c r="AI303" s="155"/>
      <c r="AJ303" s="155"/>
      <c r="AK303" s="155"/>
    </row>
    <row r="304" spans="29:37">
      <c r="AC304" s="162" t="s">
        <v>2269</v>
      </c>
      <c r="AD304" s="163" t="s">
        <v>3794</v>
      </c>
      <c r="AE304" s="137" t="s">
        <v>3795</v>
      </c>
      <c r="AF304" s="137" t="str">
        <f t="shared" si="0"/>
        <v>008</v>
      </c>
      <c r="AG304" s="164" t="s">
        <v>3796</v>
      </c>
      <c r="AI304" s="155"/>
      <c r="AJ304" s="155"/>
      <c r="AK304" s="155"/>
    </row>
    <row r="305" spans="29:37">
      <c r="AC305" s="162" t="s">
        <v>2269</v>
      </c>
      <c r="AD305" s="163" t="s">
        <v>3797</v>
      </c>
      <c r="AE305" s="137" t="s">
        <v>3798</v>
      </c>
      <c r="AF305" s="137" t="str">
        <f t="shared" si="0"/>
        <v>009</v>
      </c>
      <c r="AG305" s="164" t="s">
        <v>3799</v>
      </c>
      <c r="AI305" s="155"/>
      <c r="AJ305" s="155"/>
      <c r="AK305" s="155"/>
    </row>
    <row r="306" spans="29:37">
      <c r="AC306" s="162" t="s">
        <v>2269</v>
      </c>
      <c r="AD306" s="163" t="s">
        <v>3800</v>
      </c>
      <c r="AE306" s="137" t="s">
        <v>3801</v>
      </c>
      <c r="AF306" s="137" t="str">
        <f t="shared" si="0"/>
        <v>010</v>
      </c>
      <c r="AG306" s="164" t="s">
        <v>3802</v>
      </c>
      <c r="AI306" s="155"/>
      <c r="AJ306" s="155"/>
      <c r="AK306" s="155"/>
    </row>
    <row r="307" spans="29:37">
      <c r="AC307" s="162" t="s">
        <v>2269</v>
      </c>
      <c r="AD307" s="163" t="s">
        <v>3803</v>
      </c>
      <c r="AE307" s="137" t="s">
        <v>3804</v>
      </c>
      <c r="AF307" s="137" t="str">
        <f t="shared" si="0"/>
        <v>012</v>
      </c>
      <c r="AG307" s="164" t="s">
        <v>3805</v>
      </c>
      <c r="AI307" s="155"/>
      <c r="AJ307" s="155"/>
      <c r="AK307" s="155"/>
    </row>
    <row r="308" spans="29:37">
      <c r="AC308" s="162" t="s">
        <v>2269</v>
      </c>
      <c r="AD308" s="163" t="s">
        <v>3806</v>
      </c>
      <c r="AE308" s="137" t="s">
        <v>3807</v>
      </c>
      <c r="AF308" s="137" t="str">
        <f t="shared" si="0"/>
        <v>013</v>
      </c>
      <c r="AG308" s="164" t="s">
        <v>3808</v>
      </c>
      <c r="AI308" s="155"/>
      <c r="AJ308" s="155"/>
      <c r="AK308" s="155"/>
    </row>
    <row r="309" spans="29:37">
      <c r="AC309" s="162" t="s">
        <v>2269</v>
      </c>
      <c r="AD309" s="163" t="s">
        <v>3809</v>
      </c>
      <c r="AE309" s="137" t="s">
        <v>3810</v>
      </c>
      <c r="AF309" s="137" t="str">
        <f t="shared" si="0"/>
        <v>014</v>
      </c>
      <c r="AG309" s="164" t="s">
        <v>3811</v>
      </c>
      <c r="AI309" s="155"/>
      <c r="AJ309" s="155"/>
      <c r="AK309" s="155"/>
    </row>
    <row r="310" spans="29:37">
      <c r="AC310" s="162" t="s">
        <v>2269</v>
      </c>
      <c r="AD310" s="163" t="s">
        <v>3812</v>
      </c>
      <c r="AE310" s="137" t="s">
        <v>3813</v>
      </c>
      <c r="AF310" s="137" t="str">
        <f t="shared" si="0"/>
        <v>015</v>
      </c>
      <c r="AG310" s="164" t="s">
        <v>3814</v>
      </c>
      <c r="AK310" s="155"/>
    </row>
    <row r="311" spans="29:37">
      <c r="AC311" s="162" t="s">
        <v>69</v>
      </c>
      <c r="AD311" s="163" t="s">
        <v>3815</v>
      </c>
      <c r="AE311" s="137" t="s">
        <v>2144</v>
      </c>
      <c r="AF311" s="137" t="s">
        <v>3816</v>
      </c>
      <c r="AG311" s="164"/>
      <c r="AI311" s="155"/>
      <c r="AJ311" s="155"/>
      <c r="AK311" s="155"/>
    </row>
    <row r="312" spans="29:37">
      <c r="AC312" s="162" t="s">
        <v>69</v>
      </c>
      <c r="AD312" s="163" t="s">
        <v>3817</v>
      </c>
      <c r="AE312" s="137" t="s">
        <v>3445</v>
      </c>
      <c r="AF312" s="137" t="s">
        <v>3818</v>
      </c>
      <c r="AG312" s="164"/>
      <c r="AI312" s="155"/>
      <c r="AJ312" s="155"/>
      <c r="AK312" s="155"/>
    </row>
    <row r="313" spans="29:37">
      <c r="AC313" s="162" t="s">
        <v>1298</v>
      </c>
      <c r="AD313" s="163" t="s">
        <v>1299</v>
      </c>
      <c r="AE313" s="137" t="s">
        <v>3612</v>
      </c>
      <c r="AF313" s="137" t="s">
        <v>3613</v>
      </c>
      <c r="AG313" s="164" t="s">
        <v>1299</v>
      </c>
      <c r="AI313" s="155"/>
      <c r="AJ313" s="155"/>
      <c r="AK313" s="155"/>
    </row>
    <row r="314" spans="29:37">
      <c r="AC314" s="162" t="s">
        <v>1171</v>
      </c>
      <c r="AD314" s="163" t="s">
        <v>1172</v>
      </c>
      <c r="AE314" s="137" t="s">
        <v>3819</v>
      </c>
      <c r="AF314" s="137" t="s">
        <v>3819</v>
      </c>
      <c r="AG314" s="164" t="s">
        <v>1172</v>
      </c>
      <c r="AJ314" s="255"/>
      <c r="AK314" s="255"/>
    </row>
    <row r="315" spans="29:37">
      <c r="AC315" s="162" t="s">
        <v>980</v>
      </c>
      <c r="AD315" s="163" t="s">
        <v>981</v>
      </c>
      <c r="AE315" s="137" t="s">
        <v>3820</v>
      </c>
      <c r="AF315" s="137" t="s">
        <v>3820</v>
      </c>
      <c r="AG315" s="164" t="s">
        <v>981</v>
      </c>
      <c r="AI315" s="155"/>
      <c r="AJ315" s="155"/>
      <c r="AK315" s="155"/>
    </row>
    <row r="316" spans="29:37">
      <c r="AC316" s="162" t="s">
        <v>459</v>
      </c>
      <c r="AD316" s="163" t="s">
        <v>3821</v>
      </c>
      <c r="AE316" s="137" t="s">
        <v>1997</v>
      </c>
      <c r="AF316" s="137" t="s">
        <v>3822</v>
      </c>
      <c r="AG316" s="164" t="s">
        <v>460</v>
      </c>
      <c r="AI316" s="155"/>
      <c r="AJ316" s="155"/>
      <c r="AK316" s="155"/>
    </row>
    <row r="317" spans="29:37">
      <c r="AC317" s="162" t="s">
        <v>1718</v>
      </c>
      <c r="AD317" s="163" t="s">
        <v>439</v>
      </c>
      <c r="AE317" s="137" t="s">
        <v>2027</v>
      </c>
      <c r="AF317" s="137" t="s">
        <v>3823</v>
      </c>
      <c r="AG317" s="164" t="s">
        <v>439</v>
      </c>
      <c r="AJ317" s="155"/>
      <c r="AK317" s="155"/>
    </row>
    <row r="318" spans="29:37">
      <c r="AC318" s="162" t="s">
        <v>1653</v>
      </c>
      <c r="AD318" s="163" t="s">
        <v>477</v>
      </c>
      <c r="AE318" s="137" t="s">
        <v>2413</v>
      </c>
      <c r="AF318" s="137" t="s">
        <v>3824</v>
      </c>
      <c r="AG318" s="164" t="s">
        <v>477</v>
      </c>
      <c r="AI318" s="155"/>
      <c r="AJ318" s="155"/>
      <c r="AK318" s="155"/>
    </row>
    <row r="319" spans="29:37">
      <c r="AC319" s="162" t="s">
        <v>1821</v>
      </c>
      <c r="AD319" s="163" t="s">
        <v>287</v>
      </c>
      <c r="AE319" s="137" t="s">
        <v>3825</v>
      </c>
      <c r="AF319" s="137" t="s">
        <v>3826</v>
      </c>
      <c r="AG319" s="164" t="s">
        <v>287</v>
      </c>
      <c r="AI319" s="155"/>
      <c r="AJ319" s="155"/>
      <c r="AK319" s="155"/>
    </row>
    <row r="320" spans="29:37">
      <c r="AC320" s="162" t="s">
        <v>646</v>
      </c>
      <c r="AD320" s="163" t="s">
        <v>133</v>
      </c>
      <c r="AE320" s="137" t="s">
        <v>2378</v>
      </c>
      <c r="AF320" s="137" t="s">
        <v>3827</v>
      </c>
      <c r="AG320" s="164" t="s">
        <v>133</v>
      </c>
      <c r="AI320" s="155"/>
      <c r="AJ320" s="155"/>
      <c r="AK320" s="155"/>
    </row>
    <row r="321" spans="29:37">
      <c r="AC321" s="162" t="s">
        <v>1836</v>
      </c>
      <c r="AD321" s="256" t="s">
        <v>1837</v>
      </c>
      <c r="AE321" s="137" t="s">
        <v>1997</v>
      </c>
      <c r="AF321" s="137" t="s">
        <v>3822</v>
      </c>
      <c r="AG321" s="164"/>
      <c r="AI321" s="155"/>
      <c r="AJ321" s="155"/>
      <c r="AK321" s="155"/>
    </row>
    <row r="322" spans="29:37">
      <c r="AC322" s="162" t="s">
        <v>1571</v>
      </c>
      <c r="AD322" s="163" t="s">
        <v>1572</v>
      </c>
      <c r="AE322" s="137" t="s">
        <v>3828</v>
      </c>
      <c r="AF322" s="137" t="s">
        <v>3828</v>
      </c>
      <c r="AG322" s="164" t="s">
        <v>1572</v>
      </c>
      <c r="AI322" s="155"/>
      <c r="AJ322" s="155"/>
      <c r="AK322" s="155"/>
    </row>
    <row r="323" spans="29:37">
      <c r="AC323" s="162" t="s">
        <v>1839</v>
      </c>
      <c r="AD323" s="163" t="s">
        <v>1840</v>
      </c>
      <c r="AE323" s="137" t="s">
        <v>3829</v>
      </c>
      <c r="AF323" s="137" t="s">
        <v>3829</v>
      </c>
      <c r="AG323" s="164" t="s">
        <v>1840</v>
      </c>
      <c r="AI323" s="155"/>
      <c r="AJ323" s="155"/>
      <c r="AK323" s="155"/>
    </row>
    <row r="324" spans="29:37">
      <c r="AC324" s="162" t="s">
        <v>1009</v>
      </c>
      <c r="AD324" s="163" t="s">
        <v>1010</v>
      </c>
      <c r="AE324" s="137" t="s">
        <v>3830</v>
      </c>
      <c r="AF324" s="137" t="s">
        <v>3830</v>
      </c>
      <c r="AG324" s="164" t="s">
        <v>1010</v>
      </c>
      <c r="AJ324" s="155"/>
      <c r="AK324" s="155"/>
    </row>
    <row r="325" spans="29:37">
      <c r="AC325" s="162" t="s">
        <v>1295</v>
      </c>
      <c r="AD325" s="256" t="s">
        <v>460</v>
      </c>
      <c r="AE325" s="137" t="s">
        <v>1997</v>
      </c>
      <c r="AF325" s="137" t="s">
        <v>3822</v>
      </c>
      <c r="AG325" s="164"/>
      <c r="AJ325" s="155"/>
      <c r="AK325" s="155"/>
    </row>
    <row r="326" spans="29:37">
      <c r="AC326" s="162" t="s">
        <v>1752</v>
      </c>
      <c r="AD326" s="256" t="s">
        <v>1753</v>
      </c>
      <c r="AE326" s="137" t="s">
        <v>1997</v>
      </c>
      <c r="AF326" s="137" t="s">
        <v>3822</v>
      </c>
      <c r="AG326" s="164"/>
    </row>
    <row r="327" spans="29:37">
      <c r="AC327" s="162" t="s">
        <v>895</v>
      </c>
      <c r="AD327" s="163" t="s">
        <v>896</v>
      </c>
      <c r="AE327" s="137" t="s">
        <v>3831</v>
      </c>
      <c r="AF327" s="137" t="s">
        <v>3831</v>
      </c>
      <c r="AG327" s="164" t="s">
        <v>896</v>
      </c>
    </row>
    <row r="328" spans="29:37">
      <c r="AC328" s="162" t="s">
        <v>2594</v>
      </c>
      <c r="AD328" s="163" t="s">
        <v>1577</v>
      </c>
      <c r="AE328" s="137" t="s">
        <v>1577</v>
      </c>
      <c r="AF328" s="137" t="s">
        <v>3832</v>
      </c>
      <c r="AG328" s="164"/>
    </row>
    <row r="329" spans="29:37">
      <c r="AC329" s="162" t="s">
        <v>1980</v>
      </c>
      <c r="AD329" s="163" t="s">
        <v>429</v>
      </c>
      <c r="AE329" s="137" t="s">
        <v>3833</v>
      </c>
      <c r="AF329" s="137" t="s">
        <v>3833</v>
      </c>
      <c r="AG329" s="164"/>
    </row>
    <row r="330" spans="29:37">
      <c r="AC330" s="162" t="s">
        <v>1980</v>
      </c>
      <c r="AD330" s="163" t="s">
        <v>172</v>
      </c>
      <c r="AE330" s="137" t="s">
        <v>3834</v>
      </c>
      <c r="AF330" s="137" t="s">
        <v>3834</v>
      </c>
      <c r="AG330" s="164"/>
    </row>
    <row r="331" spans="29:37">
      <c r="AC331" s="162" t="s">
        <v>1980</v>
      </c>
      <c r="AD331" s="163" t="s">
        <v>3835</v>
      </c>
      <c r="AE331" s="137" t="s">
        <v>3836</v>
      </c>
      <c r="AF331" s="137" t="s">
        <v>3836</v>
      </c>
      <c r="AG331" s="164"/>
    </row>
    <row r="332" spans="29:37">
      <c r="AC332" s="162" t="s">
        <v>1980</v>
      </c>
      <c r="AD332" s="163" t="s">
        <v>3837</v>
      </c>
      <c r="AE332" s="137" t="s">
        <v>3838</v>
      </c>
      <c r="AF332" s="137" t="s">
        <v>3838</v>
      </c>
      <c r="AG332" s="164"/>
    </row>
    <row r="333" spans="29:37">
      <c r="AC333" s="162" t="s">
        <v>1980</v>
      </c>
      <c r="AD333" s="163" t="s">
        <v>3839</v>
      </c>
      <c r="AE333" s="137" t="s">
        <v>3840</v>
      </c>
      <c r="AF333" s="137" t="s">
        <v>3840</v>
      </c>
      <c r="AG333" s="164"/>
    </row>
    <row r="334" spans="29:37">
      <c r="AC334" s="162" t="s">
        <v>1980</v>
      </c>
      <c r="AD334" s="163" t="s">
        <v>1603</v>
      </c>
      <c r="AE334" s="137" t="s">
        <v>3841</v>
      </c>
      <c r="AF334" s="137" t="s">
        <v>3841</v>
      </c>
      <c r="AG334" s="164"/>
    </row>
    <row r="335" spans="29:37">
      <c r="AC335" s="162" t="s">
        <v>1980</v>
      </c>
      <c r="AD335" s="163" t="s">
        <v>71</v>
      </c>
      <c r="AE335" s="137" t="s">
        <v>3842</v>
      </c>
      <c r="AF335" s="137" t="s">
        <v>3842</v>
      </c>
      <c r="AG335" s="164"/>
    </row>
    <row r="336" spans="29:37">
      <c r="AC336" s="162" t="s">
        <v>1980</v>
      </c>
      <c r="AD336" s="163" t="s">
        <v>1000</v>
      </c>
      <c r="AE336" s="137" t="s">
        <v>3843</v>
      </c>
      <c r="AF336" s="137" t="s">
        <v>3843</v>
      </c>
      <c r="AG336" s="164"/>
    </row>
    <row r="337" spans="29:33">
      <c r="AC337" s="162" t="s">
        <v>1980</v>
      </c>
      <c r="AD337" s="163" t="s">
        <v>196</v>
      </c>
      <c r="AE337" s="137" t="s">
        <v>3844</v>
      </c>
      <c r="AF337" s="137" t="s">
        <v>3844</v>
      </c>
      <c r="AG337" s="164"/>
    </row>
    <row r="338" spans="29:33" ht="14.5">
      <c r="AC338" s="162" t="s">
        <v>1980</v>
      </c>
      <c r="AD338" s="257" t="s">
        <v>10</v>
      </c>
      <c r="AE338" s="258" t="s">
        <v>3845</v>
      </c>
      <c r="AF338" s="137" t="s">
        <v>3846</v>
      </c>
      <c r="AG338" s="164"/>
    </row>
    <row r="339" spans="29:33">
      <c r="AC339" s="162" t="s">
        <v>1980</v>
      </c>
      <c r="AD339" s="163" t="s">
        <v>819</v>
      </c>
      <c r="AE339" s="137" t="s">
        <v>3847</v>
      </c>
      <c r="AF339" s="137" t="s">
        <v>3847</v>
      </c>
      <c r="AG339" s="164"/>
    </row>
    <row r="340" spans="29:33">
      <c r="AC340" s="162" t="s">
        <v>1980</v>
      </c>
      <c r="AD340" s="163" t="s">
        <v>375</v>
      </c>
      <c r="AE340" s="137" t="s">
        <v>2094</v>
      </c>
      <c r="AF340" s="137" t="s">
        <v>2094</v>
      </c>
      <c r="AG340" s="164"/>
    </row>
    <row r="341" spans="29:33">
      <c r="AC341" s="162" t="s">
        <v>1980</v>
      </c>
      <c r="AD341" s="163" t="s">
        <v>72</v>
      </c>
      <c r="AE341" s="137" t="s">
        <v>3848</v>
      </c>
      <c r="AF341" s="137" t="s">
        <v>3848</v>
      </c>
      <c r="AG341" s="164"/>
    </row>
    <row r="342" spans="29:33">
      <c r="AC342" s="162" t="s">
        <v>1980</v>
      </c>
      <c r="AD342" s="163" t="s">
        <v>216</v>
      </c>
      <c r="AE342" s="137" t="s">
        <v>2818</v>
      </c>
      <c r="AF342" s="137" t="s">
        <v>2667</v>
      </c>
      <c r="AG342" s="164"/>
    </row>
    <row r="343" spans="29:33">
      <c r="AC343" s="162" t="s">
        <v>1980</v>
      </c>
      <c r="AD343" s="163" t="s">
        <v>827</v>
      </c>
      <c r="AE343" s="137" t="s">
        <v>3849</v>
      </c>
      <c r="AF343" s="137" t="s">
        <v>3849</v>
      </c>
      <c r="AG343" s="164"/>
    </row>
    <row r="344" spans="29:33">
      <c r="AC344" s="162" t="s">
        <v>1980</v>
      </c>
      <c r="AD344" s="163" t="s">
        <v>127</v>
      </c>
      <c r="AE344" s="137" t="s">
        <v>2635</v>
      </c>
      <c r="AF344" s="137" t="s">
        <v>2635</v>
      </c>
      <c r="AG344" s="164"/>
    </row>
    <row r="345" spans="29:33">
      <c r="AC345" s="162" t="s">
        <v>1980</v>
      </c>
      <c r="AD345" s="163" t="s">
        <v>515</v>
      </c>
      <c r="AE345" s="137" t="s">
        <v>3850</v>
      </c>
      <c r="AF345" s="137" t="s">
        <v>3850</v>
      </c>
      <c r="AG345" s="164"/>
    </row>
    <row r="346" spans="29:33">
      <c r="AC346" s="162" t="s">
        <v>1980</v>
      </c>
      <c r="AD346" s="163" t="s">
        <v>141</v>
      </c>
      <c r="AE346" s="137" t="s">
        <v>3851</v>
      </c>
      <c r="AF346" s="137" t="s">
        <v>3851</v>
      </c>
      <c r="AG346" s="164"/>
    </row>
    <row r="347" spans="29:33">
      <c r="AC347" s="162" t="s">
        <v>1980</v>
      </c>
      <c r="AD347" s="163" t="s">
        <v>141</v>
      </c>
      <c r="AE347" s="137" t="s">
        <v>3851</v>
      </c>
      <c r="AF347" s="137" t="s">
        <v>3851</v>
      </c>
      <c r="AG347" s="164"/>
    </row>
    <row r="348" spans="29:33">
      <c r="AC348" s="162" t="s">
        <v>1980</v>
      </c>
      <c r="AD348" s="163" t="s">
        <v>209</v>
      </c>
      <c r="AE348" s="137" t="s">
        <v>2349</v>
      </c>
      <c r="AF348" s="137" t="s">
        <v>2349</v>
      </c>
      <c r="AG348" s="164"/>
    </row>
    <row r="349" spans="29:33">
      <c r="AC349" s="162" t="s">
        <v>1980</v>
      </c>
      <c r="AD349" s="163" t="s">
        <v>209</v>
      </c>
      <c r="AE349" s="137" t="s">
        <v>2349</v>
      </c>
      <c r="AF349" s="137" t="s">
        <v>2349</v>
      </c>
      <c r="AG349" s="164"/>
    </row>
    <row r="350" spans="29:33">
      <c r="AC350" s="162" t="s">
        <v>1980</v>
      </c>
      <c r="AD350" s="163" t="s">
        <v>1007</v>
      </c>
      <c r="AE350" s="137" t="s">
        <v>3852</v>
      </c>
      <c r="AF350" s="137" t="s">
        <v>3853</v>
      </c>
      <c r="AG350" s="164"/>
    </row>
    <row r="351" spans="29:33">
      <c r="AC351" s="162" t="s">
        <v>1980</v>
      </c>
      <c r="AD351" s="163" t="s">
        <v>545</v>
      </c>
      <c r="AE351" s="137" t="s">
        <v>3854</v>
      </c>
      <c r="AF351" s="137" t="s">
        <v>3854</v>
      </c>
      <c r="AG351" s="164"/>
    </row>
    <row r="352" spans="29:33">
      <c r="AC352" s="162" t="s">
        <v>1980</v>
      </c>
      <c r="AD352" s="163" t="s">
        <v>9</v>
      </c>
      <c r="AE352" s="137" t="s">
        <v>3855</v>
      </c>
      <c r="AF352" s="137" t="s">
        <v>3855</v>
      </c>
      <c r="AG352" s="164"/>
    </row>
    <row r="353" spans="29:33">
      <c r="AC353" s="162" t="s">
        <v>1980</v>
      </c>
      <c r="AD353" s="163" t="s">
        <v>1288</v>
      </c>
      <c r="AE353" s="137" t="s">
        <v>3856</v>
      </c>
      <c r="AF353" s="137" t="s">
        <v>3856</v>
      </c>
      <c r="AG353" s="164"/>
    </row>
    <row r="354" spans="29:33">
      <c r="AC354" s="162" t="s">
        <v>1980</v>
      </c>
      <c r="AD354" s="163" t="s">
        <v>40</v>
      </c>
      <c r="AE354" s="137" t="s">
        <v>3857</v>
      </c>
      <c r="AF354" s="137" t="s">
        <v>3857</v>
      </c>
      <c r="AG354" s="164"/>
    </row>
    <row r="355" spans="29:33">
      <c r="AC355" s="162" t="s">
        <v>1980</v>
      </c>
      <c r="AD355" s="163" t="s">
        <v>718</v>
      </c>
      <c r="AE355" s="137" t="s">
        <v>2748</v>
      </c>
      <c r="AF355" s="137" t="s">
        <v>2748</v>
      </c>
      <c r="AG355" s="164"/>
    </row>
    <row r="356" spans="29:33">
      <c r="AC356" s="162" t="s">
        <v>1980</v>
      </c>
      <c r="AD356" s="163" t="s">
        <v>513</v>
      </c>
      <c r="AE356" s="137" t="s">
        <v>3858</v>
      </c>
      <c r="AF356" s="137" t="s">
        <v>3858</v>
      </c>
      <c r="AG356" s="164"/>
    </row>
    <row r="357" spans="29:33">
      <c r="AC357" s="162" t="s">
        <v>1980</v>
      </c>
      <c r="AD357" s="163" t="s">
        <v>713</v>
      </c>
      <c r="AE357" s="137" t="s">
        <v>2576</v>
      </c>
      <c r="AF357" s="137" t="s">
        <v>3859</v>
      </c>
      <c r="AG357" s="164"/>
    </row>
    <row r="358" spans="29:33">
      <c r="AC358" s="162" t="s">
        <v>1980</v>
      </c>
      <c r="AD358" s="163" t="s">
        <v>467</v>
      </c>
      <c r="AE358" s="137" t="s">
        <v>2156</v>
      </c>
      <c r="AF358" s="137" t="s">
        <v>3860</v>
      </c>
      <c r="AG358" s="164"/>
    </row>
    <row r="359" spans="29:33">
      <c r="AC359" s="162" t="s">
        <v>1980</v>
      </c>
      <c r="AD359" s="163" t="s">
        <v>438</v>
      </c>
      <c r="AE359" s="137" t="s">
        <v>1980</v>
      </c>
      <c r="AF359" s="137" t="s">
        <v>1980</v>
      </c>
      <c r="AG359" s="164"/>
    </row>
    <row r="360" spans="29:33">
      <c r="AC360" s="162" t="s">
        <v>1980</v>
      </c>
      <c r="AD360" s="163" t="s">
        <v>231</v>
      </c>
      <c r="AE360" s="137" t="s">
        <v>2674</v>
      </c>
      <c r="AF360" s="137" t="s">
        <v>2674</v>
      </c>
      <c r="AG360" s="164"/>
    </row>
    <row r="361" spans="29:33">
      <c r="AC361" s="162" t="s">
        <v>1980</v>
      </c>
      <c r="AD361" s="163" t="s">
        <v>3861</v>
      </c>
      <c r="AE361" s="137" t="s">
        <v>3862</v>
      </c>
      <c r="AF361" s="137" t="s">
        <v>3862</v>
      </c>
      <c r="AG361" s="164"/>
    </row>
    <row r="362" spans="29:33">
      <c r="AC362" s="162" t="s">
        <v>1980</v>
      </c>
      <c r="AD362" s="163" t="s">
        <v>198</v>
      </c>
      <c r="AE362" s="137" t="s">
        <v>2696</v>
      </c>
      <c r="AF362" s="137" t="s">
        <v>3863</v>
      </c>
      <c r="AG362" s="164"/>
    </row>
    <row r="363" spans="29:33">
      <c r="AC363" s="162" t="s">
        <v>1980</v>
      </c>
      <c r="AD363" s="163" t="s">
        <v>1185</v>
      </c>
      <c r="AE363" s="137" t="s">
        <v>3864</v>
      </c>
      <c r="AF363" s="137" t="s">
        <v>3864</v>
      </c>
      <c r="AG363" s="164"/>
    </row>
    <row r="364" spans="29:33">
      <c r="AC364" s="162" t="s">
        <v>1980</v>
      </c>
      <c r="AD364" s="163" t="s">
        <v>163</v>
      </c>
      <c r="AE364" s="137" t="s">
        <v>3865</v>
      </c>
      <c r="AF364" s="137" t="s">
        <v>3865</v>
      </c>
      <c r="AG364" s="164"/>
    </row>
    <row r="365" spans="29:33">
      <c r="AC365" s="162" t="s">
        <v>1980</v>
      </c>
      <c r="AD365" s="163" t="s">
        <v>163</v>
      </c>
      <c r="AE365" s="137" t="s">
        <v>3865</v>
      </c>
      <c r="AF365" s="137" t="s">
        <v>3865</v>
      </c>
      <c r="AG365" s="164"/>
    </row>
    <row r="366" spans="29:33">
      <c r="AC366" s="162" t="s">
        <v>1980</v>
      </c>
      <c r="AD366" s="163" t="s">
        <v>115</v>
      </c>
      <c r="AE366" s="137" t="s">
        <v>3866</v>
      </c>
      <c r="AF366" s="137" t="s">
        <v>3866</v>
      </c>
      <c r="AG366" s="164"/>
    </row>
    <row r="367" spans="29:33">
      <c r="AC367" s="162" t="s">
        <v>1980</v>
      </c>
      <c r="AD367" s="163" t="s">
        <v>478</v>
      </c>
      <c r="AE367" s="137" t="s">
        <v>2054</v>
      </c>
      <c r="AF367" s="137" t="s">
        <v>3867</v>
      </c>
      <c r="AG367" s="164"/>
    </row>
    <row r="368" spans="29:33">
      <c r="AC368" s="162" t="s">
        <v>1980</v>
      </c>
      <c r="AD368" s="163" t="s">
        <v>1008</v>
      </c>
      <c r="AE368" s="137" t="s">
        <v>3642</v>
      </c>
      <c r="AF368" s="137" t="s">
        <v>3642</v>
      </c>
      <c r="AG368" s="164"/>
    </row>
    <row r="369" spans="29:33">
      <c r="AC369" s="162" t="s">
        <v>1980</v>
      </c>
      <c r="AD369" s="163" t="s">
        <v>3868</v>
      </c>
      <c r="AE369" s="137" t="s">
        <v>3642</v>
      </c>
      <c r="AF369" s="137" t="s">
        <v>3642</v>
      </c>
      <c r="AG369" s="164"/>
    </row>
    <row r="370" spans="29:33">
      <c r="AC370" s="162" t="s">
        <v>1980</v>
      </c>
      <c r="AD370" s="163" t="s">
        <v>3869</v>
      </c>
      <c r="AE370" s="137" t="s">
        <v>3870</v>
      </c>
      <c r="AF370" s="137" t="s">
        <v>3870</v>
      </c>
      <c r="AG370" s="164"/>
    </row>
    <row r="371" spans="29:33">
      <c r="AC371" s="162" t="s">
        <v>1980</v>
      </c>
      <c r="AD371" s="163" t="s">
        <v>1622</v>
      </c>
      <c r="AE371" s="137" t="s">
        <v>3319</v>
      </c>
      <c r="AF371" s="137" t="s">
        <v>3871</v>
      </c>
      <c r="AG371" s="164"/>
    </row>
    <row r="372" spans="29:33">
      <c r="AC372" s="162" t="s">
        <v>1980</v>
      </c>
      <c r="AD372" s="163" t="s">
        <v>697</v>
      </c>
      <c r="AE372" s="137" t="s">
        <v>3872</v>
      </c>
      <c r="AF372" s="137" t="s">
        <v>3872</v>
      </c>
      <c r="AG372" s="164"/>
    </row>
    <row r="373" spans="29:33">
      <c r="AC373" s="162" t="s">
        <v>1980</v>
      </c>
      <c r="AD373" s="163" t="s">
        <v>3873</v>
      </c>
      <c r="AE373" s="137" t="s">
        <v>3874</v>
      </c>
      <c r="AF373" s="137" t="s">
        <v>3872</v>
      </c>
      <c r="AG373" s="164"/>
    </row>
    <row r="374" spans="29:33">
      <c r="AC374" s="162" t="s">
        <v>1980</v>
      </c>
      <c r="AD374" s="163" t="s">
        <v>977</v>
      </c>
      <c r="AE374" s="137" t="s">
        <v>3875</v>
      </c>
      <c r="AF374" s="137" t="s">
        <v>3876</v>
      </c>
      <c r="AG374" s="164"/>
    </row>
    <row r="375" spans="29:33">
      <c r="AC375" s="162" t="s">
        <v>1980</v>
      </c>
      <c r="AD375" s="163" t="s">
        <v>397</v>
      </c>
      <c r="AE375" s="137" t="s">
        <v>3877</v>
      </c>
      <c r="AF375" s="137" t="s">
        <v>3877</v>
      </c>
      <c r="AG375" s="164"/>
    </row>
    <row r="376" spans="29:33">
      <c r="AC376" s="162" t="s">
        <v>1980</v>
      </c>
      <c r="AD376" s="163" t="s">
        <v>244</v>
      </c>
      <c r="AE376" s="137" t="s">
        <v>3878</v>
      </c>
      <c r="AF376" s="137" t="s">
        <v>3879</v>
      </c>
      <c r="AG376" s="164"/>
    </row>
    <row r="377" spans="29:33">
      <c r="AC377" s="162" t="s">
        <v>1980</v>
      </c>
      <c r="AD377" s="163" t="s">
        <v>244</v>
      </c>
      <c r="AE377" s="137" t="s">
        <v>3880</v>
      </c>
      <c r="AF377" s="137" t="s">
        <v>3879</v>
      </c>
      <c r="AG377" s="164"/>
    </row>
    <row r="378" spans="29:33">
      <c r="AC378" s="162" t="s">
        <v>1980</v>
      </c>
      <c r="AD378" s="163" t="s">
        <v>785</v>
      </c>
      <c r="AE378" s="137" t="s">
        <v>3881</v>
      </c>
      <c r="AF378" s="137" t="s">
        <v>3881</v>
      </c>
      <c r="AG378" s="164"/>
    </row>
    <row r="379" spans="29:33">
      <c r="AC379" s="162" t="s">
        <v>1980</v>
      </c>
      <c r="AD379" s="163" t="s">
        <v>407</v>
      </c>
      <c r="AE379" s="137" t="s">
        <v>3882</v>
      </c>
      <c r="AF379" s="137" t="s">
        <v>3883</v>
      </c>
      <c r="AG379" s="164"/>
    </row>
    <row r="380" spans="29:33">
      <c r="AC380" s="162" t="s">
        <v>1980</v>
      </c>
      <c r="AD380" s="163" t="s">
        <v>260</v>
      </c>
      <c r="AE380" s="137" t="s">
        <v>3081</v>
      </c>
      <c r="AF380" s="137" t="s">
        <v>3081</v>
      </c>
      <c r="AG380" s="164"/>
    </row>
    <row r="381" spans="29:33">
      <c r="AC381" s="162" t="s">
        <v>1980</v>
      </c>
      <c r="AD381" s="163" t="s">
        <v>1128</v>
      </c>
      <c r="AE381" s="137" t="s">
        <v>3884</v>
      </c>
      <c r="AF381" s="137" t="s">
        <v>3884</v>
      </c>
      <c r="AG381" s="164"/>
    </row>
    <row r="382" spans="29:33">
      <c r="AC382" s="162" t="s">
        <v>1980</v>
      </c>
      <c r="AD382" s="259" t="s">
        <v>540</v>
      </c>
      <c r="AE382" s="137" t="s">
        <v>2273</v>
      </c>
      <c r="AF382" s="137" t="s">
        <v>2273</v>
      </c>
      <c r="AG382" s="164"/>
    </row>
    <row r="383" spans="29:33">
      <c r="AC383" s="162" t="s">
        <v>1980</v>
      </c>
      <c r="AD383" s="163" t="s">
        <v>3885</v>
      </c>
      <c r="AE383" s="137" t="s">
        <v>3007</v>
      </c>
      <c r="AF383" s="137" t="s">
        <v>2452</v>
      </c>
      <c r="AG383" s="164"/>
    </row>
    <row r="384" spans="29:33">
      <c r="AC384" s="162" t="s">
        <v>1980</v>
      </c>
      <c r="AD384" s="163" t="s">
        <v>3885</v>
      </c>
      <c r="AE384" s="137" t="s">
        <v>2452</v>
      </c>
      <c r="AF384" s="137" t="s">
        <v>2452</v>
      </c>
      <c r="AG384" s="164"/>
    </row>
    <row r="385" spans="29:33">
      <c r="AC385" s="162" t="s">
        <v>1980</v>
      </c>
      <c r="AD385" s="163" t="s">
        <v>938</v>
      </c>
      <c r="AE385" s="137" t="s">
        <v>2325</v>
      </c>
      <c r="AF385" s="137" t="s">
        <v>2325</v>
      </c>
      <c r="AG385" s="164"/>
    </row>
    <row r="386" spans="29:33">
      <c r="AC386" s="162" t="s">
        <v>1980</v>
      </c>
      <c r="AD386" s="163" t="s">
        <v>3886</v>
      </c>
      <c r="AE386" s="137" t="s">
        <v>3887</v>
      </c>
      <c r="AF386" s="137" t="s">
        <v>3887</v>
      </c>
      <c r="AG386" s="164"/>
    </row>
    <row r="387" spans="29:33">
      <c r="AC387" s="162" t="s">
        <v>1980</v>
      </c>
      <c r="AD387" s="163" t="s">
        <v>3888</v>
      </c>
      <c r="AE387" s="137" t="s">
        <v>3655</v>
      </c>
      <c r="AF387" s="137" t="s">
        <v>3655</v>
      </c>
      <c r="AG387" s="164"/>
    </row>
    <row r="388" spans="29:33">
      <c r="AC388" s="162" t="s">
        <v>1980</v>
      </c>
      <c r="AD388" s="163" t="s">
        <v>3889</v>
      </c>
      <c r="AE388" s="137" t="s">
        <v>3890</v>
      </c>
      <c r="AF388" s="137" t="s">
        <v>3890</v>
      </c>
      <c r="AG388" s="164"/>
    </row>
    <row r="389" spans="29:33">
      <c r="AC389" s="162" t="s">
        <v>1980</v>
      </c>
      <c r="AD389" s="163" t="s">
        <v>171</v>
      </c>
      <c r="AE389" s="137" t="s">
        <v>2042</v>
      </c>
      <c r="AF389" s="137" t="s">
        <v>3891</v>
      </c>
      <c r="AG389" s="164"/>
    </row>
    <row r="390" spans="29:33">
      <c r="AC390" s="162" t="s">
        <v>1980</v>
      </c>
      <c r="AD390" s="163" t="s">
        <v>245</v>
      </c>
      <c r="AE390" s="137" t="s">
        <v>3851</v>
      </c>
      <c r="AF390" s="137" t="s">
        <v>3851</v>
      </c>
      <c r="AG390" s="164"/>
    </row>
    <row r="391" spans="29:33">
      <c r="AC391" s="162" t="s">
        <v>1980</v>
      </c>
      <c r="AD391" s="163" t="s">
        <v>1710</v>
      </c>
      <c r="AE391" s="137" t="s">
        <v>2349</v>
      </c>
      <c r="AF391" s="137" t="s">
        <v>2349</v>
      </c>
      <c r="AG391" s="164"/>
    </row>
    <row r="392" spans="29:33">
      <c r="AC392" s="162" t="s">
        <v>1980</v>
      </c>
      <c r="AD392" s="163" t="s">
        <v>3892</v>
      </c>
      <c r="AE392" s="137" t="s">
        <v>3893</v>
      </c>
      <c r="AF392" s="137" t="s">
        <v>3893</v>
      </c>
      <c r="AG392" s="164"/>
    </row>
    <row r="393" spans="29:33">
      <c r="AC393" s="162" t="s">
        <v>1980</v>
      </c>
      <c r="AD393" s="163" t="s">
        <v>3894</v>
      </c>
      <c r="AE393" s="137" t="s">
        <v>3893</v>
      </c>
      <c r="AF393" s="137" t="s">
        <v>3893</v>
      </c>
      <c r="AG393" s="164"/>
    </row>
    <row r="394" spans="29:33">
      <c r="AC394" s="162" t="s">
        <v>1980</v>
      </c>
      <c r="AD394" s="163" t="s">
        <v>1233</v>
      </c>
      <c r="AE394" s="137" t="s">
        <v>2674</v>
      </c>
      <c r="AF394" s="137" t="s">
        <v>2674</v>
      </c>
      <c r="AG394" s="164"/>
    </row>
    <row r="395" spans="29:33">
      <c r="AC395" s="162" t="s">
        <v>1980</v>
      </c>
      <c r="AD395" s="163" t="s">
        <v>461</v>
      </c>
      <c r="AE395" s="137" t="s">
        <v>3862</v>
      </c>
      <c r="AF395" s="137" t="s">
        <v>3862</v>
      </c>
      <c r="AG395" s="164"/>
    </row>
    <row r="396" spans="29:33">
      <c r="AC396" s="162" t="s">
        <v>1980</v>
      </c>
      <c r="AD396" s="163" t="s">
        <v>855</v>
      </c>
      <c r="AE396" s="137" t="s">
        <v>3865</v>
      </c>
      <c r="AF396" s="137" t="s">
        <v>3865</v>
      </c>
      <c r="AG396" s="164"/>
    </row>
    <row r="397" spans="29:33">
      <c r="AC397" s="162" t="s">
        <v>1980</v>
      </c>
      <c r="AD397" s="163" t="s">
        <v>1479</v>
      </c>
      <c r="AE397" s="137" t="s">
        <v>3895</v>
      </c>
      <c r="AF397" s="137" t="s">
        <v>3895</v>
      </c>
      <c r="AG397" s="164"/>
    </row>
    <row r="398" spans="29:33">
      <c r="AC398" s="162" t="s">
        <v>1980</v>
      </c>
      <c r="AD398" s="163" t="s">
        <v>225</v>
      </c>
      <c r="AE398" s="137" t="s">
        <v>3896</v>
      </c>
      <c r="AF398" s="137" t="s">
        <v>3896</v>
      </c>
      <c r="AG398" s="164"/>
    </row>
    <row r="399" spans="29:33">
      <c r="AC399" s="162" t="s">
        <v>1980</v>
      </c>
      <c r="AD399" s="163" t="s">
        <v>266</v>
      </c>
      <c r="AE399" s="137" t="s">
        <v>3897</v>
      </c>
      <c r="AF399" s="137" t="s">
        <v>3897</v>
      </c>
      <c r="AG399" s="164"/>
    </row>
    <row r="400" spans="29:33">
      <c r="AC400" s="162" t="s">
        <v>1980</v>
      </c>
      <c r="AD400" s="163" t="s">
        <v>73</v>
      </c>
      <c r="AE400" s="137" t="s">
        <v>3898</v>
      </c>
      <c r="AF400" s="137" t="s">
        <v>3898</v>
      </c>
      <c r="AG400" s="164"/>
    </row>
    <row r="401" spans="29:33">
      <c r="AC401" s="162" t="s">
        <v>1980</v>
      </c>
      <c r="AD401" s="163" t="s">
        <v>3899</v>
      </c>
      <c r="AE401" s="137" t="s">
        <v>3900</v>
      </c>
      <c r="AF401" s="137" t="s">
        <v>3900</v>
      </c>
      <c r="AG401" s="164"/>
    </row>
    <row r="402" spans="29:33">
      <c r="AC402" s="162" t="s">
        <v>1980</v>
      </c>
      <c r="AD402" s="163" t="s">
        <v>3901</v>
      </c>
      <c r="AE402" s="137" t="s">
        <v>3902</v>
      </c>
      <c r="AF402" s="137" t="s">
        <v>3902</v>
      </c>
      <c r="AG402" s="164"/>
    </row>
    <row r="403" spans="29:33">
      <c r="AC403" s="162" t="s">
        <v>1980</v>
      </c>
      <c r="AD403" s="163" t="s">
        <v>3903</v>
      </c>
      <c r="AE403" s="137" t="s">
        <v>3904</v>
      </c>
      <c r="AF403" s="137" t="s">
        <v>3904</v>
      </c>
      <c r="AG403" s="164"/>
    </row>
    <row r="404" spans="29:33">
      <c r="AC404" s="162" t="s">
        <v>1980</v>
      </c>
      <c r="AD404" s="163" t="s">
        <v>162</v>
      </c>
      <c r="AE404" s="137" t="s">
        <v>3905</v>
      </c>
      <c r="AF404" s="137" t="s">
        <v>2214</v>
      </c>
      <c r="AG404" s="164"/>
    </row>
    <row r="405" spans="29:33">
      <c r="AC405" s="162" t="s">
        <v>1980</v>
      </c>
      <c r="AD405" s="163" t="s">
        <v>3906</v>
      </c>
      <c r="AE405" s="137" t="s">
        <v>2748</v>
      </c>
      <c r="AF405" s="137" t="s">
        <v>2748</v>
      </c>
      <c r="AG405" s="164"/>
    </row>
    <row r="406" spans="29:33">
      <c r="AC406" s="162" t="s">
        <v>1980</v>
      </c>
      <c r="AD406" s="163" t="s">
        <v>3907</v>
      </c>
      <c r="AE406" s="137" t="s">
        <v>3908</v>
      </c>
      <c r="AF406" s="137" t="s">
        <v>3908</v>
      </c>
      <c r="AG406" s="164"/>
    </row>
    <row r="407" spans="29:33">
      <c r="AC407" s="162" t="s">
        <v>1980</v>
      </c>
      <c r="AD407" s="163" t="s">
        <v>239</v>
      </c>
      <c r="AE407" s="137" t="s">
        <v>3909</v>
      </c>
      <c r="AF407" s="137" t="s">
        <v>3909</v>
      </c>
      <c r="AG407" s="164"/>
    </row>
    <row r="408" spans="29:33">
      <c r="AC408" s="162" t="s">
        <v>1980</v>
      </c>
      <c r="AD408" s="163" t="s">
        <v>1803</v>
      </c>
      <c r="AE408" s="137" t="s">
        <v>2214</v>
      </c>
      <c r="AF408" s="137" t="s">
        <v>2214</v>
      </c>
      <c r="AG408" s="164"/>
    </row>
    <row r="409" spans="29:33">
      <c r="AC409" s="162" t="s">
        <v>1980</v>
      </c>
      <c r="AD409" s="163" t="s">
        <v>3910</v>
      </c>
      <c r="AE409" s="137" t="s">
        <v>2568</v>
      </c>
      <c r="AF409" s="137" t="s">
        <v>2568</v>
      </c>
      <c r="AG409" s="164"/>
    </row>
    <row r="410" spans="29:33" ht="14.5">
      <c r="AC410" s="162" t="s">
        <v>1980</v>
      </c>
      <c r="AD410" s="257" t="s">
        <v>1032</v>
      </c>
      <c r="AE410" s="258" t="s">
        <v>1997</v>
      </c>
      <c r="AF410" s="137" t="s">
        <v>3389</v>
      </c>
      <c r="AG410" s="164"/>
    </row>
    <row r="411" spans="29:33" ht="14.5">
      <c r="AC411" s="162" t="s">
        <v>1980</v>
      </c>
      <c r="AD411" s="257" t="s">
        <v>726</v>
      </c>
      <c r="AE411" s="258" t="s">
        <v>3911</v>
      </c>
      <c r="AF411" s="137" t="s">
        <v>3911</v>
      </c>
      <c r="AG411" s="164"/>
    </row>
    <row r="412" spans="29:33" ht="14.5">
      <c r="AC412" s="162" t="s">
        <v>1980</v>
      </c>
      <c r="AD412" s="257" t="s">
        <v>99</v>
      </c>
      <c r="AE412" s="258" t="s">
        <v>3912</v>
      </c>
      <c r="AF412" s="137" t="s">
        <v>3913</v>
      </c>
      <c r="AG412" s="164"/>
    </row>
    <row r="413" spans="29:33" ht="14.5">
      <c r="AC413" s="162" t="s">
        <v>1980</v>
      </c>
      <c r="AD413" s="257" t="s">
        <v>752</v>
      </c>
      <c r="AE413" s="258" t="s">
        <v>3914</v>
      </c>
      <c r="AF413" s="137" t="s">
        <v>3915</v>
      </c>
      <c r="AG413" s="164"/>
    </row>
    <row r="414" spans="29:33">
      <c r="AC414" s="162" t="s">
        <v>1980</v>
      </c>
      <c r="AD414" s="163" t="s">
        <v>288</v>
      </c>
      <c r="AE414" s="137" t="s">
        <v>3916</v>
      </c>
      <c r="AF414" s="137" t="s">
        <v>3916</v>
      </c>
      <c r="AG414" s="164"/>
    </row>
    <row r="415" spans="29:33">
      <c r="AC415" s="162" t="s">
        <v>1980</v>
      </c>
      <c r="AD415" s="163" t="s">
        <v>51</v>
      </c>
      <c r="AE415" s="137" t="s">
        <v>3897</v>
      </c>
      <c r="AF415" s="137" t="s">
        <v>3897</v>
      </c>
      <c r="AG415" s="164"/>
    </row>
    <row r="416" spans="29:33">
      <c r="AC416" s="162" t="s">
        <v>1980</v>
      </c>
      <c r="AD416" s="163" t="s">
        <v>552</v>
      </c>
      <c r="AE416" s="137" t="s">
        <v>3898</v>
      </c>
      <c r="AF416" s="137" t="s">
        <v>3898</v>
      </c>
      <c r="AG416" s="164"/>
    </row>
    <row r="417" spans="29:33">
      <c r="AC417" s="162" t="s">
        <v>1980</v>
      </c>
      <c r="AD417" s="163" t="s">
        <v>221</v>
      </c>
      <c r="AE417" s="137" t="s">
        <v>3917</v>
      </c>
      <c r="AF417" s="137" t="s">
        <v>3917</v>
      </c>
      <c r="AG417" s="164"/>
    </row>
    <row r="418" spans="29:33">
      <c r="AC418" s="162" t="s">
        <v>1980</v>
      </c>
      <c r="AD418" s="163" t="s">
        <v>924</v>
      </c>
      <c r="AE418" s="137" t="s">
        <v>3918</v>
      </c>
      <c r="AF418" s="137" t="s">
        <v>3918</v>
      </c>
      <c r="AG418" s="164"/>
    </row>
    <row r="419" spans="29:33">
      <c r="AC419" s="162" t="s">
        <v>1980</v>
      </c>
      <c r="AD419" s="163" t="s">
        <v>1748</v>
      </c>
      <c r="AE419" s="137" t="s">
        <v>2214</v>
      </c>
      <c r="AF419" s="137" t="s">
        <v>2214</v>
      </c>
      <c r="AG419" s="164"/>
    </row>
    <row r="420" spans="29:33">
      <c r="AC420" s="162" t="s">
        <v>1980</v>
      </c>
      <c r="AD420" s="163" t="s">
        <v>124</v>
      </c>
      <c r="AE420" s="137" t="s">
        <v>3919</v>
      </c>
      <c r="AF420" s="137" t="s">
        <v>3919</v>
      </c>
      <c r="AG420" s="164"/>
    </row>
    <row r="421" spans="29:33">
      <c r="AC421" s="162" t="s">
        <v>1980</v>
      </c>
      <c r="AD421" s="163" t="s">
        <v>3920</v>
      </c>
      <c r="AE421" s="137" t="s">
        <v>3758</v>
      </c>
      <c r="AF421" s="137" t="s">
        <v>3919</v>
      </c>
      <c r="AG421" s="164"/>
    </row>
    <row r="422" spans="29:33">
      <c r="AC422" s="162" t="s">
        <v>1980</v>
      </c>
      <c r="AD422" s="163" t="s">
        <v>544</v>
      </c>
      <c r="AE422" s="137" t="s">
        <v>3921</v>
      </c>
      <c r="AF422" s="137" t="s">
        <v>3922</v>
      </c>
      <c r="AG422" s="164"/>
    </row>
    <row r="423" spans="29:33">
      <c r="AC423" s="162" t="s">
        <v>1980</v>
      </c>
      <c r="AD423" s="163" t="s">
        <v>3923</v>
      </c>
      <c r="AE423" s="137" t="s">
        <v>2635</v>
      </c>
      <c r="AF423" s="137" t="s">
        <v>1030</v>
      </c>
      <c r="AG423" s="164"/>
    </row>
    <row r="424" spans="29:33">
      <c r="AC424" s="162" t="s">
        <v>1980</v>
      </c>
      <c r="AD424" s="163" t="s">
        <v>157</v>
      </c>
      <c r="AE424" s="137" t="s">
        <v>3922</v>
      </c>
      <c r="AF424" s="137" t="s">
        <v>3922</v>
      </c>
      <c r="AG424" s="164"/>
    </row>
    <row r="425" spans="29:33">
      <c r="AC425" s="162" t="s">
        <v>1980</v>
      </c>
      <c r="AD425" s="163" t="s">
        <v>289</v>
      </c>
      <c r="AE425" s="137" t="s">
        <v>1030</v>
      </c>
      <c r="AF425" s="137" t="s">
        <v>1030</v>
      </c>
      <c r="AG425" s="164"/>
    </row>
    <row r="426" spans="29:33">
      <c r="AC426" s="162" t="s">
        <v>1980</v>
      </c>
      <c r="AD426" s="163" t="s">
        <v>208</v>
      </c>
      <c r="AE426" s="137" t="s">
        <v>2378</v>
      </c>
      <c r="AF426" s="137" t="s">
        <v>3924</v>
      </c>
      <c r="AG426" s="164"/>
    </row>
    <row r="427" spans="29:33">
      <c r="AC427" s="162" t="s">
        <v>1980</v>
      </c>
      <c r="AD427" s="163" t="s">
        <v>706</v>
      </c>
      <c r="AE427" s="137" t="s">
        <v>3925</v>
      </c>
      <c r="AF427" s="137" t="s">
        <v>3925</v>
      </c>
      <c r="AG427" s="164"/>
    </row>
    <row r="428" spans="29:33">
      <c r="AC428" s="162" t="s">
        <v>1980</v>
      </c>
      <c r="AD428" s="163" t="s">
        <v>1063</v>
      </c>
      <c r="AE428" s="137" t="s">
        <v>3926</v>
      </c>
      <c r="AF428" s="137" t="s">
        <v>3926</v>
      </c>
      <c r="AG428" s="164"/>
    </row>
    <row r="429" spans="29:33">
      <c r="AC429" s="162" t="s">
        <v>1980</v>
      </c>
      <c r="AD429" s="163" t="s">
        <v>362</v>
      </c>
      <c r="AE429" s="137" t="s">
        <v>3927</v>
      </c>
      <c r="AF429" s="137" t="s">
        <v>3927</v>
      </c>
      <c r="AG429" s="164"/>
    </row>
    <row r="430" spans="29:33">
      <c r="AC430" s="162" t="s">
        <v>1980</v>
      </c>
      <c r="AD430" s="163" t="s">
        <v>436</v>
      </c>
      <c r="AE430" s="137" t="s">
        <v>3585</v>
      </c>
      <c r="AF430" s="137" t="s">
        <v>3928</v>
      </c>
      <c r="AG430" s="164"/>
    </row>
    <row r="431" spans="29:33">
      <c r="AC431" s="162" t="s">
        <v>1980</v>
      </c>
      <c r="AD431" s="163" t="s">
        <v>388</v>
      </c>
      <c r="AE431" s="137" t="s">
        <v>2024</v>
      </c>
      <c r="AF431" s="137" t="s">
        <v>3883</v>
      </c>
      <c r="AG431" s="164"/>
    </row>
    <row r="432" spans="29:33">
      <c r="AC432" s="162" t="s">
        <v>1980</v>
      </c>
      <c r="AD432" s="163" t="s">
        <v>468</v>
      </c>
      <c r="AE432" s="137" t="s">
        <v>3929</v>
      </c>
      <c r="AF432" s="137" t="s">
        <v>3929</v>
      </c>
      <c r="AG432" s="164"/>
    </row>
    <row r="433" spans="29:33">
      <c r="AC433" s="162" t="s">
        <v>1980</v>
      </c>
      <c r="AD433" s="163" t="s">
        <v>380</v>
      </c>
      <c r="AE433" s="137" t="s">
        <v>2396</v>
      </c>
      <c r="AF433" s="137" t="s">
        <v>3874</v>
      </c>
      <c r="AG433" s="164"/>
    </row>
    <row r="434" spans="29:33">
      <c r="AC434" s="162" t="s">
        <v>1980</v>
      </c>
      <c r="AD434" s="163" t="s">
        <v>1440</v>
      </c>
      <c r="AE434" s="137" t="s">
        <v>3930</v>
      </c>
      <c r="AF434" s="137" t="s">
        <v>3930</v>
      </c>
      <c r="AG434" s="164"/>
    </row>
    <row r="435" spans="29:33">
      <c r="AC435" s="162" t="s">
        <v>1980</v>
      </c>
      <c r="AD435" s="163" t="s">
        <v>1338</v>
      </c>
      <c r="AE435" s="137" t="s">
        <v>3931</v>
      </c>
      <c r="AF435" s="137" t="s">
        <v>3931</v>
      </c>
      <c r="AG435" s="164"/>
    </row>
    <row r="436" spans="29:33">
      <c r="AC436" s="162" t="s">
        <v>1980</v>
      </c>
      <c r="AD436" s="163" t="s">
        <v>1751</v>
      </c>
      <c r="AE436" s="137" t="s">
        <v>3932</v>
      </c>
      <c r="AF436" s="137" t="s">
        <v>3933</v>
      </c>
      <c r="AG436" s="164"/>
    </row>
    <row r="437" spans="29:33">
      <c r="AC437" s="162" t="s">
        <v>1980</v>
      </c>
      <c r="AD437" s="163" t="s">
        <v>1248</v>
      </c>
      <c r="AE437" s="137" t="s">
        <v>3934</v>
      </c>
      <c r="AF437" s="137" t="s">
        <v>3935</v>
      </c>
      <c r="AG437" s="164"/>
    </row>
    <row r="438" spans="29:33">
      <c r="AC438" s="162" t="s">
        <v>1980</v>
      </c>
      <c r="AD438" s="163" t="s">
        <v>328</v>
      </c>
      <c r="AE438" s="137" t="s">
        <v>3936</v>
      </c>
      <c r="AF438" s="137" t="s">
        <v>3936</v>
      </c>
      <c r="AG438" s="164"/>
    </row>
    <row r="439" spans="29:33">
      <c r="AC439" s="162" t="s">
        <v>1980</v>
      </c>
      <c r="AD439" s="163" t="s">
        <v>997</v>
      </c>
      <c r="AE439" s="137" t="s">
        <v>3649</v>
      </c>
      <c r="AF439" s="137" t="s">
        <v>3937</v>
      </c>
      <c r="AG439" s="164"/>
    </row>
    <row r="440" spans="29:33">
      <c r="AC440" s="162" t="s">
        <v>1980</v>
      </c>
      <c r="AD440" s="163" t="s">
        <v>3938</v>
      </c>
      <c r="AE440" s="137" t="s">
        <v>3655</v>
      </c>
      <c r="AF440" s="137" t="s">
        <v>3655</v>
      </c>
      <c r="AG440" s="164"/>
    </row>
    <row r="441" spans="29:33">
      <c r="AC441" s="162" t="s">
        <v>1980</v>
      </c>
      <c r="AD441" s="163" t="s">
        <v>3938</v>
      </c>
      <c r="AE441" s="137" t="s">
        <v>3939</v>
      </c>
      <c r="AF441" s="137" t="s">
        <v>3655</v>
      </c>
      <c r="AG441" s="164"/>
    </row>
    <row r="442" spans="29:33">
      <c r="AC442" s="162" t="s">
        <v>1980</v>
      </c>
      <c r="AD442" s="163" t="s">
        <v>1013</v>
      </c>
      <c r="AE442" s="137" t="s">
        <v>3846</v>
      </c>
      <c r="AF442" s="137" t="s">
        <v>3846</v>
      </c>
      <c r="AG442" s="164"/>
    </row>
    <row r="443" spans="29:33">
      <c r="AC443" s="162" t="s">
        <v>1980</v>
      </c>
      <c r="AD443" s="163" t="s">
        <v>3940</v>
      </c>
      <c r="AE443" s="137" t="s">
        <v>3836</v>
      </c>
      <c r="AF443" s="137" t="s">
        <v>3836</v>
      </c>
      <c r="AG443" s="164"/>
    </row>
    <row r="444" spans="29:33">
      <c r="AC444" s="162" t="s">
        <v>1980</v>
      </c>
      <c r="AD444" s="259" t="s">
        <v>3941</v>
      </c>
      <c r="AE444" s="137" t="s">
        <v>3838</v>
      </c>
      <c r="AF444" s="137" t="s">
        <v>3838</v>
      </c>
      <c r="AG444" s="164"/>
    </row>
    <row r="445" spans="29:33">
      <c r="AC445" s="162" t="s">
        <v>1980</v>
      </c>
      <c r="AD445" s="163" t="s">
        <v>3942</v>
      </c>
      <c r="AE445" s="137" t="s">
        <v>3840</v>
      </c>
      <c r="AF445" s="137" t="s">
        <v>3840</v>
      </c>
      <c r="AG445" s="164"/>
    </row>
    <row r="446" spans="29:33">
      <c r="AC446" s="162" t="s">
        <v>1980</v>
      </c>
      <c r="AD446" s="163" t="s">
        <v>3943</v>
      </c>
      <c r="AE446" s="137" t="s">
        <v>2635</v>
      </c>
      <c r="AF446" s="137" t="s">
        <v>2635</v>
      </c>
      <c r="AG446" s="164"/>
    </row>
    <row r="447" spans="29:33">
      <c r="AC447" s="162" t="s">
        <v>1980</v>
      </c>
      <c r="AD447" s="163" t="s">
        <v>637</v>
      </c>
      <c r="AE447" s="137" t="s">
        <v>3866</v>
      </c>
      <c r="AF447" s="137" t="s">
        <v>3866</v>
      </c>
      <c r="AG447" s="164"/>
    </row>
    <row r="448" spans="29:33">
      <c r="AC448" s="162" t="s">
        <v>1980</v>
      </c>
      <c r="AD448" s="163" t="s">
        <v>3944</v>
      </c>
      <c r="AE448" s="137" t="s">
        <v>3866</v>
      </c>
      <c r="AF448" s="137" t="s">
        <v>3866</v>
      </c>
      <c r="AG448" s="164"/>
    </row>
    <row r="449" spans="29:33">
      <c r="AC449" s="162" t="s">
        <v>1980</v>
      </c>
      <c r="AD449" s="163" t="s">
        <v>1180</v>
      </c>
      <c r="AE449" s="137" t="s">
        <v>3945</v>
      </c>
      <c r="AF449" s="137" t="s">
        <v>3836</v>
      </c>
      <c r="AG449" s="164"/>
    </row>
    <row r="450" spans="29:33">
      <c r="AC450" s="162" t="s">
        <v>1980</v>
      </c>
      <c r="AD450" s="163" t="s">
        <v>1688</v>
      </c>
      <c r="AE450" s="137" t="s">
        <v>3946</v>
      </c>
      <c r="AF450" s="137" t="s">
        <v>3838</v>
      </c>
      <c r="AG450" s="164"/>
    </row>
    <row r="451" spans="29:33">
      <c r="AC451" s="162" t="s">
        <v>1980</v>
      </c>
      <c r="AD451" s="163" t="s">
        <v>1084</v>
      </c>
      <c r="AE451" s="137" t="s">
        <v>3947</v>
      </c>
      <c r="AF451" s="137" t="s">
        <v>3947</v>
      </c>
      <c r="AG451" s="164"/>
    </row>
    <row r="452" spans="29:33">
      <c r="AC452" s="260" t="s">
        <v>2387</v>
      </c>
      <c r="AD452" s="261" t="s">
        <v>3948</v>
      </c>
      <c r="AE452" s="137" t="s">
        <v>3948</v>
      </c>
      <c r="AF452" s="137" t="s">
        <v>3949</v>
      </c>
      <c r="AG452" s="164"/>
    </row>
    <row r="453" spans="29:33">
      <c r="AC453" s="260" t="s">
        <v>2387</v>
      </c>
      <c r="AD453" s="261" t="s">
        <v>3950</v>
      </c>
      <c r="AE453" s="137" t="s">
        <v>3950</v>
      </c>
      <c r="AF453" s="137" t="s">
        <v>3951</v>
      </c>
      <c r="AG453" s="164"/>
    </row>
    <row r="454" spans="29:33">
      <c r="AC454" s="260" t="s">
        <v>2387</v>
      </c>
      <c r="AD454" s="261" t="s">
        <v>3952</v>
      </c>
      <c r="AE454" s="137" t="s">
        <v>3952</v>
      </c>
      <c r="AF454" s="137" t="s">
        <v>3953</v>
      </c>
      <c r="AG454" s="164"/>
    </row>
    <row r="455" spans="29:33">
      <c r="AC455" s="260" t="s">
        <v>2387</v>
      </c>
      <c r="AD455" s="261" t="s">
        <v>3954</v>
      </c>
      <c r="AE455" s="137" t="s">
        <v>3954</v>
      </c>
      <c r="AF455" s="137" t="s">
        <v>3955</v>
      </c>
      <c r="AG455" s="164"/>
    </row>
    <row r="456" spans="29:33">
      <c r="AC456" s="260" t="s">
        <v>2387</v>
      </c>
      <c r="AD456" s="261" t="s">
        <v>3956</v>
      </c>
      <c r="AE456" s="137" t="s">
        <v>2235</v>
      </c>
      <c r="AF456" s="137" t="s">
        <v>3957</v>
      </c>
      <c r="AG456" s="164"/>
    </row>
    <row r="457" spans="29:33">
      <c r="AC457" s="260" t="s">
        <v>2387</v>
      </c>
      <c r="AD457" s="261" t="s">
        <v>3958</v>
      </c>
      <c r="AE457" s="137" t="s">
        <v>2302</v>
      </c>
      <c r="AF457" s="137" t="s">
        <v>3959</v>
      </c>
      <c r="AG457" s="164"/>
    </row>
    <row r="458" spans="29:33">
      <c r="AC458" s="260" t="s">
        <v>2387</v>
      </c>
      <c r="AD458" s="261" t="s">
        <v>3960</v>
      </c>
      <c r="AE458" s="137" t="s">
        <v>2190</v>
      </c>
      <c r="AF458" s="137" t="s">
        <v>2772</v>
      </c>
      <c r="AG458" s="164"/>
    </row>
    <row r="459" spans="29:33">
      <c r="AC459" s="260" t="s">
        <v>2387</v>
      </c>
      <c r="AD459" s="261" t="s">
        <v>3961</v>
      </c>
      <c r="AE459" s="137" t="s">
        <v>3962</v>
      </c>
      <c r="AF459" s="137" t="s">
        <v>3962</v>
      </c>
      <c r="AG459" s="164"/>
    </row>
    <row r="460" spans="29:33">
      <c r="AC460" s="260" t="s">
        <v>2387</v>
      </c>
      <c r="AD460" s="261" t="s">
        <v>3963</v>
      </c>
      <c r="AE460" s="137" t="s">
        <v>3963</v>
      </c>
      <c r="AF460" s="137" t="s">
        <v>2349</v>
      </c>
      <c r="AG460" s="164"/>
    </row>
    <row r="461" spans="29:33">
      <c r="AC461" s="260" t="s">
        <v>2387</v>
      </c>
      <c r="AD461" s="261" t="s">
        <v>3964</v>
      </c>
      <c r="AE461" s="137" t="s">
        <v>3964</v>
      </c>
      <c r="AF461" s="137" t="s">
        <v>3965</v>
      </c>
      <c r="AG461" s="164"/>
    </row>
    <row r="462" spans="29:33">
      <c r="AC462" s="260" t="s">
        <v>2387</v>
      </c>
      <c r="AD462" s="261" t="s">
        <v>3966</v>
      </c>
      <c r="AE462" s="137" t="s">
        <v>3966</v>
      </c>
      <c r="AF462" s="137" t="s">
        <v>3855</v>
      </c>
      <c r="AG462" s="164"/>
    </row>
    <row r="463" spans="29:33">
      <c r="AC463" s="260" t="s">
        <v>2387</v>
      </c>
      <c r="AD463" s="261" t="s">
        <v>657</v>
      </c>
      <c r="AE463" s="137" t="s">
        <v>3967</v>
      </c>
      <c r="AF463" s="137" t="s">
        <v>3968</v>
      </c>
      <c r="AG463" s="164"/>
    </row>
    <row r="464" spans="29:33">
      <c r="AC464" s="260" t="s">
        <v>2387</v>
      </c>
      <c r="AD464" s="261" t="s">
        <v>3969</v>
      </c>
      <c r="AE464" s="137" t="s">
        <v>3969</v>
      </c>
      <c r="AF464" s="137" t="s">
        <v>3970</v>
      </c>
      <c r="AG464" s="164"/>
    </row>
    <row r="465" spans="29:33">
      <c r="AC465" s="260" t="s">
        <v>2387</v>
      </c>
      <c r="AD465" s="261" t="s">
        <v>3971</v>
      </c>
      <c r="AE465" s="137" t="s">
        <v>3971</v>
      </c>
      <c r="AF465" s="137" t="s">
        <v>3972</v>
      </c>
      <c r="AG465" s="164"/>
    </row>
    <row r="466" spans="29:33">
      <c r="AC466" s="260" t="s">
        <v>2387</v>
      </c>
      <c r="AD466" s="261" t="s">
        <v>3973</v>
      </c>
      <c r="AE466" s="137" t="s">
        <v>3973</v>
      </c>
      <c r="AF466" s="137" t="s">
        <v>2800</v>
      </c>
      <c r="AG466" s="164"/>
    </row>
    <row r="467" spans="29:33">
      <c r="AC467" s="260" t="s">
        <v>2387</v>
      </c>
      <c r="AD467" s="261" t="s">
        <v>3974</v>
      </c>
      <c r="AE467" s="137" t="s">
        <v>3974</v>
      </c>
      <c r="AF467" s="137" t="s">
        <v>3975</v>
      </c>
      <c r="AG467" s="164"/>
    </row>
    <row r="468" spans="29:33">
      <c r="AC468" s="260" t="s">
        <v>2387</v>
      </c>
      <c r="AD468" s="261" t="s">
        <v>3976</v>
      </c>
      <c r="AE468" s="137" t="s">
        <v>3977</v>
      </c>
      <c r="AF468" s="137" t="s">
        <v>3978</v>
      </c>
      <c r="AG468" s="164"/>
    </row>
    <row r="469" spans="29:33">
      <c r="AC469" s="260" t="s">
        <v>2387</v>
      </c>
      <c r="AD469" s="261" t="s">
        <v>3979</v>
      </c>
      <c r="AE469" s="137" t="s">
        <v>3980</v>
      </c>
      <c r="AF469" s="137" t="s">
        <v>3981</v>
      </c>
      <c r="AG469" s="164"/>
    </row>
    <row r="470" spans="29:33">
      <c r="AC470" s="260" t="s">
        <v>2387</v>
      </c>
      <c r="AD470" s="261" t="s">
        <v>1</v>
      </c>
      <c r="AE470" s="137" t="s">
        <v>3073</v>
      </c>
      <c r="AF470" s="137" t="s">
        <v>3073</v>
      </c>
      <c r="AG470" s="164"/>
    </row>
    <row r="471" spans="29:33">
      <c r="AC471" s="260" t="s">
        <v>2387</v>
      </c>
      <c r="AD471" s="261" t="s">
        <v>3248</v>
      </c>
      <c r="AE471" s="137" t="s">
        <v>3250</v>
      </c>
      <c r="AF471" s="137" t="s">
        <v>3250</v>
      </c>
      <c r="AG471" s="164"/>
    </row>
    <row r="472" spans="29:33">
      <c r="AC472" s="260" t="s">
        <v>2387</v>
      </c>
      <c r="AD472" s="261" t="s">
        <v>3982</v>
      </c>
      <c r="AE472" s="137" t="s">
        <v>3982</v>
      </c>
      <c r="AF472" s="137" t="s">
        <v>3983</v>
      </c>
      <c r="AG472" s="164"/>
    </row>
    <row r="473" spans="29:33">
      <c r="AC473" s="260" t="s">
        <v>2387</v>
      </c>
      <c r="AD473" s="261" t="s">
        <v>3984</v>
      </c>
      <c r="AE473" s="137" t="s">
        <v>3984</v>
      </c>
      <c r="AF473" s="137" t="s">
        <v>3985</v>
      </c>
      <c r="AG473" s="164"/>
    </row>
    <row r="474" spans="29:33">
      <c r="AC474" s="260" t="s">
        <v>2387</v>
      </c>
      <c r="AD474" s="261" t="s">
        <v>3145</v>
      </c>
      <c r="AE474" s="137" t="s">
        <v>3145</v>
      </c>
      <c r="AF474" s="137" t="s">
        <v>3146</v>
      </c>
      <c r="AG474" s="164"/>
    </row>
    <row r="475" spans="29:33">
      <c r="AC475" s="260" t="s">
        <v>2387</v>
      </c>
      <c r="AD475" s="261" t="s">
        <v>3986</v>
      </c>
      <c r="AE475" s="137" t="s">
        <v>3986</v>
      </c>
      <c r="AF475" s="137" t="s">
        <v>3987</v>
      </c>
      <c r="AG475" s="164"/>
    </row>
    <row r="476" spans="29:33">
      <c r="AC476" s="260" t="s">
        <v>2387</v>
      </c>
      <c r="AD476" s="261" t="s">
        <v>3988</v>
      </c>
      <c r="AE476" s="137" t="s">
        <v>3988</v>
      </c>
      <c r="AF476" s="137" t="s">
        <v>3989</v>
      </c>
      <c r="AG476" s="164"/>
    </row>
    <row r="477" spans="29:33">
      <c r="AC477" s="260" t="s">
        <v>2387</v>
      </c>
      <c r="AD477" s="261" t="s">
        <v>3990</v>
      </c>
      <c r="AE477" s="137" t="s">
        <v>3990</v>
      </c>
      <c r="AF477" s="137" t="s">
        <v>3204</v>
      </c>
      <c r="AG477" s="164"/>
    </row>
    <row r="478" spans="29:33">
      <c r="AC478" s="260" t="s">
        <v>2387</v>
      </c>
      <c r="AD478" s="261" t="s">
        <v>3991</v>
      </c>
      <c r="AE478" s="137" t="s">
        <v>3991</v>
      </c>
      <c r="AF478" s="137" t="s">
        <v>3992</v>
      </c>
      <c r="AG478" s="164"/>
    </row>
    <row r="479" spans="29:33">
      <c r="AC479" s="260" t="s">
        <v>2387</v>
      </c>
      <c r="AD479" s="261" t="s">
        <v>3993</v>
      </c>
      <c r="AE479" s="137" t="s">
        <v>3993</v>
      </c>
      <c r="AF479" s="137" t="s">
        <v>2001</v>
      </c>
      <c r="AG479" s="164"/>
    </row>
    <row r="480" spans="29:33">
      <c r="AC480" s="260" t="s">
        <v>2387</v>
      </c>
      <c r="AD480" s="261" t="s">
        <v>3994</v>
      </c>
      <c r="AE480" s="137" t="s">
        <v>3994</v>
      </c>
      <c r="AF480" s="137" t="s">
        <v>3995</v>
      </c>
      <c r="AG480" s="164"/>
    </row>
    <row r="481" spans="29:33">
      <c r="AC481" s="260" t="s">
        <v>2387</v>
      </c>
      <c r="AD481" s="261" t="s">
        <v>3996</v>
      </c>
      <c r="AE481" s="137" t="s">
        <v>3996</v>
      </c>
      <c r="AF481" s="137" t="s">
        <v>3997</v>
      </c>
      <c r="AG481" s="164"/>
    </row>
    <row r="482" spans="29:33">
      <c r="AC482" s="260" t="s">
        <v>2387</v>
      </c>
      <c r="AD482" s="261" t="s">
        <v>3998</v>
      </c>
      <c r="AE482" s="137" t="s">
        <v>3999</v>
      </c>
      <c r="AF482" s="137" t="s">
        <v>4000</v>
      </c>
      <c r="AG482" s="164"/>
    </row>
    <row r="483" spans="29:33">
      <c r="AC483" s="260" t="s">
        <v>2387</v>
      </c>
      <c r="AD483" s="261" t="s">
        <v>1581</v>
      </c>
      <c r="AE483" s="137" t="s">
        <v>4001</v>
      </c>
      <c r="AF483" s="137" t="s">
        <v>4002</v>
      </c>
      <c r="AG483" s="164"/>
    </row>
    <row r="484" spans="29:33">
      <c r="AC484" s="260" t="s">
        <v>2387</v>
      </c>
      <c r="AD484" s="261" t="s">
        <v>4003</v>
      </c>
      <c r="AE484" s="137" t="s">
        <v>4003</v>
      </c>
      <c r="AF484" s="137" t="s">
        <v>4004</v>
      </c>
      <c r="AG484" s="164"/>
    </row>
    <row r="485" spans="29:33">
      <c r="AC485" s="260" t="s">
        <v>2387</v>
      </c>
      <c r="AD485" s="261" t="s">
        <v>4005</v>
      </c>
      <c r="AE485" s="137" t="s">
        <v>4006</v>
      </c>
      <c r="AF485" s="137" t="s">
        <v>4007</v>
      </c>
      <c r="AG485" s="164"/>
    </row>
    <row r="486" spans="29:33">
      <c r="AC486" s="260" t="s">
        <v>2387</v>
      </c>
      <c r="AD486" s="261" t="s">
        <v>4008</v>
      </c>
      <c r="AE486" s="137" t="s">
        <v>4008</v>
      </c>
      <c r="AF486" s="137" t="s">
        <v>4009</v>
      </c>
      <c r="AG486" s="164"/>
    </row>
    <row r="487" spans="29:33">
      <c r="AC487" s="260" t="s">
        <v>2387</v>
      </c>
      <c r="AD487" s="261" t="s">
        <v>4010</v>
      </c>
      <c r="AE487" s="137" t="s">
        <v>4010</v>
      </c>
      <c r="AF487" s="137" t="s">
        <v>4011</v>
      </c>
      <c r="AG487" s="164"/>
    </row>
    <row r="488" spans="29:33">
      <c r="AC488" s="260" t="s">
        <v>2387</v>
      </c>
      <c r="AD488" s="261" t="s">
        <v>4012</v>
      </c>
      <c r="AE488" s="137" t="s">
        <v>4013</v>
      </c>
      <c r="AF488" s="137" t="s">
        <v>4014</v>
      </c>
      <c r="AG488" s="164"/>
    </row>
    <row r="489" spans="29:33">
      <c r="AC489" s="162" t="s">
        <v>2240</v>
      </c>
      <c r="AD489" s="163" t="s">
        <v>387</v>
      </c>
      <c r="AE489" s="137" t="s">
        <v>4015</v>
      </c>
      <c r="AF489" s="137" t="s">
        <v>4015</v>
      </c>
      <c r="AG489" s="164"/>
    </row>
    <row r="490" spans="29:33">
      <c r="AC490" s="162" t="s">
        <v>2240</v>
      </c>
      <c r="AD490" s="163" t="s">
        <v>890</v>
      </c>
      <c r="AE490" s="137" t="s">
        <v>2290</v>
      </c>
      <c r="AF490" s="137" t="s">
        <v>2290</v>
      </c>
      <c r="AG490" s="164"/>
    </row>
    <row r="491" spans="29:33">
      <c r="AC491" s="162" t="s">
        <v>2240</v>
      </c>
      <c r="AD491" s="163" t="s">
        <v>1707</v>
      </c>
      <c r="AE491" s="137" t="s">
        <v>4016</v>
      </c>
      <c r="AF491" s="137" t="s">
        <v>4016</v>
      </c>
      <c r="AG491" s="164"/>
    </row>
    <row r="492" spans="29:33">
      <c r="AC492" s="162" t="s">
        <v>2240</v>
      </c>
      <c r="AD492" s="163" t="s">
        <v>1615</v>
      </c>
      <c r="AE492" s="137" t="s">
        <v>2983</v>
      </c>
      <c r="AF492" s="137" t="s">
        <v>2983</v>
      </c>
      <c r="AG492" s="164"/>
    </row>
    <row r="493" spans="29:33">
      <c r="AC493" s="162" t="s">
        <v>2240</v>
      </c>
      <c r="AD493" s="163" t="s">
        <v>1700</v>
      </c>
      <c r="AE493" s="137" t="s">
        <v>4017</v>
      </c>
      <c r="AF493" s="137" t="s">
        <v>4017</v>
      </c>
      <c r="AG493" s="164"/>
    </row>
    <row r="494" spans="29:33">
      <c r="AC494" s="162" t="s">
        <v>2240</v>
      </c>
      <c r="AD494" s="163" t="s">
        <v>1698</v>
      </c>
      <c r="AE494" s="137" t="s">
        <v>4018</v>
      </c>
      <c r="AF494" s="137" t="s">
        <v>4018</v>
      </c>
      <c r="AG494" s="164"/>
    </row>
    <row r="495" spans="29:33">
      <c r="AC495" s="162" t="s">
        <v>2240</v>
      </c>
      <c r="AD495" s="163" t="s">
        <v>1847</v>
      </c>
      <c r="AE495" s="137" t="s">
        <v>4019</v>
      </c>
      <c r="AF495" s="137" t="s">
        <v>4019</v>
      </c>
      <c r="AG495" s="164"/>
    </row>
    <row r="496" spans="29:33">
      <c r="AC496" s="162" t="s">
        <v>2240</v>
      </c>
      <c r="AD496" s="163" t="s">
        <v>70</v>
      </c>
      <c r="AE496" s="137" t="s">
        <v>2203</v>
      </c>
      <c r="AF496" s="137" t="s">
        <v>2203</v>
      </c>
      <c r="AG496" s="164"/>
    </row>
    <row r="497" spans="29:33">
      <c r="AC497" s="162" t="s">
        <v>2240</v>
      </c>
      <c r="AD497" s="163" t="s">
        <v>498</v>
      </c>
      <c r="AE497" s="137" t="s">
        <v>4020</v>
      </c>
      <c r="AF497" s="137" t="s">
        <v>4020</v>
      </c>
      <c r="AG497" s="164"/>
    </row>
    <row r="498" spans="29:33">
      <c r="AC498" s="162" t="s">
        <v>2240</v>
      </c>
      <c r="AD498" s="163" t="s">
        <v>1240</v>
      </c>
      <c r="AE498" s="137" t="s">
        <v>4021</v>
      </c>
      <c r="AF498" s="137" t="s">
        <v>4021</v>
      </c>
      <c r="AG498" s="164"/>
    </row>
    <row r="499" spans="29:33">
      <c r="AC499" s="162" t="s">
        <v>2240</v>
      </c>
      <c r="AD499" s="163" t="s">
        <v>1794</v>
      </c>
      <c r="AE499" s="137" t="s">
        <v>2301</v>
      </c>
      <c r="AF499" s="137" t="s">
        <v>2301</v>
      </c>
      <c r="AG499" s="164"/>
    </row>
    <row r="500" spans="29:33">
      <c r="AC500" s="162" t="s">
        <v>2240</v>
      </c>
      <c r="AD500" s="163" t="s">
        <v>197</v>
      </c>
      <c r="AE500" s="137" t="s">
        <v>4022</v>
      </c>
      <c r="AF500" s="137" t="s">
        <v>4022</v>
      </c>
      <c r="AG500" s="164"/>
    </row>
    <row r="501" spans="29:33">
      <c r="AC501" s="162" t="s">
        <v>2240</v>
      </c>
      <c r="AD501" s="163" t="s">
        <v>1784</v>
      </c>
      <c r="AE501" s="137" t="s">
        <v>4023</v>
      </c>
      <c r="AF501" s="137" t="s">
        <v>4023</v>
      </c>
      <c r="AG501" s="164"/>
    </row>
    <row r="502" spans="29:33">
      <c r="AC502" s="162" t="s">
        <v>2240</v>
      </c>
      <c r="AD502" s="163" t="s">
        <v>913</v>
      </c>
      <c r="AE502" s="137" t="s">
        <v>4024</v>
      </c>
      <c r="AF502" s="137" t="s">
        <v>4024</v>
      </c>
      <c r="AG502" s="164"/>
    </row>
    <row r="503" spans="29:33">
      <c r="AC503" s="162" t="s">
        <v>2240</v>
      </c>
      <c r="AD503" s="163" t="s">
        <v>1175</v>
      </c>
      <c r="AE503" s="137" t="s">
        <v>4025</v>
      </c>
      <c r="AF503" s="137" t="s">
        <v>4025</v>
      </c>
      <c r="AG503" s="164"/>
    </row>
    <row r="504" spans="29:33">
      <c r="AC504" s="162" t="s">
        <v>2240</v>
      </c>
      <c r="AD504" s="163" t="s">
        <v>1723</v>
      </c>
      <c r="AE504" s="137" t="s">
        <v>4026</v>
      </c>
      <c r="AF504" s="137" t="s">
        <v>4026</v>
      </c>
      <c r="AG504" s="164"/>
    </row>
    <row r="505" spans="29:33">
      <c r="AC505" s="162" t="s">
        <v>2282</v>
      </c>
      <c r="AD505" s="163" t="s">
        <v>1859</v>
      </c>
      <c r="AE505" s="137" t="s">
        <v>4027</v>
      </c>
      <c r="AF505" s="137" t="s">
        <v>4028</v>
      </c>
      <c r="AG505" s="164"/>
    </row>
    <row r="506" spans="29:33">
      <c r="AC506" s="162" t="s">
        <v>2282</v>
      </c>
      <c r="AD506" s="163" t="s">
        <v>986</v>
      </c>
      <c r="AE506" s="137" t="s">
        <v>4029</v>
      </c>
      <c r="AF506" s="137" t="s">
        <v>4030</v>
      </c>
      <c r="AG506" s="164"/>
    </row>
    <row r="507" spans="29:33">
      <c r="AC507" s="162" t="s">
        <v>2282</v>
      </c>
      <c r="AD507" s="163" t="s">
        <v>1606</v>
      </c>
      <c r="AE507" s="137" t="s">
        <v>4031</v>
      </c>
      <c r="AF507" s="137" t="s">
        <v>4032</v>
      </c>
      <c r="AG507" s="164"/>
    </row>
    <row r="508" spans="29:33">
      <c r="AC508" s="162" t="s">
        <v>2282</v>
      </c>
      <c r="AD508" s="163" t="s">
        <v>1561</v>
      </c>
      <c r="AE508" s="137" t="s">
        <v>4033</v>
      </c>
      <c r="AF508" s="137" t="s">
        <v>4034</v>
      </c>
      <c r="AG508" s="164"/>
    </row>
    <row r="509" spans="29:33">
      <c r="AC509" s="162" t="s">
        <v>2282</v>
      </c>
      <c r="AD509" s="163" t="s">
        <v>1367</v>
      </c>
      <c r="AE509" s="137" t="s">
        <v>4035</v>
      </c>
      <c r="AF509" s="137" t="s">
        <v>4036</v>
      </c>
      <c r="AG509" s="164"/>
    </row>
    <row r="510" spans="29:33">
      <c r="AC510" s="162" t="s">
        <v>2282</v>
      </c>
      <c r="AD510" s="163" t="s">
        <v>90</v>
      </c>
      <c r="AE510" s="137" t="s">
        <v>4037</v>
      </c>
      <c r="AF510" s="137" t="s">
        <v>4038</v>
      </c>
      <c r="AG510" s="164"/>
    </row>
    <row r="511" spans="29:33">
      <c r="AC511" s="162" t="s">
        <v>2404</v>
      </c>
      <c r="AD511" s="163" t="s">
        <v>1789</v>
      </c>
      <c r="AE511" s="137" t="s">
        <v>4039</v>
      </c>
      <c r="AF511" s="137" t="s">
        <v>2924</v>
      </c>
      <c r="AG511" s="164"/>
    </row>
    <row r="512" spans="29:33">
      <c r="AC512" s="162" t="s">
        <v>2404</v>
      </c>
      <c r="AD512" s="257" t="s">
        <v>101</v>
      </c>
      <c r="AE512" s="262" t="s">
        <v>101</v>
      </c>
      <c r="AF512" s="137" t="s">
        <v>4040</v>
      </c>
      <c r="AG512" s="164"/>
    </row>
    <row r="513" spans="29:33">
      <c r="AC513" s="162" t="s">
        <v>2404</v>
      </c>
      <c r="AD513" s="163" t="s">
        <v>1605</v>
      </c>
      <c r="AE513" s="137" t="s">
        <v>1605</v>
      </c>
      <c r="AF513" s="137" t="s">
        <v>4041</v>
      </c>
      <c r="AG513" s="164"/>
    </row>
    <row r="514" spans="29:33">
      <c r="AC514" s="162" t="s">
        <v>2404</v>
      </c>
      <c r="AD514" s="163" t="s">
        <v>1702</v>
      </c>
      <c r="AE514" s="137" t="s">
        <v>1702</v>
      </c>
      <c r="AF514" s="137" t="s">
        <v>3926</v>
      </c>
      <c r="AG514" s="164"/>
    </row>
    <row r="515" spans="29:33">
      <c r="AC515" s="162" t="s">
        <v>2404</v>
      </c>
      <c r="AD515" s="163" t="s">
        <v>1274</v>
      </c>
      <c r="AE515" s="137" t="s">
        <v>4042</v>
      </c>
      <c r="AF515" s="137" t="s">
        <v>4043</v>
      </c>
      <c r="AG515" s="164"/>
    </row>
    <row r="516" spans="29:33">
      <c r="AC516" s="162" t="s">
        <v>2404</v>
      </c>
      <c r="AD516" s="163" t="s">
        <v>1525</v>
      </c>
      <c r="AE516" s="137" t="s">
        <v>4044</v>
      </c>
      <c r="AF516" s="137" t="s">
        <v>3038</v>
      </c>
      <c r="AG516" s="164"/>
    </row>
    <row r="517" spans="29:33">
      <c r="AC517" s="162" t="s">
        <v>2404</v>
      </c>
      <c r="AD517" s="163" t="s">
        <v>809</v>
      </c>
      <c r="AE517" s="137" t="s">
        <v>4045</v>
      </c>
      <c r="AF517" s="137" t="s">
        <v>3891</v>
      </c>
      <c r="AG517" s="164"/>
    </row>
    <row r="518" spans="29:33">
      <c r="AC518" s="162" t="s">
        <v>2404</v>
      </c>
      <c r="AD518" s="163" t="s">
        <v>670</v>
      </c>
      <c r="AE518" s="137" t="s">
        <v>4046</v>
      </c>
      <c r="AF518" s="137" t="s">
        <v>3684</v>
      </c>
      <c r="AG518" s="164"/>
    </row>
    <row r="519" spans="29:33">
      <c r="AC519" s="162" t="s">
        <v>2418</v>
      </c>
      <c r="AD519" s="263" t="s">
        <v>1679</v>
      </c>
      <c r="AE519" s="137" t="str">
        <f>_xlfn.TEXTAFTER(AD519,"-",-1)</f>
        <v>59</v>
      </c>
      <c r="AF519" s="252" t="s">
        <v>4047</v>
      </c>
      <c r="AG519" s="164"/>
    </row>
    <row r="520" spans="29:33">
      <c r="AC520" s="162" t="s">
        <v>2418</v>
      </c>
      <c r="AD520" s="263" t="s">
        <v>1202</v>
      </c>
      <c r="AE520" s="137" t="str">
        <f>_xlfn.TEXTAFTER(AD520,"-",-1)</f>
        <v>GK 104</v>
      </c>
      <c r="AF520" s="137" t="s">
        <v>4048</v>
      </c>
      <c r="AG520" s="164"/>
    </row>
    <row r="521" spans="29:33">
      <c r="AC521" s="162" t="s">
        <v>2418</v>
      </c>
      <c r="AD521" s="263" t="s">
        <v>381</v>
      </c>
      <c r="AE521" s="137" t="s">
        <v>4049</v>
      </c>
      <c r="AF521" s="252" t="s">
        <v>4050</v>
      </c>
      <c r="AG521" s="164"/>
    </row>
    <row r="522" spans="29:33">
      <c r="AC522" s="162" t="s">
        <v>2418</v>
      </c>
      <c r="AD522" s="263" t="s">
        <v>1365</v>
      </c>
      <c r="AE522" s="137" t="str">
        <f t="shared" ref="AE522:AE531" si="1">_xlfn.TEXTAFTER(AD522,"-",-1)</f>
        <v>HA 146</v>
      </c>
      <c r="AF522" s="137" t="s">
        <v>4051</v>
      </c>
      <c r="AG522" s="164"/>
    </row>
    <row r="523" spans="29:33">
      <c r="AC523" s="162" t="s">
        <v>2418</v>
      </c>
      <c r="AD523" s="263" t="s">
        <v>1569</v>
      </c>
      <c r="AE523" s="137" t="str">
        <f t="shared" si="1"/>
        <v>HA 147</v>
      </c>
      <c r="AF523" s="137" t="s">
        <v>4052</v>
      </c>
      <c r="AG523" s="164"/>
    </row>
    <row r="524" spans="29:33">
      <c r="AC524" s="162" t="s">
        <v>2418</v>
      </c>
      <c r="AD524" s="263" t="s">
        <v>914</v>
      </c>
      <c r="AE524" s="137" t="str">
        <f t="shared" si="1"/>
        <v>HD 60</v>
      </c>
      <c r="AF524" s="137" t="s">
        <v>4053</v>
      </c>
      <c r="AG524" s="164" t="s">
        <v>4054</v>
      </c>
    </row>
    <row r="525" spans="29:33">
      <c r="AC525" s="162" t="s">
        <v>2418</v>
      </c>
      <c r="AD525" s="263" t="s">
        <v>403</v>
      </c>
      <c r="AE525" s="137" t="str">
        <f t="shared" si="1"/>
        <v>HD 68</v>
      </c>
      <c r="AF525" s="137" t="s">
        <v>4055</v>
      </c>
      <c r="AG525" s="164" t="s">
        <v>4056</v>
      </c>
    </row>
    <row r="526" spans="29:33">
      <c r="AC526" s="162" t="s">
        <v>2418</v>
      </c>
      <c r="AD526" s="263" t="s">
        <v>1294</v>
      </c>
      <c r="AE526" s="137" t="str">
        <f t="shared" si="1"/>
        <v>HD 69</v>
      </c>
      <c r="AF526" s="137" t="s">
        <v>4057</v>
      </c>
      <c r="AG526" s="164" t="s">
        <v>4058</v>
      </c>
    </row>
    <row r="527" spans="29:33">
      <c r="AC527" s="162" t="s">
        <v>2418</v>
      </c>
      <c r="AD527" s="263" t="s">
        <v>190</v>
      </c>
      <c r="AE527" s="137" t="str">
        <f t="shared" si="1"/>
        <v>HD 70</v>
      </c>
      <c r="AF527" s="137" t="s">
        <v>4059</v>
      </c>
      <c r="AG527" s="164" t="s">
        <v>4060</v>
      </c>
    </row>
    <row r="528" spans="29:33">
      <c r="AC528" s="162" t="s">
        <v>2418</v>
      </c>
      <c r="AD528" s="263" t="s">
        <v>1604</v>
      </c>
      <c r="AE528" s="137" t="str">
        <f t="shared" si="1"/>
        <v>HD 71</v>
      </c>
      <c r="AF528" s="137" t="s">
        <v>4061</v>
      </c>
      <c r="AG528" s="164" t="s">
        <v>4062</v>
      </c>
    </row>
    <row r="529" spans="29:33">
      <c r="AC529" s="162" t="s">
        <v>2418</v>
      </c>
      <c r="AD529" s="263" t="s">
        <v>1146</v>
      </c>
      <c r="AE529" s="137" t="str">
        <f t="shared" si="1"/>
        <v>HD 72</v>
      </c>
      <c r="AF529" s="137" t="s">
        <v>4063</v>
      </c>
      <c r="AG529" s="164" t="s">
        <v>4064</v>
      </c>
    </row>
    <row r="530" spans="29:33">
      <c r="AC530" s="162" t="s">
        <v>2418</v>
      </c>
      <c r="AD530" s="263" t="s">
        <v>156</v>
      </c>
      <c r="AE530" s="137" t="str">
        <f t="shared" si="1"/>
        <v>HD 73</v>
      </c>
      <c r="AF530" s="137" t="s">
        <v>4065</v>
      </c>
      <c r="AG530" s="164" t="s">
        <v>4066</v>
      </c>
    </row>
    <row r="531" spans="29:33">
      <c r="AC531" s="162" t="s">
        <v>2418</v>
      </c>
      <c r="AD531" s="263" t="s">
        <v>1515</v>
      </c>
      <c r="AE531" s="137" t="str">
        <f t="shared" si="1"/>
        <v>HD 74</v>
      </c>
      <c r="AF531" s="137" t="s">
        <v>4067</v>
      </c>
      <c r="AG531" s="164" t="s">
        <v>4068</v>
      </c>
    </row>
    <row r="532" spans="29:33">
      <c r="AC532" s="162" t="s">
        <v>2418</v>
      </c>
      <c r="AD532" s="263" t="s">
        <v>123</v>
      </c>
      <c r="AE532" s="137" t="s">
        <v>4069</v>
      </c>
      <c r="AF532" s="137" t="s">
        <v>4069</v>
      </c>
      <c r="AG532" s="164"/>
    </row>
    <row r="533" spans="29:33">
      <c r="AC533" s="162" t="s">
        <v>2418</v>
      </c>
      <c r="AD533" s="263" t="s">
        <v>626</v>
      </c>
      <c r="AE533" s="137" t="s">
        <v>4070</v>
      </c>
      <c r="AF533" s="137" t="s">
        <v>4070</v>
      </c>
      <c r="AG533" s="164"/>
    </row>
    <row r="534" spans="29:33">
      <c r="AC534" s="162" t="s">
        <v>2418</v>
      </c>
      <c r="AD534" s="263" t="s">
        <v>1144</v>
      </c>
      <c r="AE534" s="137" t="s">
        <v>4071</v>
      </c>
      <c r="AF534" s="137" t="s">
        <v>4071</v>
      </c>
      <c r="AG534" s="164"/>
    </row>
    <row r="535" spans="29:33">
      <c r="AC535" s="162" t="s">
        <v>2418</v>
      </c>
      <c r="AD535" s="263" t="s">
        <v>640</v>
      </c>
      <c r="AE535" s="137" t="s">
        <v>4072</v>
      </c>
      <c r="AF535" s="137" t="s">
        <v>4072</v>
      </c>
      <c r="AG535" s="164"/>
    </row>
    <row r="536" spans="29:33">
      <c r="AC536" s="162" t="s">
        <v>2418</v>
      </c>
      <c r="AD536" s="263" t="s">
        <v>1547</v>
      </c>
      <c r="AE536" s="137" t="s">
        <v>4073</v>
      </c>
      <c r="AF536" s="137" t="s">
        <v>4073</v>
      </c>
      <c r="AG536" s="164"/>
    </row>
    <row r="537" spans="29:33">
      <c r="AC537" s="162" t="s">
        <v>2418</v>
      </c>
      <c r="AD537" s="263" t="s">
        <v>596</v>
      </c>
      <c r="AE537" s="137" t="str">
        <f>_xlfn.TEXTAFTER(AD537,"-",-1)</f>
        <v>EAR 33G</v>
      </c>
      <c r="AF537" s="137" t="s">
        <v>4074</v>
      </c>
      <c r="AG537" s="164"/>
    </row>
    <row r="538" spans="29:33">
      <c r="AC538" s="162" t="s">
        <v>2418</v>
      </c>
      <c r="AD538" s="263" t="s">
        <v>627</v>
      </c>
      <c r="AE538" s="137" t="str">
        <f>_xlfn.TEXTAFTER(AD538,"-",-1)</f>
        <v>EAR 34G</v>
      </c>
      <c r="AF538" s="137" t="s">
        <v>4070</v>
      </c>
      <c r="AG538" s="164"/>
    </row>
    <row r="539" spans="29:33">
      <c r="AC539" s="162" t="s">
        <v>2418</v>
      </c>
      <c r="AD539" s="263" t="s">
        <v>1145</v>
      </c>
      <c r="AE539" s="137" t="str">
        <f>_xlfn.TEXTAFTER(AD539,"-",-1)</f>
        <v>EAR 35G</v>
      </c>
      <c r="AF539" s="137" t="s">
        <v>4071</v>
      </c>
      <c r="AG539" s="164"/>
    </row>
    <row r="540" spans="29:33">
      <c r="AC540" s="162" t="s">
        <v>2418</v>
      </c>
      <c r="AD540" s="263" t="s">
        <v>632</v>
      </c>
      <c r="AE540" s="137" t="str">
        <f>_xlfn.TEXTAFTER(AD540,"-",-1)</f>
        <v>EAR 36G</v>
      </c>
      <c r="AF540" s="137" t="s">
        <v>4075</v>
      </c>
      <c r="AG540" s="164"/>
    </row>
    <row r="541" spans="29:33">
      <c r="AC541" s="162" t="s">
        <v>2418</v>
      </c>
      <c r="AD541" s="263" t="s">
        <v>367</v>
      </c>
      <c r="AE541" s="137">
        <v>42</v>
      </c>
      <c r="AF541" s="137" t="s">
        <v>4076</v>
      </c>
      <c r="AG541" s="164"/>
    </row>
    <row r="542" spans="29:33">
      <c r="AC542" s="162" t="s">
        <v>2418</v>
      </c>
      <c r="AD542" s="263" t="s">
        <v>1218</v>
      </c>
      <c r="AE542" s="137">
        <v>47</v>
      </c>
      <c r="AF542" s="137" t="s">
        <v>4077</v>
      </c>
      <c r="AG542" s="164"/>
    </row>
    <row r="543" spans="29:33">
      <c r="AC543" s="162" t="s">
        <v>2418</v>
      </c>
      <c r="AD543" s="263" t="s">
        <v>1170</v>
      </c>
      <c r="AE543" s="137">
        <v>50</v>
      </c>
      <c r="AF543" s="137" t="s">
        <v>4078</v>
      </c>
      <c r="AG543" s="164"/>
    </row>
    <row r="544" spans="29:33">
      <c r="AC544" s="162" t="s">
        <v>2418</v>
      </c>
      <c r="AD544" s="263" t="s">
        <v>824</v>
      </c>
      <c r="AE544" s="137">
        <v>51</v>
      </c>
      <c r="AF544" s="137" t="s">
        <v>4079</v>
      </c>
      <c r="AG544" s="164"/>
    </row>
    <row r="545" spans="29:33">
      <c r="AC545" s="15" t="s">
        <v>2418</v>
      </c>
      <c r="AD545" s="264" t="s">
        <v>1678</v>
      </c>
      <c r="AE545" s="17">
        <v>52</v>
      </c>
      <c r="AF545" s="17" t="s">
        <v>4080</v>
      </c>
    </row>
    <row r="546" spans="29:33">
      <c r="AC546" s="162" t="s">
        <v>2418</v>
      </c>
      <c r="AD546" s="263" t="s">
        <v>183</v>
      </c>
      <c r="AE546" s="137" t="s">
        <v>4081</v>
      </c>
      <c r="AF546" s="252" t="s">
        <v>3780</v>
      </c>
      <c r="AG546" s="164"/>
    </row>
    <row r="547" spans="29:33">
      <c r="AC547" s="162" t="s">
        <v>2418</v>
      </c>
      <c r="AD547" s="263" t="s">
        <v>1422</v>
      </c>
      <c r="AE547" s="137" t="s">
        <v>4082</v>
      </c>
      <c r="AF547" s="265">
        <v>100</v>
      </c>
      <c r="AG547" s="164"/>
    </row>
    <row r="548" spans="29:33">
      <c r="AC548" s="162" t="s">
        <v>2418</v>
      </c>
      <c r="AD548" s="263" t="s">
        <v>1037</v>
      </c>
      <c r="AE548" s="137" t="s">
        <v>4083</v>
      </c>
      <c r="AF548" s="265">
        <v>101</v>
      </c>
      <c r="AG548" s="164"/>
    </row>
    <row r="549" spans="29:33">
      <c r="AC549" s="162" t="s">
        <v>2418</v>
      </c>
      <c r="AD549" s="263" t="s">
        <v>543</v>
      </c>
      <c r="AE549" s="137" t="s">
        <v>4084</v>
      </c>
      <c r="AF549" s="265">
        <v>102</v>
      </c>
      <c r="AG549" s="164"/>
    </row>
    <row r="550" spans="29:33">
      <c r="AC550" s="162" t="s">
        <v>2418</v>
      </c>
      <c r="AD550" s="263" t="s">
        <v>132</v>
      </c>
      <c r="AE550" s="137" t="str">
        <f t="shared" ref="AE550:AE561" si="2">_xlfn.TEXTAFTER(AD550,"-",-1)</f>
        <v>GINKGO 110</v>
      </c>
      <c r="AF550" s="137" t="s">
        <v>4085</v>
      </c>
      <c r="AG550" s="164"/>
    </row>
    <row r="551" spans="29:33">
      <c r="AC551" s="162" t="s">
        <v>2418</v>
      </c>
      <c r="AD551" s="263" t="s">
        <v>1670</v>
      </c>
      <c r="AE551" s="137" t="str">
        <f t="shared" si="2"/>
        <v>GINKGO 113</v>
      </c>
      <c r="AF551" s="137" t="s">
        <v>4086</v>
      </c>
      <c r="AG551" s="164"/>
    </row>
    <row r="552" spans="29:33">
      <c r="AC552" s="162" t="s">
        <v>2418</v>
      </c>
      <c r="AD552" s="263" t="s">
        <v>910</v>
      </c>
      <c r="AE552" s="137" t="str">
        <f t="shared" si="2"/>
        <v>GINKGO 114</v>
      </c>
      <c r="AF552" s="137" t="s">
        <v>4087</v>
      </c>
      <c r="AG552" s="164"/>
    </row>
    <row r="553" spans="29:33">
      <c r="AC553" s="162" t="s">
        <v>2418</v>
      </c>
      <c r="AD553" s="263" t="s">
        <v>1701</v>
      </c>
      <c r="AE553" s="137" t="str">
        <f t="shared" si="2"/>
        <v>GINKGO 115</v>
      </c>
      <c r="AF553" s="137" t="s">
        <v>4088</v>
      </c>
      <c r="AG553" s="164"/>
    </row>
    <row r="554" spans="29:33">
      <c r="AC554" s="162" t="s">
        <v>2418</v>
      </c>
      <c r="AD554" s="263" t="s">
        <v>1212</v>
      </c>
      <c r="AE554" s="137" t="str">
        <f t="shared" si="2"/>
        <v>GINKGO 116</v>
      </c>
      <c r="AF554" s="137" t="s">
        <v>4089</v>
      </c>
      <c r="AG554" s="164"/>
    </row>
    <row r="555" spans="29:33">
      <c r="AC555" s="162" t="s">
        <v>2418</v>
      </c>
      <c r="AD555" s="263" t="s">
        <v>134</v>
      </c>
      <c r="AE555" s="137" t="str">
        <f t="shared" si="2"/>
        <v>GINKGO 117</v>
      </c>
      <c r="AF555" s="137" t="s">
        <v>4090</v>
      </c>
      <c r="AG555" s="164"/>
    </row>
    <row r="556" spans="29:33">
      <c r="AC556" s="162" t="s">
        <v>2418</v>
      </c>
      <c r="AD556" s="263" t="s">
        <v>1332</v>
      </c>
      <c r="AE556" s="137" t="str">
        <f t="shared" si="2"/>
        <v>GINKGO 118</v>
      </c>
      <c r="AF556" s="137" t="s">
        <v>4091</v>
      </c>
      <c r="AG556" s="164"/>
    </row>
    <row r="557" spans="29:33">
      <c r="AC557" s="162" t="s">
        <v>2418</v>
      </c>
      <c r="AD557" s="263" t="s">
        <v>521</v>
      </c>
      <c r="AE557" s="137" t="str">
        <f t="shared" si="2"/>
        <v>GINKGO 119</v>
      </c>
      <c r="AF557" s="137" t="s">
        <v>4092</v>
      </c>
      <c r="AG557" s="164"/>
    </row>
    <row r="558" spans="29:33">
      <c r="AC558" s="162" t="s">
        <v>2418</v>
      </c>
      <c r="AD558" s="263" t="s">
        <v>1671</v>
      </c>
      <c r="AE558" s="137" t="str">
        <f t="shared" si="2"/>
        <v>GINKGO 120</v>
      </c>
      <c r="AF558" s="137" t="s">
        <v>4093</v>
      </c>
      <c r="AG558" s="164"/>
    </row>
    <row r="559" spans="29:33">
      <c r="AC559" s="162" t="s">
        <v>2418</v>
      </c>
      <c r="AD559" s="263" t="s">
        <v>250</v>
      </c>
      <c r="AE559" s="137" t="str">
        <f t="shared" si="2"/>
        <v>GINKGO 121</v>
      </c>
      <c r="AF559" s="137" t="s">
        <v>4094</v>
      </c>
      <c r="AG559" s="164"/>
    </row>
    <row r="560" spans="29:33">
      <c r="AC560" s="162" t="s">
        <v>2418</v>
      </c>
      <c r="AD560" s="263" t="s">
        <v>1431</v>
      </c>
      <c r="AE560" s="137" t="str">
        <f t="shared" si="2"/>
        <v>GINKGO 122</v>
      </c>
      <c r="AF560" s="137" t="s">
        <v>4095</v>
      </c>
      <c r="AG560" s="164"/>
    </row>
    <row r="561" spans="29:33">
      <c r="AC561" s="162" t="s">
        <v>2418</v>
      </c>
      <c r="AD561" s="263" t="s">
        <v>610</v>
      </c>
      <c r="AE561" s="137" t="str">
        <f t="shared" si="2"/>
        <v>GINKGO 123</v>
      </c>
      <c r="AF561" s="137" t="s">
        <v>4096</v>
      </c>
      <c r="AG561" s="164"/>
    </row>
    <row r="562" spans="29:33">
      <c r="AC562" s="162" t="s">
        <v>2418</v>
      </c>
      <c r="AD562" s="263" t="s">
        <v>1813</v>
      </c>
      <c r="AE562" s="137" t="s">
        <v>4097</v>
      </c>
      <c r="AF562" s="252" t="s">
        <v>4098</v>
      </c>
      <c r="AG562" s="164"/>
    </row>
    <row r="563" spans="29:33">
      <c r="AC563" s="162" t="s">
        <v>2418</v>
      </c>
      <c r="AD563" s="263" t="s">
        <v>324</v>
      </c>
      <c r="AE563" s="137" t="s">
        <v>4099</v>
      </c>
      <c r="AF563" s="252" t="s">
        <v>4100</v>
      </c>
      <c r="AG563" s="164"/>
    </row>
    <row r="564" spans="29:33">
      <c r="AC564" s="162" t="s">
        <v>2418</v>
      </c>
      <c r="AD564" s="263" t="s">
        <v>53</v>
      </c>
      <c r="AE564" s="137" t="s">
        <v>4101</v>
      </c>
      <c r="AF564" s="252" t="s">
        <v>4102</v>
      </c>
      <c r="AG564" s="164"/>
    </row>
    <row r="565" spans="29:33">
      <c r="AC565" s="162" t="s">
        <v>2418</v>
      </c>
      <c r="AD565" s="263" t="s">
        <v>1473</v>
      </c>
      <c r="AE565" s="137" t="s">
        <v>4103</v>
      </c>
      <c r="AF565" s="252" t="s">
        <v>4104</v>
      </c>
      <c r="AG565" s="164"/>
    </row>
    <row r="566" spans="29:33">
      <c r="AC566" s="162" t="s">
        <v>2418</v>
      </c>
      <c r="AD566" s="263" t="s">
        <v>1090</v>
      </c>
      <c r="AE566" s="137" t="s">
        <v>4105</v>
      </c>
      <c r="AF566" s="252" t="s">
        <v>4106</v>
      </c>
      <c r="AG566" s="164"/>
    </row>
    <row r="567" spans="29:33">
      <c r="AC567" s="162" t="s">
        <v>2418</v>
      </c>
      <c r="AD567" s="263" t="s">
        <v>1743</v>
      </c>
      <c r="AE567" s="137" t="s">
        <v>4107</v>
      </c>
      <c r="AF567" s="252" t="s">
        <v>4108</v>
      </c>
      <c r="AG567" s="164"/>
    </row>
    <row r="568" spans="29:33">
      <c r="AC568" s="162" t="s">
        <v>2418</v>
      </c>
      <c r="AD568" s="263" t="s">
        <v>1512</v>
      </c>
      <c r="AE568" s="137" t="s">
        <v>4109</v>
      </c>
      <c r="AF568" s="252" t="s">
        <v>4110</v>
      </c>
      <c r="AG568" s="164"/>
    </row>
    <row r="569" spans="29:33">
      <c r="AC569" s="162" t="s">
        <v>2418</v>
      </c>
      <c r="AD569" s="263" t="s">
        <v>758</v>
      </c>
      <c r="AE569" s="137" t="s">
        <v>4111</v>
      </c>
      <c r="AF569" s="252" t="s">
        <v>4112</v>
      </c>
      <c r="AG569" s="163"/>
    </row>
    <row r="570" spans="29:33">
      <c r="AC570" s="162" t="s">
        <v>2418</v>
      </c>
      <c r="AD570" s="263" t="s">
        <v>1767</v>
      </c>
      <c r="AE570" s="137" t="s">
        <v>4113</v>
      </c>
      <c r="AF570" s="252" t="s">
        <v>4114</v>
      </c>
      <c r="AG570" s="163"/>
    </row>
    <row r="571" spans="29:33">
      <c r="AC571" s="162" t="s">
        <v>2418</v>
      </c>
      <c r="AD571" s="263" t="s">
        <v>1326</v>
      </c>
      <c r="AE571" s="137" t="s">
        <v>4115</v>
      </c>
      <c r="AF571" s="252" t="s">
        <v>4116</v>
      </c>
      <c r="AG571" s="163"/>
    </row>
    <row r="572" spans="29:33">
      <c r="AC572" s="162" t="s">
        <v>2418</v>
      </c>
      <c r="AD572" s="263" t="s">
        <v>1131</v>
      </c>
      <c r="AE572" s="137" t="s">
        <v>4117</v>
      </c>
      <c r="AF572" s="252" t="s">
        <v>4118</v>
      </c>
      <c r="AG572" s="163"/>
    </row>
    <row r="573" spans="29:33">
      <c r="AC573" s="162" t="s">
        <v>2418</v>
      </c>
      <c r="AD573" s="263" t="s">
        <v>923</v>
      </c>
      <c r="AE573" s="137" t="s">
        <v>4119</v>
      </c>
      <c r="AF573" s="252" t="s">
        <v>4120</v>
      </c>
      <c r="AG573" s="163"/>
    </row>
    <row r="574" spans="29:33">
      <c r="AC574" s="162" t="s">
        <v>2418</v>
      </c>
      <c r="AD574" s="263" t="s">
        <v>1638</v>
      </c>
      <c r="AE574" s="137" t="s">
        <v>4121</v>
      </c>
      <c r="AF574" s="252" t="s">
        <v>4122</v>
      </c>
      <c r="AG574" s="164"/>
    </row>
    <row r="575" spans="29:33">
      <c r="AC575" s="162" t="s">
        <v>2418</v>
      </c>
      <c r="AD575" s="263" t="s">
        <v>1243</v>
      </c>
      <c r="AE575" s="137" t="s">
        <v>4123</v>
      </c>
      <c r="AF575" s="252" t="s">
        <v>4124</v>
      </c>
      <c r="AG575" s="164"/>
    </row>
    <row r="576" spans="29:33">
      <c r="AC576" s="162" t="s">
        <v>2418</v>
      </c>
      <c r="AD576" s="263" t="s">
        <v>557</v>
      </c>
      <c r="AE576" s="137" t="s">
        <v>4125</v>
      </c>
      <c r="AF576" s="252" t="s">
        <v>4126</v>
      </c>
      <c r="AG576" s="164"/>
    </row>
    <row r="577" spans="29:33">
      <c r="AC577" s="162" t="s">
        <v>2418</v>
      </c>
      <c r="AD577" s="263" t="s">
        <v>753</v>
      </c>
      <c r="AE577" s="137" t="s">
        <v>4127</v>
      </c>
      <c r="AF577" s="265">
        <v>155</v>
      </c>
      <c r="AG577" s="164"/>
    </row>
    <row r="578" spans="29:33">
      <c r="AC578" s="162" t="s">
        <v>2418</v>
      </c>
      <c r="AD578" s="263" t="s">
        <v>1325</v>
      </c>
      <c r="AE578" s="137" t="s">
        <v>4128</v>
      </c>
      <c r="AF578" s="265">
        <v>159</v>
      </c>
      <c r="AG578" s="164"/>
    </row>
    <row r="579" spans="29:33">
      <c r="AC579" s="162" t="s">
        <v>2418</v>
      </c>
      <c r="AD579" s="263" t="s">
        <v>808</v>
      </c>
      <c r="AE579" s="137" t="s">
        <v>4129</v>
      </c>
      <c r="AF579" s="137" t="s">
        <v>4130</v>
      </c>
      <c r="AG579" s="164"/>
    </row>
    <row r="580" spans="29:33">
      <c r="AC580" s="162" t="s">
        <v>2418</v>
      </c>
      <c r="AD580" s="263" t="s">
        <v>52</v>
      </c>
      <c r="AE580" s="137" t="s">
        <v>4131</v>
      </c>
      <c r="AF580" s="137" t="s">
        <v>4132</v>
      </c>
      <c r="AG580" s="164"/>
    </row>
    <row r="581" spans="29:33">
      <c r="AC581" s="162" t="s">
        <v>2418</v>
      </c>
      <c r="AD581" s="263" t="s">
        <v>692</v>
      </c>
      <c r="AE581" s="137" t="s">
        <v>4133</v>
      </c>
      <c r="AF581" s="137" t="s">
        <v>4134</v>
      </c>
      <c r="AG581" s="164"/>
    </row>
    <row r="582" spans="29:33">
      <c r="AC582" s="162" t="s">
        <v>2418</v>
      </c>
      <c r="AD582" s="263" t="s">
        <v>321</v>
      </c>
      <c r="AE582" s="137" t="s">
        <v>4135</v>
      </c>
      <c r="AF582" s="137" t="s">
        <v>4136</v>
      </c>
      <c r="AG582" s="164"/>
    </row>
    <row r="583" spans="29:33">
      <c r="AC583" s="162" t="s">
        <v>2418</v>
      </c>
      <c r="AD583" s="263" t="s">
        <v>1796</v>
      </c>
      <c r="AE583" s="137" t="str">
        <f>_xlfn.TEXTAFTER(AD583,"-",-1)</f>
        <v>GK HA 132</v>
      </c>
      <c r="AF583" s="137" t="s">
        <v>4137</v>
      </c>
      <c r="AG583" s="164"/>
    </row>
    <row r="584" spans="29:33">
      <c r="AC584" s="162" t="s">
        <v>2418</v>
      </c>
      <c r="AD584" s="263" t="s">
        <v>1089</v>
      </c>
      <c r="AE584" s="137" t="s">
        <v>4138</v>
      </c>
      <c r="AF584" s="137" t="s">
        <v>4139</v>
      </c>
      <c r="AG584" s="164"/>
    </row>
    <row r="585" spans="29:33">
      <c r="AC585" s="162" t="s">
        <v>2418</v>
      </c>
      <c r="AD585" s="263" t="s">
        <v>472</v>
      </c>
      <c r="AE585" s="137" t="s">
        <v>4140</v>
      </c>
      <c r="AF585" s="137" t="s">
        <v>4141</v>
      </c>
      <c r="AG585" s="164"/>
    </row>
    <row r="586" spans="29:33">
      <c r="AC586" s="162" t="s">
        <v>2418</v>
      </c>
      <c r="AD586" s="263" t="s">
        <v>763</v>
      </c>
      <c r="AE586" s="137" t="s">
        <v>4142</v>
      </c>
      <c r="AF586" s="137" t="s">
        <v>4143</v>
      </c>
      <c r="AG586" s="164"/>
    </row>
    <row r="587" spans="29:33">
      <c r="AC587" s="162" t="s">
        <v>2418</v>
      </c>
      <c r="AD587" s="263" t="s">
        <v>609</v>
      </c>
      <c r="AE587" s="137" t="s">
        <v>4144</v>
      </c>
      <c r="AF587" s="137" t="s">
        <v>4145</v>
      </c>
      <c r="AG587" s="164"/>
    </row>
    <row r="588" spans="29:33">
      <c r="AC588" s="162" t="s">
        <v>2418</v>
      </c>
      <c r="AD588" s="263" t="s">
        <v>951</v>
      </c>
      <c r="AE588" s="137" t="s">
        <v>4146</v>
      </c>
      <c r="AF588" s="137" t="s">
        <v>4147</v>
      </c>
      <c r="AG588" s="164"/>
    </row>
    <row r="589" spans="29:33">
      <c r="AC589" s="162" t="s">
        <v>2418</v>
      </c>
      <c r="AD589" s="263" t="s">
        <v>1814</v>
      </c>
      <c r="AE589" s="137" t="s">
        <v>4148</v>
      </c>
      <c r="AF589" s="137" t="s">
        <v>4149</v>
      </c>
      <c r="AG589" s="164"/>
    </row>
    <row r="590" spans="29:33">
      <c r="AC590" s="162" t="s">
        <v>2418</v>
      </c>
      <c r="AD590" s="263" t="s">
        <v>493</v>
      </c>
      <c r="AE590" s="137" t="s">
        <v>4150</v>
      </c>
      <c r="AF590" s="137" t="s">
        <v>4151</v>
      </c>
      <c r="AG590" s="164"/>
    </row>
    <row r="591" spans="29:33">
      <c r="AC591" s="162" t="s">
        <v>2418</v>
      </c>
      <c r="AD591" s="263" t="s">
        <v>1253</v>
      </c>
      <c r="AE591" s="137" t="str">
        <f>_xlfn.TEXTAFTER(AD591,"-",-1)</f>
        <v>GK HA 143</v>
      </c>
      <c r="AF591" s="137" t="s">
        <v>4152</v>
      </c>
      <c r="AG591" s="164"/>
    </row>
    <row r="592" spans="29:33">
      <c r="AC592" s="162" t="s">
        <v>2418</v>
      </c>
      <c r="AD592" s="263" t="s">
        <v>1500</v>
      </c>
      <c r="AE592" s="137" t="s">
        <v>4153</v>
      </c>
      <c r="AF592" s="137" t="s">
        <v>4154</v>
      </c>
      <c r="AG592" s="164"/>
    </row>
    <row r="593" spans="29:37">
      <c r="AC593" s="162" t="s">
        <v>2418</v>
      </c>
      <c r="AD593" s="263" t="s">
        <v>1077</v>
      </c>
      <c r="AE593" s="137" t="str">
        <f>_xlfn.TEXTAFTER(AD593,"-",-1)</f>
        <v>GK HN03</v>
      </c>
      <c r="AF593" s="137" t="s">
        <v>4155</v>
      </c>
      <c r="AG593" s="164"/>
    </row>
    <row r="594" spans="29:37">
      <c r="AC594" s="162" t="s">
        <v>2418</v>
      </c>
      <c r="AD594" s="263" t="s">
        <v>385</v>
      </c>
      <c r="AE594" s="137" t="s">
        <v>4156</v>
      </c>
      <c r="AF594" s="137" t="s">
        <v>4157</v>
      </c>
      <c r="AG594" s="164"/>
    </row>
    <row r="595" spans="29:37">
      <c r="AC595" s="162" t="s">
        <v>2418</v>
      </c>
      <c r="AD595" s="263" t="s">
        <v>1570</v>
      </c>
      <c r="AE595" s="137" t="s">
        <v>4158</v>
      </c>
      <c r="AF595" s="137" t="s">
        <v>4159</v>
      </c>
      <c r="AG595" s="164"/>
    </row>
    <row r="596" spans="29:37">
      <c r="AC596" s="162" t="s">
        <v>2418</v>
      </c>
      <c r="AD596" s="263" t="s">
        <v>1304</v>
      </c>
      <c r="AE596" s="137" t="str">
        <f>_xlfn.TEXTAFTER(AD596,"-",-1)</f>
        <v>GK HN45</v>
      </c>
      <c r="AF596" s="137" t="s">
        <v>4160</v>
      </c>
      <c r="AG596" s="164"/>
    </row>
    <row r="597" spans="29:37">
      <c r="AC597" s="162" t="s">
        <v>2418</v>
      </c>
      <c r="AD597" s="263" t="s">
        <v>1333</v>
      </c>
      <c r="AE597" s="137" t="s">
        <v>4161</v>
      </c>
      <c r="AF597" s="137" t="s">
        <v>4162</v>
      </c>
      <c r="AG597" s="164"/>
      <c r="AH597" s="155"/>
      <c r="AI597" s="155"/>
      <c r="AJ597" s="155"/>
      <c r="AK597" s="155"/>
    </row>
    <row r="598" spans="29:37">
      <c r="AC598" s="162" t="s">
        <v>2418</v>
      </c>
      <c r="AD598" s="263" t="s">
        <v>437</v>
      </c>
      <c r="AE598" s="137" t="str">
        <f>_xlfn.TEXTAFTER(AD598,"-",-1)</f>
        <v>GK HN47</v>
      </c>
      <c r="AF598" s="137" t="s">
        <v>4163</v>
      </c>
      <c r="AG598" s="164"/>
      <c r="AH598" s="155"/>
      <c r="AI598" s="155"/>
      <c r="AJ598" s="155"/>
      <c r="AK598" s="155"/>
    </row>
    <row r="599" spans="29:37">
      <c r="AC599" s="162" t="s">
        <v>2418</v>
      </c>
      <c r="AD599" s="263" t="s">
        <v>1732</v>
      </c>
      <c r="AE599" s="137" t="str">
        <f>_xlfn.TEXTAFTER(AD599,"-",-1)</f>
        <v>GK HN48</v>
      </c>
      <c r="AF599" s="137" t="s">
        <v>4164</v>
      </c>
      <c r="AG599" s="164"/>
      <c r="AH599" s="155"/>
      <c r="AI599" s="155"/>
      <c r="AJ599" s="155"/>
      <c r="AK599" s="155"/>
    </row>
    <row r="600" spans="29:37">
      <c r="AC600" s="162" t="s">
        <v>2418</v>
      </c>
      <c r="AD600" s="263" t="s">
        <v>386</v>
      </c>
      <c r="AE600" s="137" t="s">
        <v>4165</v>
      </c>
      <c r="AF600" s="137" t="s">
        <v>4166</v>
      </c>
      <c r="AG600" s="163"/>
      <c r="AH600" s="255"/>
      <c r="AI600" s="255"/>
      <c r="AJ600" s="255"/>
      <c r="AK600" s="255"/>
    </row>
    <row r="601" spans="29:37">
      <c r="AC601" s="162" t="s">
        <v>2418</v>
      </c>
      <c r="AD601" s="263" t="s">
        <v>1293</v>
      </c>
      <c r="AE601" s="137" t="str">
        <f t="shared" ref="AE601:AE606" si="3">_xlfn.TEXTAFTER(AD601,"-",-1)</f>
        <v>GK LL 130</v>
      </c>
      <c r="AF601" s="137" t="s">
        <v>4167</v>
      </c>
      <c r="AG601" s="163"/>
      <c r="AH601" s="155"/>
      <c r="AI601" s="155"/>
      <c r="AJ601" s="155"/>
      <c r="AK601" s="155"/>
    </row>
    <row r="602" spans="29:37">
      <c r="AC602" s="162" t="s">
        <v>2418</v>
      </c>
      <c r="AD602" s="263" t="s">
        <v>1261</v>
      </c>
      <c r="AE602" s="137" t="str">
        <f t="shared" si="3"/>
        <v>GK LL 131</v>
      </c>
      <c r="AF602" s="137" t="s">
        <v>4168</v>
      </c>
      <c r="AG602" s="163"/>
      <c r="AH602" s="266"/>
      <c r="AI602" s="155"/>
      <c r="AJ602" s="155"/>
      <c r="AK602" s="155"/>
    </row>
    <row r="603" spans="29:37">
      <c r="AC603" s="162" t="s">
        <v>2418</v>
      </c>
      <c r="AD603" s="263" t="s">
        <v>471</v>
      </c>
      <c r="AE603" s="137" t="str">
        <f t="shared" si="3"/>
        <v>GK LL 132</v>
      </c>
      <c r="AF603" s="137" t="s">
        <v>4169</v>
      </c>
      <c r="AG603" s="164"/>
    </row>
    <row r="604" spans="29:37">
      <c r="AC604" s="162" t="s">
        <v>2418</v>
      </c>
      <c r="AD604" s="263" t="s">
        <v>337</v>
      </c>
      <c r="AE604" s="137" t="str">
        <f t="shared" si="3"/>
        <v>GK LL 134</v>
      </c>
      <c r="AF604" s="137" t="s">
        <v>4170</v>
      </c>
      <c r="AG604" s="164"/>
    </row>
    <row r="605" spans="29:37">
      <c r="AC605" s="162" t="s">
        <v>2418</v>
      </c>
      <c r="AD605" s="264" t="s">
        <v>1558</v>
      </c>
      <c r="AE605" s="17" t="str">
        <f t="shared" si="3"/>
        <v>GK LL 135</v>
      </c>
      <c r="AF605" s="17" t="s">
        <v>4171</v>
      </c>
    </row>
    <row r="606" spans="29:37">
      <c r="AC606" s="162" t="s">
        <v>2418</v>
      </c>
      <c r="AD606" s="263" t="s">
        <v>484</v>
      </c>
      <c r="AE606" s="137" t="str">
        <f t="shared" si="3"/>
        <v>GK LL 136</v>
      </c>
      <c r="AF606" s="137" t="s">
        <v>4172</v>
      </c>
      <c r="AG606" s="164"/>
    </row>
    <row r="607" spans="29:37">
      <c r="AC607" s="162" t="s">
        <v>2418</v>
      </c>
      <c r="AD607" s="263" t="s">
        <v>1795</v>
      </c>
      <c r="AE607" s="137" t="s">
        <v>4173</v>
      </c>
      <c r="AF607" s="137" t="s">
        <v>4174</v>
      </c>
      <c r="AG607" s="164"/>
    </row>
    <row r="608" spans="29:37">
      <c r="AC608" s="162" t="s">
        <v>2418</v>
      </c>
      <c r="AD608" s="263" t="s">
        <v>1625</v>
      </c>
      <c r="AE608" s="137" t="s">
        <v>4175</v>
      </c>
      <c r="AF608" s="137" t="s">
        <v>4176</v>
      </c>
      <c r="AG608" s="164"/>
    </row>
    <row r="609" spans="29:33">
      <c r="AC609" s="162" t="s">
        <v>2418</v>
      </c>
      <c r="AD609" s="263" t="s">
        <v>416</v>
      </c>
      <c r="AE609" s="137" t="s">
        <v>4177</v>
      </c>
      <c r="AF609" s="137" t="s">
        <v>4178</v>
      </c>
      <c r="AG609" s="164"/>
    </row>
    <row r="610" spans="29:33">
      <c r="AC610" s="162" t="s">
        <v>2418</v>
      </c>
      <c r="AD610" s="263" t="s">
        <v>874</v>
      </c>
      <c r="AE610" s="137" t="s">
        <v>4179</v>
      </c>
      <c r="AF610" s="137" t="s">
        <v>4180</v>
      </c>
      <c r="AG610" s="164"/>
    </row>
    <row r="611" spans="29:33">
      <c r="AC611" s="162" t="s">
        <v>2418</v>
      </c>
      <c r="AD611" s="263" t="s">
        <v>1016</v>
      </c>
      <c r="AE611" s="137" t="s">
        <v>4181</v>
      </c>
      <c r="AF611" s="137" t="s">
        <v>4182</v>
      </c>
      <c r="AG611" s="164"/>
    </row>
    <row r="612" spans="29:33">
      <c r="AC612" s="162" t="s">
        <v>2418</v>
      </c>
      <c r="AD612" s="263" t="s">
        <v>952</v>
      </c>
      <c r="AE612" s="137" t="s">
        <v>4183</v>
      </c>
      <c r="AF612" s="137" t="s">
        <v>4184</v>
      </c>
      <c r="AG612" s="164"/>
    </row>
    <row r="613" spans="29:33">
      <c r="AC613" s="162" t="s">
        <v>2418</v>
      </c>
      <c r="AD613" s="263" t="s">
        <v>1465</v>
      </c>
      <c r="AE613" s="137" t="s">
        <v>4185</v>
      </c>
      <c r="AF613" s="137" t="s">
        <v>4186</v>
      </c>
      <c r="AG613" s="164"/>
    </row>
    <row r="614" spans="29:33">
      <c r="AC614" s="162" t="s">
        <v>2418</v>
      </c>
      <c r="AD614" s="263" t="s">
        <v>1580</v>
      </c>
      <c r="AE614" s="137" t="s">
        <v>4187</v>
      </c>
      <c r="AF614" s="137" t="s">
        <v>4188</v>
      </c>
      <c r="AG614" s="164"/>
    </row>
    <row r="615" spans="29:33">
      <c r="AC615" s="162" t="s">
        <v>2418</v>
      </c>
      <c r="AD615" s="263" t="s">
        <v>1503</v>
      </c>
      <c r="AE615" s="137" t="str">
        <f>_xlfn.TEXTAFTER(AD615,"-",-1)</f>
        <v>HN 110</v>
      </c>
      <c r="AF615" s="137" t="s">
        <v>4189</v>
      </c>
      <c r="AG615" s="164"/>
    </row>
    <row r="616" spans="29:33">
      <c r="AC616" s="162" t="s">
        <v>2418</v>
      </c>
      <c r="AD616" s="263" t="s">
        <v>1004</v>
      </c>
      <c r="AE616" s="137" t="str">
        <f>_xlfn.TEXTAFTER(AD616,"-",-1)</f>
        <v>HN 111</v>
      </c>
      <c r="AF616" s="137" t="s">
        <v>4190</v>
      </c>
      <c r="AG616" s="164"/>
    </row>
    <row r="617" spans="29:33">
      <c r="AC617" s="162" t="s">
        <v>2418</v>
      </c>
      <c r="AD617" s="263" t="s">
        <v>1327</v>
      </c>
      <c r="AE617" s="137" t="s">
        <v>4191</v>
      </c>
      <c r="AF617" s="137" t="s">
        <v>4192</v>
      </c>
      <c r="AG617" s="164"/>
    </row>
    <row r="618" spans="29:33">
      <c r="AC618" s="162" t="s">
        <v>2418</v>
      </c>
      <c r="AD618" s="263" t="s">
        <v>1305</v>
      </c>
      <c r="AE618" s="137" t="str">
        <f>_xlfn.TEXTAFTER(AD618,"-",-1)</f>
        <v>HN 45</v>
      </c>
      <c r="AF618" s="137" t="s">
        <v>4160</v>
      </c>
      <c r="AG618" s="164">
        <v>45</v>
      </c>
    </row>
    <row r="619" spans="29:33">
      <c r="AC619" s="162" t="s">
        <v>2418</v>
      </c>
      <c r="AD619" s="263" t="s">
        <v>1733</v>
      </c>
      <c r="AE619" s="137" t="str">
        <f>_xlfn.TEXTAFTER(AD619,"-",-1)</f>
        <v>HN 48</v>
      </c>
      <c r="AF619" s="137" t="s">
        <v>4164</v>
      </c>
      <c r="AG619" s="164" t="s">
        <v>4193</v>
      </c>
    </row>
    <row r="620" spans="29:33">
      <c r="AC620" s="162" t="s">
        <v>2418</v>
      </c>
      <c r="AD620" s="263" t="s">
        <v>1366</v>
      </c>
      <c r="AE620" s="137" t="str">
        <f>_xlfn.TEXTAFTER(AD620,"-",-1)</f>
        <v>HN 50</v>
      </c>
      <c r="AF620" s="137" t="s">
        <v>4166</v>
      </c>
      <c r="AG620" s="164" t="s">
        <v>4194</v>
      </c>
    </row>
    <row r="621" spans="29:33">
      <c r="AC621" s="162" t="s">
        <v>2418</v>
      </c>
      <c r="AD621" s="263" t="s">
        <v>131</v>
      </c>
      <c r="AE621" s="137" t="s">
        <v>4195</v>
      </c>
      <c r="AF621" s="137" t="s">
        <v>4196</v>
      </c>
      <c r="AG621" s="164"/>
    </row>
    <row r="622" spans="29:33">
      <c r="AC622" s="162" t="s">
        <v>2418</v>
      </c>
      <c r="AD622" s="263" t="s">
        <v>1029</v>
      </c>
      <c r="AE622" s="137" t="s">
        <v>1030</v>
      </c>
      <c r="AF622" s="137" t="s">
        <v>1030</v>
      </c>
      <c r="AG622" s="164"/>
    </row>
    <row r="623" spans="29:33">
      <c r="AC623" s="162" t="s">
        <v>2434</v>
      </c>
      <c r="AD623" s="163" t="s">
        <v>4197</v>
      </c>
      <c r="AE623" s="137" t="s">
        <v>2113</v>
      </c>
      <c r="AF623" s="137" t="s">
        <v>4198</v>
      </c>
      <c r="AG623" s="164"/>
    </row>
    <row r="624" spans="29:33">
      <c r="AC624" s="162" t="s">
        <v>2434</v>
      </c>
      <c r="AD624" s="163" t="s">
        <v>4199</v>
      </c>
      <c r="AE624" s="137" t="s">
        <v>4200</v>
      </c>
      <c r="AF624" s="137" t="s">
        <v>4201</v>
      </c>
      <c r="AG624" s="164"/>
    </row>
    <row r="625" spans="29:33">
      <c r="AC625" s="162" t="s">
        <v>2434</v>
      </c>
      <c r="AD625" s="163" t="s">
        <v>4202</v>
      </c>
      <c r="AE625" s="137" t="s">
        <v>4203</v>
      </c>
      <c r="AF625" s="137" t="s">
        <v>4203</v>
      </c>
      <c r="AG625" s="164" t="s">
        <v>4204</v>
      </c>
    </row>
    <row r="626" spans="29:33">
      <c r="AC626" s="162" t="s">
        <v>2434</v>
      </c>
      <c r="AD626" s="163" t="s">
        <v>4205</v>
      </c>
      <c r="AE626" s="137" t="s">
        <v>4206</v>
      </c>
      <c r="AF626" s="137" t="s">
        <v>4206</v>
      </c>
      <c r="AG626" s="164"/>
    </row>
    <row r="627" spans="29:33">
      <c r="AC627" s="162" t="s">
        <v>2434</v>
      </c>
      <c r="AD627" s="163" t="s">
        <v>4207</v>
      </c>
      <c r="AE627" s="137" t="s">
        <v>4208</v>
      </c>
      <c r="AF627" s="137" t="s">
        <v>4208</v>
      </c>
      <c r="AG627" s="164"/>
    </row>
    <row r="628" spans="29:33">
      <c r="AC628" s="162" t="s">
        <v>2434</v>
      </c>
      <c r="AD628" s="163" t="s">
        <v>4209</v>
      </c>
      <c r="AE628" s="137" t="s">
        <v>4210</v>
      </c>
      <c r="AF628" s="137" t="s">
        <v>3012</v>
      </c>
      <c r="AG628" s="164"/>
    </row>
    <row r="629" spans="29:33">
      <c r="AC629" s="162" t="s">
        <v>2434</v>
      </c>
      <c r="AD629" s="163" t="s">
        <v>4211</v>
      </c>
      <c r="AE629" s="137" t="s">
        <v>4212</v>
      </c>
      <c r="AF629" s="137" t="s">
        <v>4212</v>
      </c>
      <c r="AG629" s="164"/>
    </row>
    <row r="630" spans="29:33">
      <c r="AC630" s="162" t="s">
        <v>2434</v>
      </c>
      <c r="AD630" s="163" t="s">
        <v>4213</v>
      </c>
      <c r="AE630" s="137" t="s">
        <v>2418</v>
      </c>
      <c r="AF630" s="137" t="s">
        <v>4214</v>
      </c>
      <c r="AG630" s="164"/>
    </row>
    <row r="631" spans="29:33">
      <c r="AC631" s="162" t="s">
        <v>2434</v>
      </c>
      <c r="AD631" s="163" t="s">
        <v>4215</v>
      </c>
      <c r="AE631" s="137" t="s">
        <v>4216</v>
      </c>
      <c r="AF631" s="137" t="s">
        <v>4216</v>
      </c>
      <c r="AG631" s="164"/>
    </row>
    <row r="632" spans="29:33">
      <c r="AC632" s="162" t="s">
        <v>2434</v>
      </c>
      <c r="AD632" s="163" t="s">
        <v>4217</v>
      </c>
      <c r="AE632" s="137" t="s">
        <v>4218</v>
      </c>
      <c r="AF632" s="137" t="s">
        <v>4218</v>
      </c>
      <c r="AG632" s="164"/>
    </row>
    <row r="633" spans="29:33">
      <c r="AC633" s="162" t="s">
        <v>2434</v>
      </c>
      <c r="AD633" s="163" t="s">
        <v>4219</v>
      </c>
      <c r="AE633" s="137" t="s">
        <v>3333</v>
      </c>
      <c r="AF633" s="137" t="s">
        <v>4220</v>
      </c>
      <c r="AG633" s="164"/>
    </row>
    <row r="634" spans="29:33">
      <c r="AC634" s="162" t="s">
        <v>2434</v>
      </c>
      <c r="AD634" s="163" t="s">
        <v>4221</v>
      </c>
      <c r="AE634" s="137" t="s">
        <v>4222</v>
      </c>
      <c r="AF634" s="137" t="s">
        <v>4222</v>
      </c>
      <c r="AG634" s="164"/>
    </row>
    <row r="635" spans="29:33">
      <c r="AC635" s="162" t="s">
        <v>2434</v>
      </c>
      <c r="AD635" s="163" t="s">
        <v>4223</v>
      </c>
      <c r="AE635" s="137" t="s">
        <v>1977</v>
      </c>
      <c r="AF635" s="137" t="s">
        <v>4224</v>
      </c>
      <c r="AG635" s="164"/>
    </row>
    <row r="636" spans="29:33">
      <c r="AC636" s="162" t="s">
        <v>2434</v>
      </c>
      <c r="AD636" s="163" t="s">
        <v>4225</v>
      </c>
      <c r="AE636" s="137" t="s">
        <v>4226</v>
      </c>
      <c r="AF636" s="137" t="s">
        <v>4227</v>
      </c>
      <c r="AG636" s="164"/>
    </row>
    <row r="637" spans="29:33">
      <c r="AC637" s="162" t="s">
        <v>2434</v>
      </c>
      <c r="AD637" s="163" t="s">
        <v>4228</v>
      </c>
      <c r="AE637" s="137" t="s">
        <v>4229</v>
      </c>
      <c r="AF637" s="137" t="s">
        <v>4229</v>
      </c>
      <c r="AG637" s="164"/>
    </row>
    <row r="638" spans="29:33">
      <c r="AC638" s="162" t="s">
        <v>2434</v>
      </c>
      <c r="AD638" s="163" t="s">
        <v>4230</v>
      </c>
      <c r="AE638" s="137" t="s">
        <v>4231</v>
      </c>
      <c r="AF638" s="137" t="s">
        <v>4232</v>
      </c>
      <c r="AG638" s="164"/>
    </row>
    <row r="639" spans="29:33">
      <c r="AC639" s="162" t="s">
        <v>2434</v>
      </c>
      <c r="AD639" s="163" t="s">
        <v>4233</v>
      </c>
      <c r="AE639" s="137" t="s">
        <v>4234</v>
      </c>
      <c r="AF639" s="137" t="s">
        <v>4234</v>
      </c>
      <c r="AG639" s="164"/>
    </row>
    <row r="640" spans="29:33">
      <c r="AC640" s="162" t="s">
        <v>2434</v>
      </c>
      <c r="AD640" s="163" t="s">
        <v>4233</v>
      </c>
      <c r="AE640" s="137" t="s">
        <v>4235</v>
      </c>
      <c r="AF640" s="137" t="s">
        <v>4234</v>
      </c>
      <c r="AG640" s="164"/>
    </row>
    <row r="641" spans="29:33">
      <c r="AC641" s="162" t="s">
        <v>2434</v>
      </c>
      <c r="AD641" s="163" t="s">
        <v>4236</v>
      </c>
      <c r="AE641" s="137" t="s">
        <v>4237</v>
      </c>
      <c r="AF641" s="137" t="s">
        <v>4237</v>
      </c>
      <c r="AG641" s="164"/>
    </row>
    <row r="642" spans="29:33">
      <c r="AC642" s="162" t="s">
        <v>2434</v>
      </c>
      <c r="AD642" s="163" t="s">
        <v>4238</v>
      </c>
      <c r="AE642" s="137" t="s">
        <v>3067</v>
      </c>
      <c r="AF642" s="137" t="s">
        <v>3067</v>
      </c>
      <c r="AG642" s="164"/>
    </row>
    <row r="643" spans="29:33">
      <c r="AC643" s="162" t="s">
        <v>2434</v>
      </c>
      <c r="AD643" s="163" t="s">
        <v>4239</v>
      </c>
      <c r="AE643" s="137" t="s">
        <v>4240</v>
      </c>
      <c r="AF643" s="137" t="s">
        <v>4241</v>
      </c>
      <c r="AG643" s="164"/>
    </row>
    <row r="644" spans="29:33">
      <c r="AC644" s="162" t="s">
        <v>2434</v>
      </c>
      <c r="AD644" s="163" t="s">
        <v>4242</v>
      </c>
      <c r="AE644" s="137" t="s">
        <v>4243</v>
      </c>
      <c r="AF644" s="137" t="s">
        <v>3652</v>
      </c>
      <c r="AG644" s="164"/>
    </row>
    <row r="645" spans="29:33">
      <c r="AC645" s="162" t="s">
        <v>2434</v>
      </c>
      <c r="AD645" s="163" t="s">
        <v>4244</v>
      </c>
      <c r="AE645" s="137" t="s">
        <v>4245</v>
      </c>
      <c r="AF645" s="137" t="s">
        <v>4246</v>
      </c>
      <c r="AG645" s="164"/>
    </row>
    <row r="646" spans="29:33">
      <c r="AC646" s="162" t="s">
        <v>3317</v>
      </c>
      <c r="AD646" s="163" t="s">
        <v>3317</v>
      </c>
      <c r="AE646" s="137" t="s">
        <v>3317</v>
      </c>
      <c r="AF646" s="137" t="s">
        <v>3317</v>
      </c>
      <c r="AG646" s="164"/>
    </row>
    <row r="647" spans="29:33">
      <c r="AC647" s="162" t="s">
        <v>2296</v>
      </c>
      <c r="AD647" s="163" t="s">
        <v>1132</v>
      </c>
      <c r="AE647" s="137" t="s">
        <v>4247</v>
      </c>
      <c r="AF647" s="137" t="s">
        <v>4248</v>
      </c>
      <c r="AG647" s="164"/>
    </row>
    <row r="648" spans="29:33">
      <c r="AC648" s="162" t="s">
        <v>2296</v>
      </c>
      <c r="AD648" s="163" t="s">
        <v>721</v>
      </c>
      <c r="AE648" s="137" t="s">
        <v>4249</v>
      </c>
      <c r="AF648" s="137" t="s">
        <v>4250</v>
      </c>
      <c r="AG648" s="164"/>
    </row>
    <row r="649" spans="29:33">
      <c r="AC649" s="162" t="s">
        <v>2296</v>
      </c>
      <c r="AD649" s="163" t="s">
        <v>721</v>
      </c>
      <c r="AE649" s="137" t="s">
        <v>4249</v>
      </c>
      <c r="AF649" s="137" t="s">
        <v>4250</v>
      </c>
      <c r="AG649" s="164"/>
    </row>
    <row r="650" spans="29:33" ht="14.5" thickBot="1">
      <c r="AC650" s="267" t="s">
        <v>2296</v>
      </c>
      <c r="AD650" s="268" t="s">
        <v>721</v>
      </c>
      <c r="AE650" s="269" t="s">
        <v>4249</v>
      </c>
      <c r="AF650" s="269" t="s">
        <v>4250</v>
      </c>
      <c r="AG650" s="270"/>
    </row>
    <row r="651" spans="29:33">
      <c r="AC651" s="162" t="s">
        <v>2296</v>
      </c>
      <c r="AD651" s="15" t="s">
        <v>721</v>
      </c>
      <c r="AE651" s="17" t="s">
        <v>4249</v>
      </c>
      <c r="AF651" s="17" t="s">
        <v>4250</v>
      </c>
    </row>
    <row r="652" spans="29:33">
      <c r="AC652" s="162" t="s">
        <v>2296</v>
      </c>
      <c r="AD652" s="15" t="s">
        <v>1064</v>
      </c>
      <c r="AE652" s="17" t="s">
        <v>2012</v>
      </c>
      <c r="AF652" s="17" t="s">
        <v>4251</v>
      </c>
    </row>
    <row r="653" spans="29:33">
      <c r="AC653" s="15" t="s">
        <v>2296</v>
      </c>
      <c r="AD653" s="15" t="s">
        <v>567</v>
      </c>
      <c r="AE653" s="17" t="s">
        <v>2012</v>
      </c>
      <c r="AF653" s="17" t="s">
        <v>4252</v>
      </c>
    </row>
    <row r="654" spans="29:33">
      <c r="AC654" s="162" t="s">
        <v>2296</v>
      </c>
      <c r="AD654" s="271" t="s">
        <v>98</v>
      </c>
      <c r="AE654" s="107" t="s">
        <v>2418</v>
      </c>
      <c r="AF654" s="17" t="s">
        <v>4253</v>
      </c>
    </row>
    <row r="655" spans="29:33">
      <c r="AC655" s="15" t="s">
        <v>2296</v>
      </c>
      <c r="AD655" s="15" t="s">
        <v>398</v>
      </c>
      <c r="AE655" s="137" t="s">
        <v>3450</v>
      </c>
      <c r="AF655" s="137" t="s">
        <v>4254</v>
      </c>
    </row>
    <row r="656" spans="29:33">
      <c r="AC656" s="15" t="s">
        <v>2296</v>
      </c>
      <c r="AD656" s="15" t="s">
        <v>1779</v>
      </c>
      <c r="AE656" s="137" t="s">
        <v>2348</v>
      </c>
      <c r="AF656" s="137" t="s">
        <v>4255</v>
      </c>
    </row>
    <row r="657" spans="29:33">
      <c r="AC657" s="15" t="s">
        <v>2296</v>
      </c>
      <c r="AD657" s="15" t="s">
        <v>1482</v>
      </c>
      <c r="AE657" s="137" t="s">
        <v>4256</v>
      </c>
      <c r="AF657" s="137" t="s">
        <v>4257</v>
      </c>
    </row>
    <row r="658" spans="29:33">
      <c r="AC658" s="15" t="s">
        <v>2296</v>
      </c>
      <c r="AD658" s="15" t="s">
        <v>1677</v>
      </c>
      <c r="AE658" s="137" t="s">
        <v>2156</v>
      </c>
      <c r="AF658" s="137" t="s">
        <v>4258</v>
      </c>
    </row>
    <row r="659" spans="29:33">
      <c r="AC659" s="15" t="s">
        <v>2296</v>
      </c>
      <c r="AD659" s="15" t="s">
        <v>1677</v>
      </c>
      <c r="AE659" s="137" t="s">
        <v>2156</v>
      </c>
      <c r="AF659" s="137" t="s">
        <v>4258</v>
      </c>
    </row>
    <row r="660" spans="29:33">
      <c r="AC660" s="15" t="s">
        <v>2296</v>
      </c>
      <c r="AD660" s="15" t="s">
        <v>379</v>
      </c>
      <c r="AE660" s="137" t="s">
        <v>4259</v>
      </c>
      <c r="AF660" s="137" t="s">
        <v>4259</v>
      </c>
    </row>
    <row r="661" spans="29:33">
      <c r="AC661" s="15" t="s">
        <v>2296</v>
      </c>
      <c r="AD661" s="15" t="s">
        <v>907</v>
      </c>
      <c r="AE661" s="137" t="s">
        <v>4260</v>
      </c>
      <c r="AF661" s="137" t="s">
        <v>4261</v>
      </c>
    </row>
    <row r="662" spans="29:33">
      <c r="AC662" s="15" t="s">
        <v>2324</v>
      </c>
      <c r="AD662" s="271" t="s">
        <v>4037</v>
      </c>
      <c r="AE662" s="134" t="s">
        <v>3098</v>
      </c>
      <c r="AF662" s="134" t="s">
        <v>3098</v>
      </c>
    </row>
    <row r="663" spans="29:33">
      <c r="AC663" s="15" t="s">
        <v>2324</v>
      </c>
      <c r="AD663" s="271" t="s">
        <v>4262</v>
      </c>
      <c r="AE663" s="137" t="s">
        <v>4263</v>
      </c>
      <c r="AF663" s="137" t="s">
        <v>4263</v>
      </c>
    </row>
    <row r="664" spans="29:33">
      <c r="AC664" s="15" t="s">
        <v>2324</v>
      </c>
      <c r="AD664" s="271" t="s">
        <v>94</v>
      </c>
      <c r="AE664" s="137" t="s">
        <v>4264</v>
      </c>
      <c r="AF664" s="137" t="s">
        <v>4264</v>
      </c>
    </row>
    <row r="665" spans="29:33">
      <c r="AC665" s="162" t="s">
        <v>2509</v>
      </c>
      <c r="AD665" s="15" t="s">
        <v>568</v>
      </c>
      <c r="AE665" s="17" t="s">
        <v>4265</v>
      </c>
      <c r="AF665" s="17" t="s">
        <v>4265</v>
      </c>
      <c r="AG665" s="15" t="s">
        <v>4266</v>
      </c>
    </row>
    <row r="666" spans="29:33">
      <c r="AC666" s="162" t="s">
        <v>2509</v>
      </c>
      <c r="AD666" s="15" t="s">
        <v>1808</v>
      </c>
      <c r="AE666" s="17" t="s">
        <v>4267</v>
      </c>
      <c r="AF666" s="17" t="s">
        <v>4267</v>
      </c>
      <c r="AG666" s="15" t="s">
        <v>4268</v>
      </c>
    </row>
    <row r="667" spans="29:33">
      <c r="AC667" s="162" t="s">
        <v>2509</v>
      </c>
      <c r="AD667" s="15" t="s">
        <v>798</v>
      </c>
      <c r="AE667" s="17" t="s">
        <v>4269</v>
      </c>
      <c r="AF667" s="17" t="s">
        <v>4269</v>
      </c>
      <c r="AG667" s="15" t="s">
        <v>4270</v>
      </c>
    </row>
    <row r="668" spans="29:33">
      <c r="AC668" s="162" t="s">
        <v>2509</v>
      </c>
      <c r="AD668" s="15" t="s">
        <v>1249</v>
      </c>
      <c r="AE668" s="17" t="s">
        <v>4271</v>
      </c>
      <c r="AF668" s="17" t="s">
        <v>4271</v>
      </c>
      <c r="AG668" s="15" t="s">
        <v>4272</v>
      </c>
    </row>
    <row r="669" spans="29:33">
      <c r="AC669" s="162" t="s">
        <v>2509</v>
      </c>
      <c r="AD669" s="15" t="s">
        <v>135</v>
      </c>
      <c r="AE669" s="17" t="s">
        <v>4273</v>
      </c>
      <c r="AF669" s="17" t="s">
        <v>4273</v>
      </c>
      <c r="AG669" s="15" t="s">
        <v>4274</v>
      </c>
    </row>
    <row r="670" spans="29:33">
      <c r="AC670" s="162" t="s">
        <v>2509</v>
      </c>
      <c r="AD670" s="15" t="s">
        <v>1602</v>
      </c>
      <c r="AE670" s="17" t="s">
        <v>4275</v>
      </c>
      <c r="AF670" s="17" t="s">
        <v>4275</v>
      </c>
      <c r="AG670" s="15" t="s">
        <v>4276</v>
      </c>
    </row>
    <row r="671" spans="29:33">
      <c r="AC671" s="162" t="s">
        <v>2509</v>
      </c>
      <c r="AD671" s="15" t="s">
        <v>1117</v>
      </c>
      <c r="AE671" s="17" t="s">
        <v>4277</v>
      </c>
      <c r="AF671" s="17" t="s">
        <v>4277</v>
      </c>
      <c r="AG671" s="15" t="s">
        <v>4278</v>
      </c>
    </row>
    <row r="672" spans="29:33">
      <c r="AC672" s="162" t="s">
        <v>2509</v>
      </c>
      <c r="AD672" s="15" t="s">
        <v>1283</v>
      </c>
      <c r="AE672" s="17" t="s">
        <v>4279</v>
      </c>
      <c r="AF672" s="17" t="s">
        <v>4279</v>
      </c>
      <c r="AG672" s="15" t="s">
        <v>4280</v>
      </c>
    </row>
    <row r="673" spans="29:32">
      <c r="AC673" s="162" t="s">
        <v>2338</v>
      </c>
      <c r="AD673" s="15" t="s">
        <v>282</v>
      </c>
      <c r="AE673" s="17" t="s">
        <v>2111</v>
      </c>
      <c r="AF673" s="17" t="s">
        <v>4281</v>
      </c>
    </row>
    <row r="674" spans="29:32">
      <c r="AC674" s="162" t="s">
        <v>2338</v>
      </c>
      <c r="AD674" s="15" t="s">
        <v>100</v>
      </c>
      <c r="AE674" s="17" t="s">
        <v>4282</v>
      </c>
      <c r="AF674" s="17" t="s">
        <v>4283</v>
      </c>
    </row>
    <row r="675" spans="29:32">
      <c r="AC675" s="162" t="s">
        <v>2338</v>
      </c>
      <c r="AD675" s="15" t="s">
        <v>36</v>
      </c>
      <c r="AE675" s="17" t="s">
        <v>2081</v>
      </c>
      <c r="AF675" s="17" t="s">
        <v>4284</v>
      </c>
    </row>
    <row r="676" spans="29:32">
      <c r="AC676" s="162" t="s">
        <v>2338</v>
      </c>
      <c r="AD676" s="15" t="s">
        <v>105</v>
      </c>
      <c r="AE676" s="17" t="s">
        <v>3488</v>
      </c>
      <c r="AF676" s="17" t="s">
        <v>3922</v>
      </c>
    </row>
    <row r="677" spans="29:32">
      <c r="AC677" s="162" t="s">
        <v>2338</v>
      </c>
      <c r="AD677" s="15" t="s">
        <v>354</v>
      </c>
      <c r="AE677" s="17" t="s">
        <v>4285</v>
      </c>
      <c r="AF677" s="17" t="s">
        <v>4285</v>
      </c>
    </row>
    <row r="678" spans="29:32">
      <c r="AC678" s="162" t="s">
        <v>2338</v>
      </c>
      <c r="AD678" s="15" t="s">
        <v>4286</v>
      </c>
      <c r="AE678" s="17" t="s">
        <v>2039</v>
      </c>
      <c r="AF678" s="17" t="s">
        <v>2039</v>
      </c>
    </row>
    <row r="679" spans="29:32">
      <c r="AC679" s="162" t="s">
        <v>2551</v>
      </c>
      <c r="AD679" s="15" t="s">
        <v>1232</v>
      </c>
      <c r="AE679" s="17" t="s">
        <v>4287</v>
      </c>
      <c r="AF679" s="17" t="s">
        <v>4288</v>
      </c>
    </row>
    <row r="680" spans="29:32">
      <c r="AC680" s="162" t="s">
        <v>2551</v>
      </c>
      <c r="AD680" s="15" t="s">
        <v>1809</v>
      </c>
      <c r="AE680" s="17" t="s">
        <v>4289</v>
      </c>
      <c r="AF680" s="17" t="s">
        <v>4290</v>
      </c>
    </row>
    <row r="681" spans="29:32">
      <c r="AC681" s="162" t="s">
        <v>2551</v>
      </c>
      <c r="AD681" s="15" t="s">
        <v>184</v>
      </c>
      <c r="AE681" s="17" t="s">
        <v>4291</v>
      </c>
      <c r="AF681" s="17" t="s">
        <v>4292</v>
      </c>
    </row>
    <row r="682" spans="29:32">
      <c r="AC682" s="162" t="s">
        <v>2551</v>
      </c>
      <c r="AD682" s="15" t="s">
        <v>1205</v>
      </c>
      <c r="AE682" s="17" t="s">
        <v>4293</v>
      </c>
      <c r="AF682" s="17" t="s">
        <v>4294</v>
      </c>
    </row>
    <row r="683" spans="29:32">
      <c r="AC683" s="162" t="s">
        <v>2551</v>
      </c>
      <c r="AD683" s="15" t="s">
        <v>1618</v>
      </c>
      <c r="AE683" s="17" t="s">
        <v>4295</v>
      </c>
      <c r="AF683" s="17" t="s">
        <v>4296</v>
      </c>
    </row>
    <row r="684" spans="29:32">
      <c r="AC684" s="162" t="s">
        <v>2551</v>
      </c>
      <c r="AD684" s="15" t="s">
        <v>514</v>
      </c>
      <c r="AE684" s="17" t="s">
        <v>4297</v>
      </c>
      <c r="AF684" s="17" t="s">
        <v>4298</v>
      </c>
    </row>
    <row r="685" spans="29:32">
      <c r="AC685" s="162" t="s">
        <v>2551</v>
      </c>
      <c r="AD685" s="15" t="s">
        <v>4299</v>
      </c>
      <c r="AE685" s="17" t="s">
        <v>4299</v>
      </c>
      <c r="AF685" s="17" t="s">
        <v>4300</v>
      </c>
    </row>
    <row r="686" spans="29:32">
      <c r="AC686" s="162" t="s">
        <v>2551</v>
      </c>
      <c r="AD686" s="15" t="s">
        <v>4301</v>
      </c>
      <c r="AE686" s="17" t="s">
        <v>4301</v>
      </c>
      <c r="AF686" s="17" t="s">
        <v>4302</v>
      </c>
    </row>
    <row r="687" spans="29:32">
      <c r="AC687" s="162" t="s">
        <v>2551</v>
      </c>
      <c r="AD687" s="15" t="s">
        <v>4303</v>
      </c>
      <c r="AE687" s="17" t="s">
        <v>4303</v>
      </c>
      <c r="AF687" s="17" t="s">
        <v>4304</v>
      </c>
    </row>
    <row r="688" spans="29:32">
      <c r="AC688" s="162" t="s">
        <v>2551</v>
      </c>
      <c r="AD688" s="15" t="s">
        <v>4305</v>
      </c>
      <c r="AE688" s="17" t="s">
        <v>4305</v>
      </c>
      <c r="AF688" s="17" t="s">
        <v>4306</v>
      </c>
    </row>
    <row r="689" spans="29:33">
      <c r="AC689" s="162" t="s">
        <v>2308</v>
      </c>
      <c r="AD689" s="15" t="s">
        <v>1612</v>
      </c>
      <c r="AE689" s="272" t="s">
        <v>4307</v>
      </c>
      <c r="AF689" s="17" t="s">
        <v>4308</v>
      </c>
    </row>
    <row r="690" spans="29:33">
      <c r="AC690" s="162" t="s">
        <v>2308</v>
      </c>
      <c r="AD690" s="15" t="s">
        <v>1031</v>
      </c>
      <c r="AE690" s="272" t="s">
        <v>1031</v>
      </c>
      <c r="AF690" s="17" t="s">
        <v>4309</v>
      </c>
    </row>
    <row r="691" spans="29:33">
      <c r="AC691" s="162" t="s">
        <v>2308</v>
      </c>
      <c r="AD691" s="15" t="s">
        <v>1867</v>
      </c>
      <c r="AE691" s="272" t="s">
        <v>4310</v>
      </c>
      <c r="AF691" s="17" t="s">
        <v>4311</v>
      </c>
    </row>
    <row r="692" spans="29:33">
      <c r="AC692" s="162" t="s">
        <v>2478</v>
      </c>
      <c r="AD692" s="15" t="s">
        <v>678</v>
      </c>
      <c r="AE692" s="17" t="s">
        <v>4312</v>
      </c>
      <c r="AF692" s="17" t="s">
        <v>4313</v>
      </c>
    </row>
    <row r="693" spans="29:33">
      <c r="AC693" s="162" t="s">
        <v>2478</v>
      </c>
      <c r="AD693" s="15" t="s">
        <v>4314</v>
      </c>
      <c r="AE693" s="17" t="s">
        <v>4315</v>
      </c>
      <c r="AF693" s="17" t="s">
        <v>4315</v>
      </c>
      <c r="AG693" s="15" t="s">
        <v>4316</v>
      </c>
    </row>
    <row r="694" spans="29:33">
      <c r="AC694" s="162" t="s">
        <v>2478</v>
      </c>
      <c r="AD694" s="15" t="s">
        <v>1656</v>
      </c>
      <c r="AE694" s="17" t="s">
        <v>4317</v>
      </c>
      <c r="AF694" s="17" t="s">
        <v>4318</v>
      </c>
    </row>
    <row r="695" spans="29:33">
      <c r="AC695" s="162" t="s">
        <v>2478</v>
      </c>
      <c r="AD695" s="15" t="s">
        <v>4319</v>
      </c>
      <c r="AE695" s="17" t="s">
        <v>2707</v>
      </c>
      <c r="AF695" s="17" t="s">
        <v>4320</v>
      </c>
      <c r="AG695" s="15" t="s">
        <v>2926</v>
      </c>
    </row>
    <row r="696" spans="29:33">
      <c r="AC696" s="162" t="s">
        <v>2478</v>
      </c>
      <c r="AD696" s="15" t="s">
        <v>4321</v>
      </c>
      <c r="AE696" s="17" t="s">
        <v>4322</v>
      </c>
      <c r="AF696" s="17" t="s">
        <v>4322</v>
      </c>
      <c r="AG696" s="15" t="s">
        <v>2926</v>
      </c>
    </row>
    <row r="697" spans="29:33">
      <c r="AC697" s="162" t="s">
        <v>2478</v>
      </c>
      <c r="AD697" s="15" t="s">
        <v>4323</v>
      </c>
      <c r="AE697" s="17" t="s">
        <v>4324</v>
      </c>
      <c r="AF697" s="17" t="s">
        <v>4325</v>
      </c>
      <c r="AG697" s="15" t="s">
        <v>4326</v>
      </c>
    </row>
    <row r="698" spans="29:33">
      <c r="AC698" s="162" t="s">
        <v>2478</v>
      </c>
      <c r="AD698" s="15" t="s">
        <v>4327</v>
      </c>
      <c r="AE698" s="17" t="s">
        <v>4328</v>
      </c>
      <c r="AF698" s="17" t="s">
        <v>4329</v>
      </c>
      <c r="AG698" s="15" t="s">
        <v>4330</v>
      </c>
    </row>
    <row r="699" spans="29:33">
      <c r="AC699" s="162" t="s">
        <v>2478</v>
      </c>
      <c r="AD699" s="15" t="s">
        <v>4331</v>
      </c>
      <c r="AE699" s="17" t="s">
        <v>4332</v>
      </c>
      <c r="AF699" s="17" t="s">
        <v>4333</v>
      </c>
      <c r="AG699" s="15" t="s">
        <v>4334</v>
      </c>
    </row>
    <row r="700" spans="29:33">
      <c r="AC700" s="162" t="s">
        <v>2478</v>
      </c>
      <c r="AD700" s="15" t="s">
        <v>4335</v>
      </c>
      <c r="AE700" s="17" t="s">
        <v>4336</v>
      </c>
      <c r="AF700" s="17" t="s">
        <v>4337</v>
      </c>
      <c r="AG700" s="15" t="s">
        <v>4338</v>
      </c>
    </row>
    <row r="701" spans="29:33">
      <c r="AC701" s="162" t="s">
        <v>2478</v>
      </c>
      <c r="AD701" s="15" t="s">
        <v>873</v>
      </c>
      <c r="AE701" s="17" t="s">
        <v>4339</v>
      </c>
      <c r="AF701" s="17" t="s">
        <v>4339</v>
      </c>
    </row>
    <row r="702" spans="29:33">
      <c r="AC702" s="162" t="s">
        <v>2478</v>
      </c>
      <c r="AD702" s="15" t="s">
        <v>4340</v>
      </c>
      <c r="AE702" s="17" t="s">
        <v>4341</v>
      </c>
      <c r="AF702" s="17" t="s">
        <v>4342</v>
      </c>
      <c r="AG702" s="15" t="s">
        <v>4343</v>
      </c>
    </row>
    <row r="703" spans="29:33">
      <c r="AC703" s="162" t="s">
        <v>2478</v>
      </c>
      <c r="AD703" s="15" t="s">
        <v>4344</v>
      </c>
      <c r="AE703" s="17" t="s">
        <v>4345</v>
      </c>
      <c r="AF703" s="17" t="s">
        <v>4346</v>
      </c>
      <c r="AG703" s="15" t="s">
        <v>4347</v>
      </c>
    </row>
    <row r="704" spans="29:33">
      <c r="AC704" s="162" t="s">
        <v>2478</v>
      </c>
      <c r="AD704" s="15" t="s">
        <v>4348</v>
      </c>
      <c r="AE704" s="17" t="s">
        <v>4349</v>
      </c>
      <c r="AF704" s="17" t="s">
        <v>4350</v>
      </c>
      <c r="AG704" s="15" t="s">
        <v>4343</v>
      </c>
    </row>
    <row r="705" spans="29:33">
      <c r="AC705" s="162" t="s">
        <v>2478</v>
      </c>
      <c r="AD705" s="15" t="s">
        <v>4351</v>
      </c>
      <c r="AE705" s="17" t="s">
        <v>4352</v>
      </c>
      <c r="AF705" s="17" t="s">
        <v>4353</v>
      </c>
      <c r="AG705" s="15" t="s">
        <v>4351</v>
      </c>
    </row>
    <row r="706" spans="29:33">
      <c r="AC706" s="162" t="s">
        <v>2478</v>
      </c>
      <c r="AD706" s="15" t="s">
        <v>4354</v>
      </c>
      <c r="AE706" s="17" t="s">
        <v>4355</v>
      </c>
      <c r="AF706" s="17" t="s">
        <v>4355</v>
      </c>
      <c r="AG706" s="15" t="s">
        <v>4356</v>
      </c>
    </row>
    <row r="707" spans="29:33">
      <c r="AC707" s="162" t="s">
        <v>2478</v>
      </c>
      <c r="AD707" s="15" t="s">
        <v>4357</v>
      </c>
      <c r="AE707" s="17" t="s">
        <v>4358</v>
      </c>
      <c r="AF707" s="17" t="s">
        <v>4359</v>
      </c>
    </row>
    <row r="708" spans="29:33">
      <c r="AC708" s="162" t="s">
        <v>2478</v>
      </c>
      <c r="AD708" s="15" t="s">
        <v>4360</v>
      </c>
      <c r="AE708" s="17" t="s">
        <v>4361</v>
      </c>
      <c r="AF708" s="17" t="s">
        <v>4362</v>
      </c>
    </row>
    <row r="709" spans="29:33">
      <c r="AC709" s="162" t="s">
        <v>2478</v>
      </c>
      <c r="AD709" s="15" t="s">
        <v>4363</v>
      </c>
      <c r="AE709" s="17" t="s">
        <v>4364</v>
      </c>
      <c r="AF709" s="17" t="s">
        <v>4365</v>
      </c>
      <c r="AG709" s="15" t="s">
        <v>4366</v>
      </c>
    </row>
    <row r="710" spans="29:33">
      <c r="AC710" s="162" t="s">
        <v>2478</v>
      </c>
      <c r="AD710" s="15" t="s">
        <v>4367</v>
      </c>
      <c r="AE710" s="17" t="s">
        <v>4368</v>
      </c>
      <c r="AF710" s="17" t="s">
        <v>4369</v>
      </c>
      <c r="AG710" s="15" t="s">
        <v>4370</v>
      </c>
    </row>
    <row r="711" spans="29:33">
      <c r="AC711" s="162" t="s">
        <v>2478</v>
      </c>
      <c r="AD711" s="15" t="s">
        <v>4371</v>
      </c>
      <c r="AE711" s="17" t="s">
        <v>4372</v>
      </c>
      <c r="AF711" s="17" t="s">
        <v>4373</v>
      </c>
      <c r="AG711" s="15" t="s">
        <v>4374</v>
      </c>
    </row>
    <row r="712" spans="29:33">
      <c r="AC712" s="162" t="s">
        <v>2478</v>
      </c>
      <c r="AD712" s="15" t="s">
        <v>4375</v>
      </c>
      <c r="AE712" s="17" t="s">
        <v>4376</v>
      </c>
      <c r="AF712" s="17" t="s">
        <v>4377</v>
      </c>
      <c r="AG712" s="15" t="s">
        <v>4378</v>
      </c>
    </row>
    <row r="713" spans="29:33">
      <c r="AC713" s="162" t="s">
        <v>2478</v>
      </c>
      <c r="AD713" s="15" t="s">
        <v>4379</v>
      </c>
      <c r="AE713" s="17" t="s">
        <v>4380</v>
      </c>
      <c r="AF713" s="17" t="s">
        <v>4381</v>
      </c>
      <c r="AG713" s="15" t="s">
        <v>4382</v>
      </c>
    </row>
    <row r="714" spans="29:33">
      <c r="AC714" s="162" t="s">
        <v>2478</v>
      </c>
      <c r="AD714" s="15" t="s">
        <v>4383</v>
      </c>
      <c r="AE714" s="17" t="s">
        <v>4384</v>
      </c>
      <c r="AF714" s="17" t="s">
        <v>4385</v>
      </c>
      <c r="AG714" s="15" t="s">
        <v>4386</v>
      </c>
    </row>
    <row r="715" spans="29:33">
      <c r="AC715" s="162" t="s">
        <v>2478</v>
      </c>
      <c r="AD715" s="15" t="s">
        <v>4387</v>
      </c>
      <c r="AE715" s="17" t="s">
        <v>4388</v>
      </c>
      <c r="AF715" s="17" t="s">
        <v>4389</v>
      </c>
      <c r="AG715" s="15" t="s">
        <v>4386</v>
      </c>
    </row>
    <row r="716" spans="29:33">
      <c r="AC716" s="162" t="s">
        <v>2478</v>
      </c>
      <c r="AD716" s="15" t="s">
        <v>902</v>
      </c>
      <c r="AE716" s="17" t="s">
        <v>4390</v>
      </c>
      <c r="AF716" s="17" t="s">
        <v>4391</v>
      </c>
      <c r="AG716" s="15" t="s">
        <v>4392</v>
      </c>
    </row>
    <row r="717" spans="29:33">
      <c r="AC717" s="162" t="s">
        <v>2478</v>
      </c>
      <c r="AD717" s="15" t="s">
        <v>4393</v>
      </c>
      <c r="AE717" s="17" t="s">
        <v>4394</v>
      </c>
      <c r="AF717" s="17" t="s">
        <v>4395</v>
      </c>
      <c r="AG717" s="15" t="s">
        <v>4396</v>
      </c>
    </row>
    <row r="718" spans="29:33">
      <c r="AC718" s="162" t="s">
        <v>2478</v>
      </c>
      <c r="AD718" s="15" t="s">
        <v>4397</v>
      </c>
      <c r="AE718" s="17" t="s">
        <v>4398</v>
      </c>
      <c r="AF718" s="17" t="s">
        <v>4399</v>
      </c>
      <c r="AG718" s="15" t="s">
        <v>4400</v>
      </c>
    </row>
    <row r="719" spans="29:33">
      <c r="AC719" s="162" t="s">
        <v>2478</v>
      </c>
      <c r="AD719" s="15" t="s">
        <v>4401</v>
      </c>
      <c r="AE719" s="17" t="s">
        <v>4402</v>
      </c>
      <c r="AF719" s="17" t="s">
        <v>4402</v>
      </c>
      <c r="AG719" s="15" t="s">
        <v>4403</v>
      </c>
    </row>
    <row r="720" spans="29:33">
      <c r="AC720" s="162" t="s">
        <v>2478</v>
      </c>
      <c r="AD720" s="15" t="s">
        <v>4404</v>
      </c>
      <c r="AE720" s="17" t="s">
        <v>4405</v>
      </c>
      <c r="AF720" s="17" t="s">
        <v>4406</v>
      </c>
    </row>
    <row r="721" spans="29:33">
      <c r="AC721" s="162" t="s">
        <v>2478</v>
      </c>
      <c r="AD721" s="271" t="s">
        <v>4407</v>
      </c>
      <c r="AE721" s="137" t="s">
        <v>4408</v>
      </c>
      <c r="AF721" s="17" t="s">
        <v>4409</v>
      </c>
      <c r="AG721" s="15" t="s">
        <v>4410</v>
      </c>
    </row>
    <row r="722" spans="29:33">
      <c r="AC722" s="162" t="s">
        <v>2478</v>
      </c>
      <c r="AD722" s="271" t="s">
        <v>4411</v>
      </c>
      <c r="AE722" s="137" t="s">
        <v>4412</v>
      </c>
      <c r="AF722" s="17" t="s">
        <v>4413</v>
      </c>
      <c r="AG722" s="15" t="s">
        <v>4414</v>
      </c>
    </row>
    <row r="723" spans="29:33">
      <c r="AC723" s="162" t="s">
        <v>2478</v>
      </c>
      <c r="AD723" s="271" t="s">
        <v>4415</v>
      </c>
      <c r="AE723" s="137" t="s">
        <v>4416</v>
      </c>
      <c r="AF723" s="17" t="s">
        <v>4417</v>
      </c>
      <c r="AG723" s="15" t="s">
        <v>4418</v>
      </c>
    </row>
    <row r="724" spans="29:33">
      <c r="AC724" s="162" t="s">
        <v>2539</v>
      </c>
      <c r="AD724" s="271" t="s">
        <v>464</v>
      </c>
      <c r="AE724" s="154" t="s">
        <v>2156</v>
      </c>
      <c r="AF724" s="272" t="s">
        <v>2156</v>
      </c>
    </row>
    <row r="725" spans="29:33">
      <c r="AC725" s="162" t="s">
        <v>2539</v>
      </c>
      <c r="AD725" s="271" t="s">
        <v>483</v>
      </c>
      <c r="AE725" s="273" t="s">
        <v>2144</v>
      </c>
      <c r="AF725" s="274" t="s">
        <v>3816</v>
      </c>
    </row>
    <row r="726" spans="29:33">
      <c r="AC726" s="162" t="s">
        <v>2539</v>
      </c>
      <c r="AD726" s="15" t="s">
        <v>1165</v>
      </c>
      <c r="AE726" s="274" t="s">
        <v>3445</v>
      </c>
      <c r="AF726" s="274" t="s">
        <v>3818</v>
      </c>
    </row>
    <row r="727" spans="29:33">
      <c r="AC727" s="162" t="s">
        <v>2539</v>
      </c>
      <c r="AD727" s="15" t="s">
        <v>281</v>
      </c>
      <c r="AE727" s="272" t="s">
        <v>3445</v>
      </c>
      <c r="AF727" s="274" t="s">
        <v>3818</v>
      </c>
    </row>
    <row r="728" spans="29:33">
      <c r="AC728" s="162" t="s">
        <v>2539</v>
      </c>
      <c r="AD728" s="15" t="s">
        <v>1468</v>
      </c>
      <c r="AE728" s="272" t="s">
        <v>2144</v>
      </c>
      <c r="AF728" s="274" t="s">
        <v>3816</v>
      </c>
    </row>
    <row r="729" spans="29:33">
      <c r="AC729" s="162" t="s">
        <v>2539</v>
      </c>
      <c r="AD729" s="15" t="s">
        <v>1672</v>
      </c>
      <c r="AE729" s="274" t="s">
        <v>2144</v>
      </c>
      <c r="AF729" s="274" t="s">
        <v>3816</v>
      </c>
    </row>
    <row r="730" spans="29:33">
      <c r="AC730" s="162" t="s">
        <v>2539</v>
      </c>
      <c r="AD730" s="15" t="s">
        <v>1250</v>
      </c>
      <c r="AE730" s="274" t="s">
        <v>3445</v>
      </c>
      <c r="AF730" s="274" t="s">
        <v>3818</v>
      </c>
    </row>
    <row r="731" spans="29:33">
      <c r="AC731" s="162" t="s">
        <v>2355</v>
      </c>
      <c r="AD731" s="15" t="s">
        <v>690</v>
      </c>
      <c r="AE731" s="17" t="s">
        <v>4419</v>
      </c>
      <c r="AF731" s="17" t="s">
        <v>4420</v>
      </c>
    </row>
    <row r="732" spans="29:33">
      <c r="AC732" s="162" t="s">
        <v>2355</v>
      </c>
      <c r="AD732" s="15" t="s">
        <v>31</v>
      </c>
      <c r="AE732" s="17" t="s">
        <v>4421</v>
      </c>
      <c r="AF732" s="17" t="s">
        <v>2411</v>
      </c>
    </row>
    <row r="733" spans="29:33">
      <c r="AC733" s="162" t="s">
        <v>2355</v>
      </c>
      <c r="AD733" s="15" t="s">
        <v>238</v>
      </c>
      <c r="AE733" s="17" t="s">
        <v>2576</v>
      </c>
      <c r="AF733" s="17" t="s">
        <v>4422</v>
      </c>
    </row>
    <row r="734" spans="29:33">
      <c r="AC734" s="162" t="s">
        <v>2355</v>
      </c>
      <c r="AD734" s="15" t="s">
        <v>1026</v>
      </c>
      <c r="AE734" s="17" t="s">
        <v>4423</v>
      </c>
      <c r="AF734" s="17" t="s">
        <v>3505</v>
      </c>
    </row>
    <row r="735" spans="29:33">
      <c r="AC735" s="162" t="s">
        <v>2355</v>
      </c>
      <c r="AD735" s="15" t="s">
        <v>501</v>
      </c>
      <c r="AE735" s="17" t="s">
        <v>4424</v>
      </c>
      <c r="AF735" s="17" t="s">
        <v>4425</v>
      </c>
    </row>
    <row r="736" spans="29:33">
      <c r="AC736" s="162" t="s">
        <v>2355</v>
      </c>
      <c r="AD736" s="15" t="s">
        <v>872</v>
      </c>
      <c r="AE736" s="17" t="s">
        <v>4426</v>
      </c>
      <c r="AF736" s="17" t="s">
        <v>4427</v>
      </c>
    </row>
    <row r="737" spans="29:32">
      <c r="AC737" s="162" t="s">
        <v>2355</v>
      </c>
      <c r="AD737" s="15" t="s">
        <v>372</v>
      </c>
      <c r="AE737" s="17" t="s">
        <v>4428</v>
      </c>
      <c r="AF737" s="17" t="s">
        <v>4429</v>
      </c>
    </row>
    <row r="738" spans="29:32">
      <c r="AC738" s="162" t="s">
        <v>2355</v>
      </c>
      <c r="AD738" s="15" t="s">
        <v>1546</v>
      </c>
      <c r="AE738" s="17" t="s">
        <v>4419</v>
      </c>
      <c r="AF738" s="17" t="s">
        <v>4420</v>
      </c>
    </row>
    <row r="739" spans="29:32">
      <c r="AC739" s="162" t="s">
        <v>2355</v>
      </c>
      <c r="AD739" s="15" t="s">
        <v>655</v>
      </c>
      <c r="AE739" s="17" t="s">
        <v>4430</v>
      </c>
      <c r="AF739" s="17" t="s">
        <v>2854</v>
      </c>
    </row>
    <row r="740" spans="29:32">
      <c r="AC740" s="162" t="s">
        <v>2355</v>
      </c>
      <c r="AD740" s="15" t="s">
        <v>669</v>
      </c>
      <c r="AE740" s="17" t="s">
        <v>4419</v>
      </c>
      <c r="AF740" s="17" t="s">
        <v>4420</v>
      </c>
    </row>
    <row r="741" spans="29:32">
      <c r="AC741" s="162" t="s">
        <v>1980</v>
      </c>
      <c r="AD741" s="17" t="s">
        <v>4431</v>
      </c>
      <c r="AE741" s="17" t="s">
        <v>2119</v>
      </c>
      <c r="AF741" s="17" t="s">
        <v>4432</v>
      </c>
    </row>
    <row r="742" spans="29:32">
      <c r="AC742" s="162" t="s">
        <v>1980</v>
      </c>
      <c r="AD742" s="17" t="s">
        <v>4433</v>
      </c>
      <c r="AE742" s="17" t="s">
        <v>4434</v>
      </c>
      <c r="AF742" s="17" t="s">
        <v>4435</v>
      </c>
    </row>
    <row r="743" spans="29:32">
      <c r="AC743" s="162" t="s">
        <v>1980</v>
      </c>
      <c r="AD743" s="17" t="s">
        <v>4436</v>
      </c>
      <c r="AE743" s="17" t="s">
        <v>2451</v>
      </c>
      <c r="AF743" s="17" t="s">
        <v>4437</v>
      </c>
    </row>
    <row r="744" spans="29:32">
      <c r="AC744" s="162" t="s">
        <v>1980</v>
      </c>
      <c r="AD744" s="17" t="s">
        <v>4438</v>
      </c>
      <c r="AE744" s="17" t="s">
        <v>4439</v>
      </c>
      <c r="AF744" s="17" t="s">
        <v>4440</v>
      </c>
    </row>
    <row r="745" spans="29:32">
      <c r="AC745" s="162" t="s">
        <v>1980</v>
      </c>
      <c r="AD745" s="17" t="s">
        <v>4441</v>
      </c>
      <c r="AE745" s="17" t="s">
        <v>2083</v>
      </c>
      <c r="AF745" s="17" t="s">
        <v>4442</v>
      </c>
    </row>
    <row r="746" spans="29:32">
      <c r="AC746" s="162" t="s">
        <v>1980</v>
      </c>
      <c r="AD746" s="17" t="s">
        <v>4443</v>
      </c>
      <c r="AE746" s="17" t="s">
        <v>2003</v>
      </c>
      <c r="AF746" s="17" t="s">
        <v>4384</v>
      </c>
    </row>
    <row r="747" spans="29:32">
      <c r="AC747" s="162" t="s">
        <v>1980</v>
      </c>
      <c r="AD747" s="17" t="s">
        <v>4444</v>
      </c>
      <c r="AE747" s="17" t="s">
        <v>2003</v>
      </c>
      <c r="AF747" s="17" t="s">
        <v>4384</v>
      </c>
    </row>
    <row r="748" spans="29:32">
      <c r="AC748" s="162" t="s">
        <v>1980</v>
      </c>
      <c r="AD748" s="17" t="s">
        <v>4445</v>
      </c>
      <c r="AE748" s="17" t="s">
        <v>4446</v>
      </c>
      <c r="AF748" s="17" t="s">
        <v>4447</v>
      </c>
    </row>
    <row r="749" spans="29:32">
      <c r="AC749" s="162" t="s">
        <v>1980</v>
      </c>
      <c r="AD749" s="17" t="s">
        <v>2746</v>
      </c>
      <c r="AE749" s="17" t="s">
        <v>3852</v>
      </c>
      <c r="AF749" s="17" t="s">
        <v>2924</v>
      </c>
    </row>
    <row r="750" spans="29:32">
      <c r="AC750" s="162" t="s">
        <v>1980</v>
      </c>
      <c r="AD750" s="17" t="s">
        <v>4448</v>
      </c>
      <c r="AE750" s="17" t="s">
        <v>2315</v>
      </c>
      <c r="AF750" s="17" t="s">
        <v>2601</v>
      </c>
    </row>
    <row r="751" spans="29:32">
      <c r="AC751" s="162" t="s">
        <v>1980</v>
      </c>
      <c r="AD751" s="17" t="s">
        <v>4449</v>
      </c>
      <c r="AE751" s="17" t="s">
        <v>3641</v>
      </c>
      <c r="AF751" s="17" t="s">
        <v>4450</v>
      </c>
    </row>
    <row r="752" spans="29:32">
      <c r="AC752" s="162" t="s">
        <v>1980</v>
      </c>
      <c r="AD752" s="17" t="s">
        <v>4451</v>
      </c>
      <c r="AE752" s="17" t="s">
        <v>3349</v>
      </c>
      <c r="AF752" s="17" t="s">
        <v>4452</v>
      </c>
    </row>
    <row r="753" spans="29:30">
      <c r="AC753" s="162"/>
      <c r="AD753" s="17"/>
    </row>
    <row r="754" spans="29:30">
      <c r="AC754" s="162"/>
      <c r="AD754" s="17"/>
    </row>
    <row r="755" spans="29:30">
      <c r="AC755" s="162"/>
      <c r="AD755" s="17"/>
    </row>
    <row r="756" spans="29:30">
      <c r="AC756" s="162"/>
      <c r="AD756" s="17"/>
    </row>
    <row r="757" spans="29:30">
      <c r="AC757" s="162"/>
      <c r="AD757" s="17"/>
    </row>
    <row r="758" spans="29:30">
      <c r="AC758" s="162"/>
      <c r="AD758" s="17"/>
    </row>
    <row r="759" spans="29:30">
      <c r="AC759" s="162"/>
      <c r="AD759" s="17"/>
    </row>
    <row r="760" spans="29:30">
      <c r="AC760" s="162"/>
    </row>
    <row r="761" spans="29:30">
      <c r="AC761" s="162"/>
    </row>
    <row r="762" spans="29:30">
      <c r="AC762" s="162"/>
    </row>
    <row r="763" spans="29:30">
      <c r="AC763" s="162"/>
    </row>
    <row r="764" spans="29:30">
      <c r="AC764" s="162"/>
    </row>
    <row r="765" spans="29:30">
      <c r="AC765" s="162"/>
    </row>
    <row r="766" spans="29:30">
      <c r="AC766" s="162"/>
    </row>
    <row r="767" spans="29:30">
      <c r="AC767" s="162"/>
    </row>
    <row r="768" spans="29:30">
      <c r="AC768" s="162"/>
    </row>
    <row r="769" spans="29:29">
      <c r="AC769" s="162"/>
    </row>
    <row r="770" spans="29:29">
      <c r="AC770" s="162"/>
    </row>
    <row r="771" spans="29:29">
      <c r="AC771" s="162"/>
    </row>
    <row r="772" spans="29:29">
      <c r="AC772" s="162"/>
    </row>
    <row r="773" spans="29:29">
      <c r="AC773" s="162"/>
    </row>
    <row r="774" spans="29:29">
      <c r="AC774" s="162"/>
    </row>
    <row r="775" spans="29:29">
      <c r="AC775" s="162"/>
    </row>
    <row r="776" spans="29:29">
      <c r="AC776" s="162"/>
    </row>
    <row r="777" spans="29:29">
      <c r="AC777" s="162"/>
    </row>
  </sheetData>
  <mergeCells count="9">
    <mergeCell ref="AC24:AG24"/>
    <mergeCell ref="AH24:AK24"/>
    <mergeCell ref="AL24:AN24"/>
    <mergeCell ref="A7:B7"/>
    <mergeCell ref="A24:D24"/>
    <mergeCell ref="F24:J24"/>
    <mergeCell ref="K24:O24"/>
    <mergeCell ref="Q24:U24"/>
    <mergeCell ref="W24:AB24"/>
  </mergeCells>
  <conditionalFormatting sqref="A24:A25 B25:E25">
    <cfRule type="duplicateValues" dxfId="36" priority="20"/>
  </conditionalFormatting>
  <conditionalFormatting sqref="D26:E28">
    <cfRule type="duplicateValues" dxfId="35" priority="21"/>
  </conditionalFormatting>
  <conditionalFormatting sqref="F24 F25:J25">
    <cfRule type="duplicateValues" dxfId="34" priority="25"/>
  </conditionalFormatting>
  <conditionalFormatting sqref="I19:I22">
    <cfRule type="duplicateValues" dxfId="33" priority="23"/>
  </conditionalFormatting>
  <conditionalFormatting sqref="I26:I36">
    <cfRule type="duplicateValues" dxfId="32" priority="24"/>
  </conditionalFormatting>
  <conditionalFormatting sqref="I42:I44 N54:N57">
    <cfRule type="duplicateValues" dxfId="31" priority="26"/>
  </conditionalFormatting>
  <conditionalFormatting sqref="U101:U1048576 U1:U98">
    <cfRule type="duplicateValues" dxfId="30" priority="34"/>
  </conditionalFormatting>
  <conditionalFormatting sqref="V30">
    <cfRule type="duplicateValues" dxfId="29" priority="19"/>
    <cfRule type="duplicateValues" dxfId="28" priority="18"/>
  </conditionalFormatting>
  <conditionalFormatting sqref="V96:V98 V81 V79 V1:V28 V94 V89 V91">
    <cfRule type="duplicateValues" dxfId="27" priority="30"/>
  </conditionalFormatting>
  <conditionalFormatting sqref="V96:V98 V81 V79 V1:V28 V105:V108 V121:V1048576 V111:V119 V94 V89 V91">
    <cfRule type="duplicateValues" dxfId="26" priority="31"/>
  </conditionalFormatting>
  <conditionalFormatting sqref="Z80">
    <cfRule type="duplicateValues" dxfId="25" priority="10"/>
  </conditionalFormatting>
  <conditionalFormatting sqref="Z219:Z1048576 Z143:Z214 Z81:Z137 AA59:AA60 Z1:Z79">
    <cfRule type="duplicateValues" dxfId="24" priority="36"/>
  </conditionalFormatting>
  <conditionalFormatting sqref="AA219:AA1048576 AA1:AA58 AA143:AA214 AA61:AA137">
    <cfRule type="duplicateValues" dxfId="23" priority="35"/>
  </conditionalFormatting>
  <conditionalFormatting sqref="AD342:AD344">
    <cfRule type="duplicateValues" dxfId="22" priority="17"/>
  </conditionalFormatting>
  <conditionalFormatting sqref="AD612 AD450 AD431:AD444 AD421:AD429 AD364:AD419 AD448 AD614 AD454:AD473">
    <cfRule type="duplicateValues" dxfId="21" priority="33"/>
  </conditionalFormatting>
  <conditionalFormatting sqref="AD643:AD647">
    <cfRule type="duplicateValues" dxfId="20" priority="9"/>
  </conditionalFormatting>
  <conditionalFormatting sqref="AD648:AD653 AD354:AD444 AD1:AD249 AD252:AD352 AD546:AD604 AD448:AD544 AD606:AD642 AE230:AE231 AE651:AE652 AE653:AF653 AD655:AD661 AD665:AD678 AD726:AD740 AD683:AD720 AD760:AD1048576">
    <cfRule type="duplicateValues" dxfId="19" priority="12"/>
  </conditionalFormatting>
  <conditionalFormatting sqref="AD679:AD682">
    <cfRule type="duplicateValues" dxfId="18" priority="3"/>
  </conditionalFormatting>
  <conditionalFormatting sqref="AD721:AD725">
    <cfRule type="duplicateValues" dxfId="17" priority="5"/>
  </conditionalFormatting>
  <conditionalFormatting sqref="AD741:AD759">
    <cfRule type="duplicateValues" dxfId="16" priority="1"/>
  </conditionalFormatting>
  <conditionalFormatting sqref="AD654:AE654">
    <cfRule type="duplicateValues" dxfId="15" priority="8"/>
  </conditionalFormatting>
  <conditionalFormatting sqref="AE431">
    <cfRule type="duplicateValues" dxfId="14" priority="15"/>
  </conditionalFormatting>
  <conditionalFormatting sqref="AE623:AE627">
    <cfRule type="duplicateValues" dxfId="13" priority="11"/>
  </conditionalFormatting>
  <conditionalFormatting sqref="AE628:AE650 AF443:AF444 AF383:AF384 AE388:AE430 AE387:AF387 AF423:AF425 AF432:AF434 AF437:AF438 AF380:AF381 AE1:AE229 AE354:AE386 AE279:AE320 AE432:AE444 AE546:AE604 AE448:AE544 AE606:AE610 AE612:AE614 AE322:AE351 AE232:AE249 AE252:AE274 AF650 AE663:AE720 AF539 AE726:AE1048576">
    <cfRule type="duplicateValues" dxfId="12" priority="28"/>
  </conditionalFormatting>
  <conditionalFormatting sqref="AE662">
    <cfRule type="duplicateValues" dxfId="11" priority="2"/>
  </conditionalFormatting>
  <conditionalFormatting sqref="AF440">
    <cfRule type="duplicateValues" dxfId="10" priority="4"/>
  </conditionalFormatting>
  <conditionalFormatting sqref="AF623:AF649 AF385:AF386 AF435:AF436 AF382 AF606:AF614 AF322:AF351 AF651:AF652 AF1:AF274 AF654 AF448:AF538 AF601:AG602 AF546:AF600 AF603:AF604 AF540:AF544 AF439 AF441:AF442 AF354:AF379 AF388:AF422 AF426:AF431 AF277:AF320 AF662:AF1048576">
    <cfRule type="duplicateValues" dxfId="9" priority="29"/>
  </conditionalFormatting>
  <conditionalFormatting sqref="AG239:AG249 AG252:AG255">
    <cfRule type="cellIs" dxfId="8" priority="22" operator="greaterThan">
      <formula>3</formula>
    </cfRule>
  </conditionalFormatting>
  <conditionalFormatting sqref="AG392:AG423 AG425:AG444">
    <cfRule type="duplicateValues" dxfId="7" priority="27"/>
  </conditionalFormatting>
  <conditionalFormatting sqref="AG424">
    <cfRule type="duplicateValues" dxfId="6" priority="16"/>
  </conditionalFormatting>
  <conditionalFormatting sqref="AG569:AG573">
    <cfRule type="duplicateValues" dxfId="5" priority="7"/>
  </conditionalFormatting>
  <conditionalFormatting sqref="AG600">
    <cfRule type="duplicateValues" dxfId="4" priority="6"/>
  </conditionalFormatting>
  <conditionalFormatting sqref="AI99:AI235">
    <cfRule type="duplicateValues" dxfId="3" priority="37"/>
  </conditionalFormatting>
  <conditionalFormatting sqref="AJ111">
    <cfRule type="duplicateValues" dxfId="2" priority="14"/>
  </conditionalFormatting>
  <conditionalFormatting sqref="AJ256">
    <cfRule type="duplicateValues" dxfId="1" priority="13"/>
  </conditionalFormatting>
  <conditionalFormatting sqref="AK250:AK251 AK256:AK1048576 AK1:AK247">
    <cfRule type="duplicateValues" dxfId="0" priority="3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Inventory</vt:lpstr>
      <vt:lpstr>Fabric</vt:lpstr>
      <vt:lpstr>Category</vt:lpstr>
      <vt:lpstr>Style</vt:lpstr>
      <vt:lpstr>Gender</vt:lpstr>
      <vt:lpstr>Design</vt:lpstr>
      <vt:lpstr>Color</vt:lpstr>
      <vt:lpstr>Size</vt:lpstr>
      <vt:lpstr>Hướng dẫn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Ginkgo</dc:creator>
  <cp:lastModifiedBy>Ginkgo</cp:lastModifiedBy>
  <dcterms:created xsi:type="dcterms:W3CDTF">2026-06-11T12:29:46Z</dcterms:created>
  <dcterms:modified xsi:type="dcterms:W3CDTF">2026-06-12T11:11:29Z</dcterms:modified>
</cp:coreProperties>
</file>